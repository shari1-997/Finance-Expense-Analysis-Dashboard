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F:\Work\Excel\04_Finance &amp; Expense Analysis Dashboard\"/>
    </mc:Choice>
  </mc:AlternateContent>
  <xr:revisionPtr revIDLastSave="0" documentId="13_ncr:1_{AF4610CD-BBE0-4193-BED9-0B11C8C99BFB}" xr6:coauthVersionLast="47" xr6:coauthVersionMax="47" xr10:uidLastSave="{00000000-0000-0000-0000-000000000000}"/>
  <bookViews>
    <workbookView xWindow="-110" yWindow="-110" windowWidth="19420" windowHeight="10300" activeTab="1" xr2:uid="{00000000-000D-0000-FFFF-FFFF00000000}"/>
  </bookViews>
  <sheets>
    <sheet name="Clean Financial Data" sheetId="1" r:id="rId1"/>
    <sheet name="Dashboard" sheetId="6" r:id="rId2"/>
    <sheet name="PivotTables" sheetId="4" r:id="rId3"/>
    <sheet name="KPI Summary" sheetId="5" r:id="rId4"/>
    <sheet name="Data Quality Plan" sheetId="2" r:id="rId5"/>
  </sheets>
  <definedNames>
    <definedName name="_xlnm._FilterDatabase" localSheetId="0" hidden="1">'Clean Financial Data'!$A$1:$P$2501</definedName>
    <definedName name="_xlnm._FilterDatabase" localSheetId="4" hidden="1">'Data Quality Plan'!$B$2:$E$12</definedName>
    <definedName name="Slicer_Department">#N/A</definedName>
    <definedName name="Slicer_Transaction_Month">#N/A</definedName>
  </definedNames>
  <calcPr calcId="181029"/>
  <pivotCaches>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 i="5" l="1"/>
  <c r="B8" i="5"/>
  <c r="B7" i="5"/>
  <c r="B6" i="5"/>
  <c r="B5" i="5"/>
  <c r="B4" i="5"/>
  <c r="B3" i="5"/>
  <c r="B2" i="5"/>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 i="1"/>
  <c r="O5" i="4"/>
  <c r="N5" i="4"/>
  <c r="I5" i="4"/>
  <c r="H5" i="4"/>
  <c r="E5" i="4"/>
  <c r="D5" i="4"/>
  <c r="B5" i="4"/>
  <c r="C5" i="4"/>
</calcChain>
</file>

<file path=xl/sharedStrings.xml><?xml version="1.0" encoding="utf-8"?>
<sst xmlns="http://schemas.openxmlformats.org/spreadsheetml/2006/main" count="20161" uniqueCount="2630">
  <si>
    <t>Transaction ID</t>
  </si>
  <si>
    <t>Transaction Date</t>
  </si>
  <si>
    <t>Transaction Type</t>
  </si>
  <si>
    <t>Department</t>
  </si>
  <si>
    <t>Category</t>
  </si>
  <si>
    <t>Business Segment</t>
  </si>
  <si>
    <t>Location</t>
  </si>
  <si>
    <t>Vendor</t>
  </si>
  <si>
    <t>Payment Method</t>
  </si>
  <si>
    <t>Budget Amount</t>
  </si>
  <si>
    <t>Actual Amount</t>
  </si>
  <si>
    <t>FIN-00001</t>
  </si>
  <si>
    <t>Expense</t>
  </si>
  <si>
    <t>Finance</t>
  </si>
  <si>
    <t>Equipment &amp; Maintenance</t>
  </si>
  <si>
    <t>Services</t>
  </si>
  <si>
    <t>Faisalabad</t>
  </si>
  <si>
    <t>Cash</t>
  </si>
  <si>
    <t>FIN-00002</t>
  </si>
  <si>
    <t>Administration</t>
  </si>
  <si>
    <t>Office Supplies</t>
  </si>
  <si>
    <t>Corporate</t>
  </si>
  <si>
    <t>Lahore</t>
  </si>
  <si>
    <t>Bank Transfer</t>
  </si>
  <si>
    <t>FIN-00003</t>
  </si>
  <si>
    <t>Revenue</t>
  </si>
  <si>
    <t>Operations</t>
  </si>
  <si>
    <t>Subscription Revenue</t>
  </si>
  <si>
    <t>Wholesale</t>
  </si>
  <si>
    <t>Peshawar</t>
  </si>
  <si>
    <t>Online Payment</t>
  </si>
  <si>
    <t>FIN-00004</t>
  </si>
  <si>
    <t>Sales</t>
  </si>
  <si>
    <t>Product Sales</t>
  </si>
  <si>
    <t>Online</t>
  </si>
  <si>
    <t>FIN-00005</t>
  </si>
  <si>
    <t>Marketing</t>
  </si>
  <si>
    <t>Travel &amp; Transport</t>
  </si>
  <si>
    <t>Karachi</t>
  </si>
  <si>
    <t>Debit Card</t>
  </si>
  <si>
    <t>FIN-00006</t>
  </si>
  <si>
    <t>Rent &amp; Facilities</t>
  </si>
  <si>
    <t>FIN-00007</t>
  </si>
  <si>
    <t>Islamabad</t>
  </si>
  <si>
    <t>FIN-00008</t>
  </si>
  <si>
    <t>Salaries &amp; Benefits</t>
  </si>
  <si>
    <t>FIN-00009</t>
  </si>
  <si>
    <t>Software &amp; Subscriptions</t>
  </si>
  <si>
    <t>Credit Card</t>
  </si>
  <si>
    <t>FIN-00010</t>
  </si>
  <si>
    <t>FIN-00011</t>
  </si>
  <si>
    <t>Professional Services</t>
  </si>
  <si>
    <t>Retail</t>
  </si>
  <si>
    <t>FIN-00012</t>
  </si>
  <si>
    <t>FIN-00013</t>
  </si>
  <si>
    <t>FIN-00014</t>
  </si>
  <si>
    <t>FIN-00015</t>
  </si>
  <si>
    <t>FIN-00016</t>
  </si>
  <si>
    <t>FIN-00017</t>
  </si>
  <si>
    <t>FIN-00018</t>
  </si>
  <si>
    <t>Urban Facilities</t>
  </si>
  <si>
    <t>FIN-00019</t>
  </si>
  <si>
    <t>FIN-00020</t>
  </si>
  <si>
    <t>FIN-00021</t>
  </si>
  <si>
    <t>FIN-00022</t>
  </si>
  <si>
    <t>Marketing &amp; Advertising</t>
  </si>
  <si>
    <t>FIN-00023</t>
  </si>
  <si>
    <t>FIN-00024</t>
  </si>
  <si>
    <t>FIN-00025</t>
  </si>
  <si>
    <t>FIN-00026</t>
  </si>
  <si>
    <t>FIN-00027</t>
  </si>
  <si>
    <t>FIN-00028</t>
  </si>
  <si>
    <t>FIN-00029</t>
  </si>
  <si>
    <t>FIN-00030</t>
  </si>
  <si>
    <t>Logistics &amp; Shipping</t>
  </si>
  <si>
    <t>FIN-00031</t>
  </si>
  <si>
    <t>FIN-00032</t>
  </si>
  <si>
    <t>Utilities</t>
  </si>
  <si>
    <t>FIN-00033</t>
  </si>
  <si>
    <t>FIN-00034</t>
  </si>
  <si>
    <t>Prime Supplies</t>
  </si>
  <si>
    <t>FIN-00035</t>
  </si>
  <si>
    <t>Multan</t>
  </si>
  <si>
    <t>FIN-00036</t>
  </si>
  <si>
    <t>FIN-00037</t>
  </si>
  <si>
    <t>FIN-00038</t>
  </si>
  <si>
    <t>FIN-00039</t>
  </si>
  <si>
    <t>FIN-00040</t>
  </si>
  <si>
    <t>FIN-00041</t>
  </si>
  <si>
    <t>FIN-00042</t>
  </si>
  <si>
    <t>FIN-00043</t>
  </si>
  <si>
    <t>FIN-00044</t>
  </si>
  <si>
    <t>FIN-00045</t>
  </si>
  <si>
    <t>FIN-00046</t>
  </si>
  <si>
    <t>FIN-00047</t>
  </si>
  <si>
    <t>FIN-00048</t>
  </si>
  <si>
    <t>FIN-00049</t>
  </si>
  <si>
    <t>FIN-00050</t>
  </si>
  <si>
    <t>FIN-00051</t>
  </si>
  <si>
    <t>FIN-00052</t>
  </si>
  <si>
    <t>FIN-00053</t>
  </si>
  <si>
    <t>FIN-00054</t>
  </si>
  <si>
    <t>FIN-00055</t>
  </si>
  <si>
    <t>FIN-00056</t>
  </si>
  <si>
    <t>FIN-00057</t>
  </si>
  <si>
    <t>FIN-00058</t>
  </si>
  <si>
    <t>FIN-00059</t>
  </si>
  <si>
    <t>FIN-00060</t>
  </si>
  <si>
    <t>FIN-00061</t>
  </si>
  <si>
    <t>Service Revenue</t>
  </si>
  <si>
    <t>FIN-00062</t>
  </si>
  <si>
    <t>FIN-00063</t>
  </si>
  <si>
    <t>FIN-00064</t>
  </si>
  <si>
    <t>FIN-00065</t>
  </si>
  <si>
    <t>FIN-00066</t>
  </si>
  <si>
    <t>FIN-00067</t>
  </si>
  <si>
    <t>FIN-00068</t>
  </si>
  <si>
    <t>FIN-00069</t>
  </si>
  <si>
    <t>FIN-00070</t>
  </si>
  <si>
    <t>FIN-00071</t>
  </si>
  <si>
    <t>FIN-00072</t>
  </si>
  <si>
    <t>FIN-00073</t>
  </si>
  <si>
    <t>FIN-00074</t>
  </si>
  <si>
    <t>FIN-00075</t>
  </si>
  <si>
    <t>FIN-00076</t>
  </si>
  <si>
    <t>FIN-00077</t>
  </si>
  <si>
    <t>FIN-00078</t>
  </si>
  <si>
    <t>FIN-00079</t>
  </si>
  <si>
    <t>FIN-00080</t>
  </si>
  <si>
    <t>FIN-00081</t>
  </si>
  <si>
    <t>FIN-00082</t>
  </si>
  <si>
    <t>FIN-00083</t>
  </si>
  <si>
    <t>FIN-00084</t>
  </si>
  <si>
    <t>FIN-00085</t>
  </si>
  <si>
    <t>FIN-00086</t>
  </si>
  <si>
    <t>FIN-00087</t>
  </si>
  <si>
    <t>FIN-00088</t>
  </si>
  <si>
    <t>FIN-00089</t>
  </si>
  <si>
    <t>FIN-00090</t>
  </si>
  <si>
    <t>FIN-00091</t>
  </si>
  <si>
    <t>FIN-00092</t>
  </si>
  <si>
    <t>FIN-00093</t>
  </si>
  <si>
    <t>FIN-00094</t>
  </si>
  <si>
    <t>FIN-00095</t>
  </si>
  <si>
    <t>FIN-00096</t>
  </si>
  <si>
    <t>FIN-00097</t>
  </si>
  <si>
    <t>FIN-00098</t>
  </si>
  <si>
    <t>FIN-00099</t>
  </si>
  <si>
    <t>FIN-00100</t>
  </si>
  <si>
    <t>FIN-00101</t>
  </si>
  <si>
    <t>FIN-00102</t>
  </si>
  <si>
    <t>FIN-00103</t>
  </si>
  <si>
    <t>FIN-00104</t>
  </si>
  <si>
    <t>FIN-00105</t>
  </si>
  <si>
    <t>FIN-00106</t>
  </si>
  <si>
    <t>FIN-00107</t>
  </si>
  <si>
    <t>FIN-00108</t>
  </si>
  <si>
    <t>FIN-00109</t>
  </si>
  <si>
    <t>FIN-00110</t>
  </si>
  <si>
    <t>FIN-00111</t>
  </si>
  <si>
    <t>FIN-00112</t>
  </si>
  <si>
    <t>FIN-00113</t>
  </si>
  <si>
    <t>FIN-00114</t>
  </si>
  <si>
    <t>FIN-00115</t>
  </si>
  <si>
    <t>FIN-00116</t>
  </si>
  <si>
    <t>FIN-00117</t>
  </si>
  <si>
    <t>FIN-00118</t>
  </si>
  <si>
    <t>FIN-00119</t>
  </si>
  <si>
    <t>FIN-00120</t>
  </si>
  <si>
    <t>Other Income</t>
  </si>
  <si>
    <t>FIN-00121</t>
  </si>
  <si>
    <t>FIN-00122</t>
  </si>
  <si>
    <t>FIN-00123</t>
  </si>
  <si>
    <t>FIN-00124</t>
  </si>
  <si>
    <t>FIN-00125</t>
  </si>
  <si>
    <t>FIN-00126</t>
  </si>
  <si>
    <t>FIN-00127</t>
  </si>
  <si>
    <t>FIN-00128</t>
  </si>
  <si>
    <t>FIN-00129</t>
  </si>
  <si>
    <t>FIN-00130</t>
  </si>
  <si>
    <t>FIN-00131</t>
  </si>
  <si>
    <t>FIN-00132</t>
  </si>
  <si>
    <t>FIN-00133</t>
  </si>
  <si>
    <t>FIN-00134</t>
  </si>
  <si>
    <t>FIN-00135</t>
  </si>
  <si>
    <t>FIN-00136</t>
  </si>
  <si>
    <t>FIN-00137</t>
  </si>
  <si>
    <t>FIN-00138</t>
  </si>
  <si>
    <t>FIN-00139</t>
  </si>
  <si>
    <t>FIN-00140</t>
  </si>
  <si>
    <t>FIN-00141</t>
  </si>
  <si>
    <t>FIN-00142</t>
  </si>
  <si>
    <t>FIN-00143</t>
  </si>
  <si>
    <t>FIN-00144</t>
  </si>
  <si>
    <t>FIN-00145</t>
  </si>
  <si>
    <t>FIN-00146</t>
  </si>
  <si>
    <t>FIN-00147</t>
  </si>
  <si>
    <t>FIN-00148</t>
  </si>
  <si>
    <t>FIN-00149</t>
  </si>
  <si>
    <t>FIN-00150</t>
  </si>
  <si>
    <t>FIN-00151</t>
  </si>
  <si>
    <t>FIN-00152</t>
  </si>
  <si>
    <t>FIN-00153</t>
  </si>
  <si>
    <t>FIN-00154</t>
  </si>
  <si>
    <t>FIN-00155</t>
  </si>
  <si>
    <t>FIN-00156</t>
  </si>
  <si>
    <t>FIN-00157</t>
  </si>
  <si>
    <t>FIN-00158</t>
  </si>
  <si>
    <t>FIN-00159</t>
  </si>
  <si>
    <t>FIN-00160</t>
  </si>
  <si>
    <t>FIN-00161</t>
  </si>
  <si>
    <t>FIN-00162</t>
  </si>
  <si>
    <t>FIN-00163</t>
  </si>
  <si>
    <t>FIN-00164</t>
  </si>
  <si>
    <t>FIN-00165</t>
  </si>
  <si>
    <t>FIN-00166</t>
  </si>
  <si>
    <t>FIN-00167</t>
  </si>
  <si>
    <t>FIN-00168</t>
  </si>
  <si>
    <t>FIN-00169</t>
  </si>
  <si>
    <t>FIN-00170</t>
  </si>
  <si>
    <t>FIN-00171</t>
  </si>
  <si>
    <t>FIN-00172</t>
  </si>
  <si>
    <t>FIN-00173</t>
  </si>
  <si>
    <t>FIN-00174</t>
  </si>
  <si>
    <t>FIN-00175</t>
  </si>
  <si>
    <t>FIN-00176</t>
  </si>
  <si>
    <t>FIN-00177</t>
  </si>
  <si>
    <t>FIN-00178</t>
  </si>
  <si>
    <t>FIN-00179</t>
  </si>
  <si>
    <t>FIN-00180</t>
  </si>
  <si>
    <t>FIN-00181</t>
  </si>
  <si>
    <t>FIN-00182</t>
  </si>
  <si>
    <t>FIN-00183</t>
  </si>
  <si>
    <t>FIN-00184</t>
  </si>
  <si>
    <t>FIN-00185</t>
  </si>
  <si>
    <t>FIN-00186</t>
  </si>
  <si>
    <t>FIN-00187</t>
  </si>
  <si>
    <t>FIN-00188</t>
  </si>
  <si>
    <t>FIN-00189</t>
  </si>
  <si>
    <t>FIN-00190</t>
  </si>
  <si>
    <t>FIN-00191</t>
  </si>
  <si>
    <t>FIN-00192</t>
  </si>
  <si>
    <t>FIN-00193</t>
  </si>
  <si>
    <t>FIN-00194</t>
  </si>
  <si>
    <t>FIN-00195</t>
  </si>
  <si>
    <t>FIN-00196</t>
  </si>
  <si>
    <t>FIN-00197</t>
  </si>
  <si>
    <t>FIN-00198</t>
  </si>
  <si>
    <t>FIN-00199</t>
  </si>
  <si>
    <t>FIN-00200</t>
  </si>
  <si>
    <t>FIN-00201</t>
  </si>
  <si>
    <t>FIN-00202</t>
  </si>
  <si>
    <t>FIN-00203</t>
  </si>
  <si>
    <t>FIN-00204</t>
  </si>
  <si>
    <t>FIN-00205</t>
  </si>
  <si>
    <t>FIN-00206</t>
  </si>
  <si>
    <t>FIN-00207</t>
  </si>
  <si>
    <t>FIN-00208</t>
  </si>
  <si>
    <t>FIN-00209</t>
  </si>
  <si>
    <t>FIN-00210</t>
  </si>
  <si>
    <t>FIN-00211</t>
  </si>
  <si>
    <t>FIN-00212</t>
  </si>
  <si>
    <t>FIN-00213</t>
  </si>
  <si>
    <t>FIN-00214</t>
  </si>
  <si>
    <t>FIN-00215</t>
  </si>
  <si>
    <t>FIN-00216</t>
  </si>
  <si>
    <t>FIN-00217</t>
  </si>
  <si>
    <t>FIN-00218</t>
  </si>
  <si>
    <t>FIN-00219</t>
  </si>
  <si>
    <t>FIN-00220</t>
  </si>
  <si>
    <t>FIN-00221</t>
  </si>
  <si>
    <t>FIN-00222</t>
  </si>
  <si>
    <t>FIN-00223</t>
  </si>
  <si>
    <t>FIN-00224</t>
  </si>
  <si>
    <t>FIN-00225</t>
  </si>
  <si>
    <t>FIN-00226</t>
  </si>
  <si>
    <t>FIN-00227</t>
  </si>
  <si>
    <t>FIN-00228</t>
  </si>
  <si>
    <t>FIN-00229</t>
  </si>
  <si>
    <t>FIN-00230</t>
  </si>
  <si>
    <t>FIN-00231</t>
  </si>
  <si>
    <t>FIN-00232</t>
  </si>
  <si>
    <t>FIN-00233</t>
  </si>
  <si>
    <t>FIN-00234</t>
  </si>
  <si>
    <t>FIN-00235</t>
  </si>
  <si>
    <t>FIN-00236</t>
  </si>
  <si>
    <t>FIN-00237</t>
  </si>
  <si>
    <t>FIN-00238</t>
  </si>
  <si>
    <t>FIN-00239</t>
  </si>
  <si>
    <t>FIN-00240</t>
  </si>
  <si>
    <t>FIN-00241</t>
  </si>
  <si>
    <t>FIN-00242</t>
  </si>
  <si>
    <t>FIN-00243</t>
  </si>
  <si>
    <t>FIN-00244</t>
  </si>
  <si>
    <t>FIN-00245</t>
  </si>
  <si>
    <t>FIN-00246</t>
  </si>
  <si>
    <t>FIN-00247</t>
  </si>
  <si>
    <t>FIN-00248</t>
  </si>
  <si>
    <t>FIN-00249</t>
  </si>
  <si>
    <t>FIN-00250</t>
  </si>
  <si>
    <t>FIN-00251</t>
  </si>
  <si>
    <t>FIN-00252</t>
  </si>
  <si>
    <t>FIN-00253</t>
  </si>
  <si>
    <t>FIN-00254</t>
  </si>
  <si>
    <t>FIN-00255</t>
  </si>
  <si>
    <t>FIN-00256</t>
  </si>
  <si>
    <t>FIN-00257</t>
  </si>
  <si>
    <t>FIN-00258</t>
  </si>
  <si>
    <t>FIN-00259</t>
  </si>
  <si>
    <t>FIN-00260</t>
  </si>
  <si>
    <t>FIN-00261</t>
  </si>
  <si>
    <t>FIN-00262</t>
  </si>
  <si>
    <t>FIN-00263</t>
  </si>
  <si>
    <t>FIN-00264</t>
  </si>
  <si>
    <t>FIN-00265</t>
  </si>
  <si>
    <t>FIN-00266</t>
  </si>
  <si>
    <t>FIN-00267</t>
  </si>
  <si>
    <t>FIN-00268</t>
  </si>
  <si>
    <t>FIN-00269</t>
  </si>
  <si>
    <t>FIN-00270</t>
  </si>
  <si>
    <t>FIN-00271</t>
  </si>
  <si>
    <t>FIN-00272</t>
  </si>
  <si>
    <t>FIN-00273</t>
  </si>
  <si>
    <t>FIN-00274</t>
  </si>
  <si>
    <t>FIN-00275</t>
  </si>
  <si>
    <t>FIN-00276</t>
  </si>
  <si>
    <t>FIN-00277</t>
  </si>
  <si>
    <t>FIN-00278</t>
  </si>
  <si>
    <t>FIN-00279</t>
  </si>
  <si>
    <t>FIN-00280</t>
  </si>
  <si>
    <t>FIN-00281</t>
  </si>
  <si>
    <t>FIN-00282</t>
  </si>
  <si>
    <t>FIN-00283</t>
  </si>
  <si>
    <t>FIN-00284</t>
  </si>
  <si>
    <t>FIN-00285</t>
  </si>
  <si>
    <t>FIN-00286</t>
  </si>
  <si>
    <t>FIN-00287</t>
  </si>
  <si>
    <t>FIN-00288</t>
  </si>
  <si>
    <t>FIN-00289</t>
  </si>
  <si>
    <t>FIN-00290</t>
  </si>
  <si>
    <t>FIN-00291</t>
  </si>
  <si>
    <t>FIN-00292</t>
  </si>
  <si>
    <t>FIN-00293</t>
  </si>
  <si>
    <t>FIN-00294</t>
  </si>
  <si>
    <t>FIN-00295</t>
  </si>
  <si>
    <t>FIN-00296</t>
  </si>
  <si>
    <t>FIN-00297</t>
  </si>
  <si>
    <t>FIN-00298</t>
  </si>
  <si>
    <t>FIN-00299</t>
  </si>
  <si>
    <t>FIN-00300</t>
  </si>
  <si>
    <t>FIN-00301</t>
  </si>
  <si>
    <t>FIN-00302</t>
  </si>
  <si>
    <t>FIN-00303</t>
  </si>
  <si>
    <t>FIN-00304</t>
  </si>
  <si>
    <t>FIN-00305</t>
  </si>
  <si>
    <t>FIN-00306</t>
  </si>
  <si>
    <t>FIN-00307</t>
  </si>
  <si>
    <t>FIN-00308</t>
  </si>
  <si>
    <t>FIN-00309</t>
  </si>
  <si>
    <t>FIN-00310</t>
  </si>
  <si>
    <t>FIN-00311</t>
  </si>
  <si>
    <t>FIN-00312</t>
  </si>
  <si>
    <t>FIN-00313</t>
  </si>
  <si>
    <t>FIN-00314</t>
  </si>
  <si>
    <t>FIN-00315</t>
  </si>
  <si>
    <t>FIN-00316</t>
  </si>
  <si>
    <t>FIN-00317</t>
  </si>
  <si>
    <t>FIN-00318</t>
  </si>
  <si>
    <t>FIN-00319</t>
  </si>
  <si>
    <t>FIN-00320</t>
  </si>
  <si>
    <t>FIN-00321</t>
  </si>
  <si>
    <t>FIN-00322</t>
  </si>
  <si>
    <t>FIN-00323</t>
  </si>
  <si>
    <t>FIN-00324</t>
  </si>
  <si>
    <t>FIN-00325</t>
  </si>
  <si>
    <t>FIN-00326</t>
  </si>
  <si>
    <t>FIN-00327</t>
  </si>
  <si>
    <t>FIN-00328</t>
  </si>
  <si>
    <t>FIN-00329</t>
  </si>
  <si>
    <t>FIN-00330</t>
  </si>
  <si>
    <t>FIN-00331</t>
  </si>
  <si>
    <t>FIN-00332</t>
  </si>
  <si>
    <t>FIN-00333</t>
  </si>
  <si>
    <t>FIN-00334</t>
  </si>
  <si>
    <t>FIN-00335</t>
  </si>
  <si>
    <t>FIN-00336</t>
  </si>
  <si>
    <t>FIN-00337</t>
  </si>
  <si>
    <t>FIN-00338</t>
  </si>
  <si>
    <t>FIN-00339</t>
  </si>
  <si>
    <t>FIN-00340</t>
  </si>
  <si>
    <t>FIN-00341</t>
  </si>
  <si>
    <t>FIN-00342</t>
  </si>
  <si>
    <t>FIN-00343</t>
  </si>
  <si>
    <t>FIN-00344</t>
  </si>
  <si>
    <t>FIN-00345</t>
  </si>
  <si>
    <t>FIN-00346</t>
  </si>
  <si>
    <t>FIN-00347</t>
  </si>
  <si>
    <t>FIN-00348</t>
  </si>
  <si>
    <t>FIN-00349</t>
  </si>
  <si>
    <t>FIN-00350</t>
  </si>
  <si>
    <t>FIN-00351</t>
  </si>
  <si>
    <t>FIN-00352</t>
  </si>
  <si>
    <t>FIN-00353</t>
  </si>
  <si>
    <t>FIN-00354</t>
  </si>
  <si>
    <t>FIN-00355</t>
  </si>
  <si>
    <t>FIN-00356</t>
  </si>
  <si>
    <t>FIN-00357</t>
  </si>
  <si>
    <t>FIN-00358</t>
  </si>
  <si>
    <t>FIN-00359</t>
  </si>
  <si>
    <t>FIN-00360</t>
  </si>
  <si>
    <t>FIN-00361</t>
  </si>
  <si>
    <t>FIN-00362</t>
  </si>
  <si>
    <t>FIN-00363</t>
  </si>
  <si>
    <t>FIN-00364</t>
  </si>
  <si>
    <t>FIN-00365</t>
  </si>
  <si>
    <t>FIN-00366</t>
  </si>
  <si>
    <t>FIN-00367</t>
  </si>
  <si>
    <t>FIN-00368</t>
  </si>
  <si>
    <t>FIN-00369</t>
  </si>
  <si>
    <t>FIN-00370</t>
  </si>
  <si>
    <t>FIN-00371</t>
  </si>
  <si>
    <t>FIN-00372</t>
  </si>
  <si>
    <t>FIN-00373</t>
  </si>
  <si>
    <t>FIN-00374</t>
  </si>
  <si>
    <t>FIN-00375</t>
  </si>
  <si>
    <t>FIN-00376</t>
  </si>
  <si>
    <t>FIN-00377</t>
  </si>
  <si>
    <t>FIN-00378</t>
  </si>
  <si>
    <t>FIN-00379</t>
  </si>
  <si>
    <t>FIN-00380</t>
  </si>
  <si>
    <t>FIN-00381</t>
  </si>
  <si>
    <t>FIN-00382</t>
  </si>
  <si>
    <t>FIN-00383</t>
  </si>
  <si>
    <t>FIN-00384</t>
  </si>
  <si>
    <t>FIN-00385</t>
  </si>
  <si>
    <t>FIN-00386</t>
  </si>
  <si>
    <t>FIN-00387</t>
  </si>
  <si>
    <t>FIN-00388</t>
  </si>
  <si>
    <t>FIN-00389</t>
  </si>
  <si>
    <t>FIN-00390</t>
  </si>
  <si>
    <t>FIN-00391</t>
  </si>
  <si>
    <t>FIN-00392</t>
  </si>
  <si>
    <t>FIN-00393</t>
  </si>
  <si>
    <t>FIN-00394</t>
  </si>
  <si>
    <t>FIN-00395</t>
  </si>
  <si>
    <t>FIN-00396</t>
  </si>
  <si>
    <t>FIN-00397</t>
  </si>
  <si>
    <t>FIN-00398</t>
  </si>
  <si>
    <t>FIN-00399</t>
  </si>
  <si>
    <t>FIN-00400</t>
  </si>
  <si>
    <t>FIN-00401</t>
  </si>
  <si>
    <t>FIN-00402</t>
  </si>
  <si>
    <t>FIN-00403</t>
  </si>
  <si>
    <t>FIN-00404</t>
  </si>
  <si>
    <t>FIN-00405</t>
  </si>
  <si>
    <t>FIN-00406</t>
  </si>
  <si>
    <t>FIN-00407</t>
  </si>
  <si>
    <t>FIN-00408</t>
  </si>
  <si>
    <t>FIN-00409</t>
  </si>
  <si>
    <t>FIN-00410</t>
  </si>
  <si>
    <t>FIN-00411</t>
  </si>
  <si>
    <t>FIN-00412</t>
  </si>
  <si>
    <t>FIN-00413</t>
  </si>
  <si>
    <t>FIN-00414</t>
  </si>
  <si>
    <t>FIN-00415</t>
  </si>
  <si>
    <t>FIN-00416</t>
  </si>
  <si>
    <t>FIN-00417</t>
  </si>
  <si>
    <t>FIN-00418</t>
  </si>
  <si>
    <t>FIN-00419</t>
  </si>
  <si>
    <t>FIN-00420</t>
  </si>
  <si>
    <t>FIN-00421</t>
  </si>
  <si>
    <t>FIN-00422</t>
  </si>
  <si>
    <t>FIN-00423</t>
  </si>
  <si>
    <t>FIN-00424</t>
  </si>
  <si>
    <t>FIN-00425</t>
  </si>
  <si>
    <t>FIN-00426</t>
  </si>
  <si>
    <t>FIN-00427</t>
  </si>
  <si>
    <t>FIN-00428</t>
  </si>
  <si>
    <t>FIN-00429</t>
  </si>
  <si>
    <t>FIN-00430</t>
  </si>
  <si>
    <t>FIN-00431</t>
  </si>
  <si>
    <t>FIN-00432</t>
  </si>
  <si>
    <t>FIN-00433</t>
  </si>
  <si>
    <t>FIN-00434</t>
  </si>
  <si>
    <t>FIN-00435</t>
  </si>
  <si>
    <t>FIN-00436</t>
  </si>
  <si>
    <t>FIN-00437</t>
  </si>
  <si>
    <t>FIN-00438</t>
  </si>
  <si>
    <t>FIN-00439</t>
  </si>
  <si>
    <t>FIN-00440</t>
  </si>
  <si>
    <t>FIN-00441</t>
  </si>
  <si>
    <t>FIN-00442</t>
  </si>
  <si>
    <t>FIN-00443</t>
  </si>
  <si>
    <t>FIN-00444</t>
  </si>
  <si>
    <t>FIN-00445</t>
  </si>
  <si>
    <t>FIN-00446</t>
  </si>
  <si>
    <t>FIN-00447</t>
  </si>
  <si>
    <t>FIN-00448</t>
  </si>
  <si>
    <t>FIN-00449</t>
  </si>
  <si>
    <t>FIN-00450</t>
  </si>
  <si>
    <t>FIN-00451</t>
  </si>
  <si>
    <t>FIN-00452</t>
  </si>
  <si>
    <t>FIN-00453</t>
  </si>
  <si>
    <t>FIN-00454</t>
  </si>
  <si>
    <t>FIN-00455</t>
  </si>
  <si>
    <t>FIN-00456</t>
  </si>
  <si>
    <t>FIN-00457</t>
  </si>
  <si>
    <t>FIN-00458</t>
  </si>
  <si>
    <t>FIN-00459</t>
  </si>
  <si>
    <t>FIN-00460</t>
  </si>
  <si>
    <t>FIN-00461</t>
  </si>
  <si>
    <t>FIN-00462</t>
  </si>
  <si>
    <t>FIN-00463</t>
  </si>
  <si>
    <t>FIN-00464</t>
  </si>
  <si>
    <t>FIN-00465</t>
  </si>
  <si>
    <t>FIN-00466</t>
  </si>
  <si>
    <t>FIN-00467</t>
  </si>
  <si>
    <t>FIN-00468</t>
  </si>
  <si>
    <t>FIN-00469</t>
  </si>
  <si>
    <t>FIN-00470</t>
  </si>
  <si>
    <t>FIN-00471</t>
  </si>
  <si>
    <t>FIN-00472</t>
  </si>
  <si>
    <t>FIN-00473</t>
  </si>
  <si>
    <t>FIN-00474</t>
  </si>
  <si>
    <t>FIN-00475</t>
  </si>
  <si>
    <t>FIN-00476</t>
  </si>
  <si>
    <t>FIN-00477</t>
  </si>
  <si>
    <t>FIN-00478</t>
  </si>
  <si>
    <t>FIN-00479</t>
  </si>
  <si>
    <t>FIN-00480</t>
  </si>
  <si>
    <t>FIN-00481</t>
  </si>
  <si>
    <t>FIN-00482</t>
  </si>
  <si>
    <t>FIN-00483</t>
  </si>
  <si>
    <t>FIN-00484</t>
  </si>
  <si>
    <t>FIN-00485</t>
  </si>
  <si>
    <t>FIN-00486</t>
  </si>
  <si>
    <t>FIN-00487</t>
  </si>
  <si>
    <t>FIN-00488</t>
  </si>
  <si>
    <t>FIN-00489</t>
  </si>
  <si>
    <t>FIN-00490</t>
  </si>
  <si>
    <t>FIN-00491</t>
  </si>
  <si>
    <t>FIN-00492</t>
  </si>
  <si>
    <t>FIN-00493</t>
  </si>
  <si>
    <t>FIN-00494</t>
  </si>
  <si>
    <t>FIN-00495</t>
  </si>
  <si>
    <t>FIN-00496</t>
  </si>
  <si>
    <t>FIN-00497</t>
  </si>
  <si>
    <t>FIN-00498</t>
  </si>
  <si>
    <t>FIN-00499</t>
  </si>
  <si>
    <t>FIN-00500</t>
  </si>
  <si>
    <t>FIN-00501</t>
  </si>
  <si>
    <t>FIN-00502</t>
  </si>
  <si>
    <t>FIN-00503</t>
  </si>
  <si>
    <t>FIN-00504</t>
  </si>
  <si>
    <t>FIN-00505</t>
  </si>
  <si>
    <t>FIN-00506</t>
  </si>
  <si>
    <t>FIN-00507</t>
  </si>
  <si>
    <t>FIN-00508</t>
  </si>
  <si>
    <t>FIN-00509</t>
  </si>
  <si>
    <t>FIN-00510</t>
  </si>
  <si>
    <t>FIN-00511</t>
  </si>
  <si>
    <t>FIN-00512</t>
  </si>
  <si>
    <t>FIN-00513</t>
  </si>
  <si>
    <t>FIN-00514</t>
  </si>
  <si>
    <t>FIN-00515</t>
  </si>
  <si>
    <t>FIN-00516</t>
  </si>
  <si>
    <t>FIN-00517</t>
  </si>
  <si>
    <t>FIN-00518</t>
  </si>
  <si>
    <t>FIN-00519</t>
  </si>
  <si>
    <t>FIN-00520</t>
  </si>
  <si>
    <t>FIN-00521</t>
  </si>
  <si>
    <t>FIN-00522</t>
  </si>
  <si>
    <t>FIN-00523</t>
  </si>
  <si>
    <t>FIN-00524</t>
  </si>
  <si>
    <t>FIN-00525</t>
  </si>
  <si>
    <t>FIN-00526</t>
  </si>
  <si>
    <t>FIN-00527</t>
  </si>
  <si>
    <t>FIN-00528</t>
  </si>
  <si>
    <t>FIN-00529</t>
  </si>
  <si>
    <t>FIN-00530</t>
  </si>
  <si>
    <t>FIN-00531</t>
  </si>
  <si>
    <t>FIN-00532</t>
  </si>
  <si>
    <t>FIN-00533</t>
  </si>
  <si>
    <t>FIN-00534</t>
  </si>
  <si>
    <t>FIN-00535</t>
  </si>
  <si>
    <t>FIN-00536</t>
  </si>
  <si>
    <t>FIN-00537</t>
  </si>
  <si>
    <t>FIN-00538</t>
  </si>
  <si>
    <t>FIN-00539</t>
  </si>
  <si>
    <t>FIN-00540</t>
  </si>
  <si>
    <t>FIN-00541</t>
  </si>
  <si>
    <t>FIN-00542</t>
  </si>
  <si>
    <t>FIN-00543</t>
  </si>
  <si>
    <t>FIN-00544</t>
  </si>
  <si>
    <t>FIN-00545</t>
  </si>
  <si>
    <t>FIN-00546</t>
  </si>
  <si>
    <t>FIN-00547</t>
  </si>
  <si>
    <t>FIN-00548</t>
  </si>
  <si>
    <t>FIN-00549</t>
  </si>
  <si>
    <t>FIN-00550</t>
  </si>
  <si>
    <t>FIN-00551</t>
  </si>
  <si>
    <t>FIN-00552</t>
  </si>
  <si>
    <t>FIN-00553</t>
  </si>
  <si>
    <t>FIN-00554</t>
  </si>
  <si>
    <t>FIN-00555</t>
  </si>
  <si>
    <t>FIN-00556</t>
  </si>
  <si>
    <t>FIN-00557</t>
  </si>
  <si>
    <t>FIN-00558</t>
  </si>
  <si>
    <t>FIN-00559</t>
  </si>
  <si>
    <t>FIN-00560</t>
  </si>
  <si>
    <t>FIN-00561</t>
  </si>
  <si>
    <t>FIN-00562</t>
  </si>
  <si>
    <t>FIN-00563</t>
  </si>
  <si>
    <t>FIN-00564</t>
  </si>
  <si>
    <t>FIN-00565</t>
  </si>
  <si>
    <t>FIN-00566</t>
  </si>
  <si>
    <t>FIN-00567</t>
  </si>
  <si>
    <t>FIN-00568</t>
  </si>
  <si>
    <t>FIN-00569</t>
  </si>
  <si>
    <t>FIN-00570</t>
  </si>
  <si>
    <t>FIN-00571</t>
  </si>
  <si>
    <t>FIN-00572</t>
  </si>
  <si>
    <t>FIN-00573</t>
  </si>
  <si>
    <t>FIN-00574</t>
  </si>
  <si>
    <t>FIN-00575</t>
  </si>
  <si>
    <t>FIN-00576</t>
  </si>
  <si>
    <t>FIN-00577</t>
  </si>
  <si>
    <t>FIN-00578</t>
  </si>
  <si>
    <t>FIN-00579</t>
  </si>
  <si>
    <t>FIN-00580</t>
  </si>
  <si>
    <t>FIN-00581</t>
  </si>
  <si>
    <t>FIN-00582</t>
  </si>
  <si>
    <t>FIN-00583</t>
  </si>
  <si>
    <t>FIN-00584</t>
  </si>
  <si>
    <t>FIN-00585</t>
  </si>
  <si>
    <t>FIN-00586</t>
  </si>
  <si>
    <t>FIN-00587</t>
  </si>
  <si>
    <t>FIN-00588</t>
  </si>
  <si>
    <t>FIN-00589</t>
  </si>
  <si>
    <t>FIN-00590</t>
  </si>
  <si>
    <t>FIN-00591</t>
  </si>
  <si>
    <t>FIN-00592</t>
  </si>
  <si>
    <t>FIN-00593</t>
  </si>
  <si>
    <t>FIN-00594</t>
  </si>
  <si>
    <t>FIN-00595</t>
  </si>
  <si>
    <t>FIN-00596</t>
  </si>
  <si>
    <t>FIN-00597</t>
  </si>
  <si>
    <t>FIN-00598</t>
  </si>
  <si>
    <t>FIN-00599</t>
  </si>
  <si>
    <t>FIN-00600</t>
  </si>
  <si>
    <t>FIN-00601</t>
  </si>
  <si>
    <t>FIN-00602</t>
  </si>
  <si>
    <t>FIN-00603</t>
  </si>
  <si>
    <t>FIN-00604</t>
  </si>
  <si>
    <t>FIN-00605</t>
  </si>
  <si>
    <t>FIN-00606</t>
  </si>
  <si>
    <t>FIN-00607</t>
  </si>
  <si>
    <t>FIN-00608</t>
  </si>
  <si>
    <t>FIN-00609</t>
  </si>
  <si>
    <t>FIN-00610</t>
  </si>
  <si>
    <t>FIN-00611</t>
  </si>
  <si>
    <t>FIN-00612</t>
  </si>
  <si>
    <t>FIN-00613</t>
  </si>
  <si>
    <t>FIN-00614</t>
  </si>
  <si>
    <t>FIN-00615</t>
  </si>
  <si>
    <t>FIN-00616</t>
  </si>
  <si>
    <t>FIN-00617</t>
  </si>
  <si>
    <t>FIN-00618</t>
  </si>
  <si>
    <t>FIN-00619</t>
  </si>
  <si>
    <t>FIN-00620</t>
  </si>
  <si>
    <t>FIN-00621</t>
  </si>
  <si>
    <t>FIN-00622</t>
  </si>
  <si>
    <t>FIN-00623</t>
  </si>
  <si>
    <t>FIN-00624</t>
  </si>
  <si>
    <t>FIN-00625</t>
  </si>
  <si>
    <t>FIN-00626</t>
  </si>
  <si>
    <t>FIN-00627</t>
  </si>
  <si>
    <t>FIN-00628</t>
  </si>
  <si>
    <t>FIN-00629</t>
  </si>
  <si>
    <t>FIN-00630</t>
  </si>
  <si>
    <t>FIN-00631</t>
  </si>
  <si>
    <t>FIN-00632</t>
  </si>
  <si>
    <t>FIN-00633</t>
  </si>
  <si>
    <t>FIN-00634</t>
  </si>
  <si>
    <t>FIN-00635</t>
  </si>
  <si>
    <t>FIN-00636</t>
  </si>
  <si>
    <t>FIN-00637</t>
  </si>
  <si>
    <t>FIN-00638</t>
  </si>
  <si>
    <t>FIN-00639</t>
  </si>
  <si>
    <t>FIN-00640</t>
  </si>
  <si>
    <t>FIN-00641</t>
  </si>
  <si>
    <t>FIN-00642</t>
  </si>
  <si>
    <t>FIN-00643</t>
  </si>
  <si>
    <t>FIN-00644</t>
  </si>
  <si>
    <t>FIN-00645</t>
  </si>
  <si>
    <t>FIN-00646</t>
  </si>
  <si>
    <t>FIN-00647</t>
  </si>
  <si>
    <t>FIN-00648</t>
  </si>
  <si>
    <t>FIN-00649</t>
  </si>
  <si>
    <t>FIN-00650</t>
  </si>
  <si>
    <t>FIN-00651</t>
  </si>
  <si>
    <t>FIN-00652</t>
  </si>
  <si>
    <t>FIN-00653</t>
  </si>
  <si>
    <t>FIN-00654</t>
  </si>
  <si>
    <t>FIN-00655</t>
  </si>
  <si>
    <t>FIN-00656</t>
  </si>
  <si>
    <t>FIN-00657</t>
  </si>
  <si>
    <t>FIN-00658</t>
  </si>
  <si>
    <t>FIN-00659</t>
  </si>
  <si>
    <t>FIN-00660</t>
  </si>
  <si>
    <t>FIN-00661</t>
  </si>
  <si>
    <t>FIN-00662</t>
  </si>
  <si>
    <t>FIN-00663</t>
  </si>
  <si>
    <t>FIN-00664</t>
  </si>
  <si>
    <t>FIN-00665</t>
  </si>
  <si>
    <t>FIN-00666</t>
  </si>
  <si>
    <t>FIN-00667</t>
  </si>
  <si>
    <t>FIN-00668</t>
  </si>
  <si>
    <t>FIN-00669</t>
  </si>
  <si>
    <t>FIN-00670</t>
  </si>
  <si>
    <t>FIN-00671</t>
  </si>
  <si>
    <t>FIN-00672</t>
  </si>
  <si>
    <t>FIN-00673</t>
  </si>
  <si>
    <t>FIN-00674</t>
  </si>
  <si>
    <t>FIN-00675</t>
  </si>
  <si>
    <t>FIN-00676</t>
  </si>
  <si>
    <t>FIN-00677</t>
  </si>
  <si>
    <t>FIN-00678</t>
  </si>
  <si>
    <t>FIN-00679</t>
  </si>
  <si>
    <t>FIN-00680</t>
  </si>
  <si>
    <t>FIN-00681</t>
  </si>
  <si>
    <t>FIN-00682</t>
  </si>
  <si>
    <t>FIN-00683</t>
  </si>
  <si>
    <t>FIN-00684</t>
  </si>
  <si>
    <t>FIN-00685</t>
  </si>
  <si>
    <t>FIN-00686</t>
  </si>
  <si>
    <t>FIN-00687</t>
  </si>
  <si>
    <t>FIN-00688</t>
  </si>
  <si>
    <t>FIN-00689</t>
  </si>
  <si>
    <t>FIN-00690</t>
  </si>
  <si>
    <t>FIN-00691</t>
  </si>
  <si>
    <t>FIN-00692</t>
  </si>
  <si>
    <t>FIN-00693</t>
  </si>
  <si>
    <t>FIN-00694</t>
  </si>
  <si>
    <t>FIN-00695</t>
  </si>
  <si>
    <t>FIN-00696</t>
  </si>
  <si>
    <t>FIN-00697</t>
  </si>
  <si>
    <t>FIN-00698</t>
  </si>
  <si>
    <t>FIN-00699</t>
  </si>
  <si>
    <t>FIN-00700</t>
  </si>
  <si>
    <t>FIN-00701</t>
  </si>
  <si>
    <t>FIN-00702</t>
  </si>
  <si>
    <t>FIN-00703</t>
  </si>
  <si>
    <t>FIN-00704</t>
  </si>
  <si>
    <t>FIN-00705</t>
  </si>
  <si>
    <t>FIN-00706</t>
  </si>
  <si>
    <t>FIN-00707</t>
  </si>
  <si>
    <t>FIN-00708</t>
  </si>
  <si>
    <t>FIN-00709</t>
  </si>
  <si>
    <t>FIN-00710</t>
  </si>
  <si>
    <t>FIN-00711</t>
  </si>
  <si>
    <t>FIN-00712</t>
  </si>
  <si>
    <t>FIN-00713</t>
  </si>
  <si>
    <t>FIN-00714</t>
  </si>
  <si>
    <t>FIN-00715</t>
  </si>
  <si>
    <t>FIN-00716</t>
  </si>
  <si>
    <t>FIN-00717</t>
  </si>
  <si>
    <t>FIN-00718</t>
  </si>
  <si>
    <t>FIN-00719</t>
  </si>
  <si>
    <t>FIN-00720</t>
  </si>
  <si>
    <t>FIN-00721</t>
  </si>
  <si>
    <t>FIN-00722</t>
  </si>
  <si>
    <t>FIN-00723</t>
  </si>
  <si>
    <t>FIN-00724</t>
  </si>
  <si>
    <t>FIN-00725</t>
  </si>
  <si>
    <t>FIN-00726</t>
  </si>
  <si>
    <t>FIN-00727</t>
  </si>
  <si>
    <t>FIN-00728</t>
  </si>
  <si>
    <t>FIN-00729</t>
  </si>
  <si>
    <t>FIN-00730</t>
  </si>
  <si>
    <t>FIN-00731</t>
  </si>
  <si>
    <t>FIN-00732</t>
  </si>
  <si>
    <t>FIN-00733</t>
  </si>
  <si>
    <t>FIN-00734</t>
  </si>
  <si>
    <t>FIN-00735</t>
  </si>
  <si>
    <t>FIN-00736</t>
  </si>
  <si>
    <t>FIN-00737</t>
  </si>
  <si>
    <t>FIN-00738</t>
  </si>
  <si>
    <t>FIN-00739</t>
  </si>
  <si>
    <t>FIN-00740</t>
  </si>
  <si>
    <t>FIN-00741</t>
  </si>
  <si>
    <t>FIN-00742</t>
  </si>
  <si>
    <t>FIN-00743</t>
  </si>
  <si>
    <t>FIN-00744</t>
  </si>
  <si>
    <t>FIN-00745</t>
  </si>
  <si>
    <t>FIN-00746</t>
  </si>
  <si>
    <t>FIN-00747</t>
  </si>
  <si>
    <t>FIN-00748</t>
  </si>
  <si>
    <t>FIN-00749</t>
  </si>
  <si>
    <t>FIN-00750</t>
  </si>
  <si>
    <t>FIN-00751</t>
  </si>
  <si>
    <t>FIN-00752</t>
  </si>
  <si>
    <t>FIN-00753</t>
  </si>
  <si>
    <t>FIN-00754</t>
  </si>
  <si>
    <t>FIN-00755</t>
  </si>
  <si>
    <t>FIN-00756</t>
  </si>
  <si>
    <t>FIN-00757</t>
  </si>
  <si>
    <t>FIN-00758</t>
  </si>
  <si>
    <t>FIN-00759</t>
  </si>
  <si>
    <t>FIN-00760</t>
  </si>
  <si>
    <t>FIN-00761</t>
  </si>
  <si>
    <t>FIN-00762</t>
  </si>
  <si>
    <t>FIN-00763</t>
  </si>
  <si>
    <t>FIN-00764</t>
  </si>
  <si>
    <t>FIN-00765</t>
  </si>
  <si>
    <t>FIN-00766</t>
  </si>
  <si>
    <t>FIN-00767</t>
  </si>
  <si>
    <t>FIN-00768</t>
  </si>
  <si>
    <t>FIN-00769</t>
  </si>
  <si>
    <t>FIN-00770</t>
  </si>
  <si>
    <t>FIN-00771</t>
  </si>
  <si>
    <t>FIN-00772</t>
  </si>
  <si>
    <t>FIN-00773</t>
  </si>
  <si>
    <t>FIN-00774</t>
  </si>
  <si>
    <t>FIN-00775</t>
  </si>
  <si>
    <t>FIN-00776</t>
  </si>
  <si>
    <t>FIN-00777</t>
  </si>
  <si>
    <t>FIN-00778</t>
  </si>
  <si>
    <t>FIN-00779</t>
  </si>
  <si>
    <t>FIN-00780</t>
  </si>
  <si>
    <t>FIN-00781</t>
  </si>
  <si>
    <t>FIN-00782</t>
  </si>
  <si>
    <t>FIN-00783</t>
  </si>
  <si>
    <t>FIN-00784</t>
  </si>
  <si>
    <t>FIN-00785</t>
  </si>
  <si>
    <t>FIN-00786</t>
  </si>
  <si>
    <t>FIN-00787</t>
  </si>
  <si>
    <t>FIN-00788</t>
  </si>
  <si>
    <t>FIN-00789</t>
  </si>
  <si>
    <t>FIN-00790</t>
  </si>
  <si>
    <t>FIN-00791</t>
  </si>
  <si>
    <t>FIN-00792</t>
  </si>
  <si>
    <t>FIN-00793</t>
  </si>
  <si>
    <t>FIN-00794</t>
  </si>
  <si>
    <t>FIN-00795</t>
  </si>
  <si>
    <t>FIN-00796</t>
  </si>
  <si>
    <t>FIN-00797</t>
  </si>
  <si>
    <t>FIN-00798</t>
  </si>
  <si>
    <t>FIN-00799</t>
  </si>
  <si>
    <t>FIN-00800</t>
  </si>
  <si>
    <t>FIN-00801</t>
  </si>
  <si>
    <t>FIN-00802</t>
  </si>
  <si>
    <t>FIN-00803</t>
  </si>
  <si>
    <t>FIN-00804</t>
  </si>
  <si>
    <t>FIN-00805</t>
  </si>
  <si>
    <t>FIN-00806</t>
  </si>
  <si>
    <t>FIN-00807</t>
  </si>
  <si>
    <t>FIN-00808</t>
  </si>
  <si>
    <t>FIN-00809</t>
  </si>
  <si>
    <t>FIN-00810</t>
  </si>
  <si>
    <t>FIN-00811</t>
  </si>
  <si>
    <t>FIN-00812</t>
  </si>
  <si>
    <t>FIN-00813</t>
  </si>
  <si>
    <t>FIN-00814</t>
  </si>
  <si>
    <t>FIN-00815</t>
  </si>
  <si>
    <t>FIN-00816</t>
  </si>
  <si>
    <t>FIN-00817</t>
  </si>
  <si>
    <t>FIN-00818</t>
  </si>
  <si>
    <t>FIN-00819</t>
  </si>
  <si>
    <t>FIN-00820</t>
  </si>
  <si>
    <t>FIN-00821</t>
  </si>
  <si>
    <t>FIN-00822</t>
  </si>
  <si>
    <t>FIN-00823</t>
  </si>
  <si>
    <t>FIN-00824</t>
  </si>
  <si>
    <t>FIN-00825</t>
  </si>
  <si>
    <t>FIN-00826</t>
  </si>
  <si>
    <t>FIN-00827</t>
  </si>
  <si>
    <t>FIN-00828</t>
  </si>
  <si>
    <t>FIN-00829</t>
  </si>
  <si>
    <t>FIN-00830</t>
  </si>
  <si>
    <t>FIN-00831</t>
  </si>
  <si>
    <t>FIN-00832</t>
  </si>
  <si>
    <t>FIN-00833</t>
  </si>
  <si>
    <t>FIN-00834</t>
  </si>
  <si>
    <t>FIN-00835</t>
  </si>
  <si>
    <t>FIN-00836</t>
  </si>
  <si>
    <t>FIN-00837</t>
  </si>
  <si>
    <t>FIN-00838</t>
  </si>
  <si>
    <t>FIN-00839</t>
  </si>
  <si>
    <t>FIN-00840</t>
  </si>
  <si>
    <t>FIN-00841</t>
  </si>
  <si>
    <t>FIN-00842</t>
  </si>
  <si>
    <t>FIN-00843</t>
  </si>
  <si>
    <t>FIN-00844</t>
  </si>
  <si>
    <t>FIN-00845</t>
  </si>
  <si>
    <t>FIN-00846</t>
  </si>
  <si>
    <t>FIN-00847</t>
  </si>
  <si>
    <t>FIN-00848</t>
  </si>
  <si>
    <t>FIN-00849</t>
  </si>
  <si>
    <t>FIN-00850</t>
  </si>
  <si>
    <t>FIN-00851</t>
  </si>
  <si>
    <t>FIN-00852</t>
  </si>
  <si>
    <t>FIN-00853</t>
  </si>
  <si>
    <t>FIN-00854</t>
  </si>
  <si>
    <t>FIN-00855</t>
  </si>
  <si>
    <t>FIN-00856</t>
  </si>
  <si>
    <t>FIN-00857</t>
  </si>
  <si>
    <t>FIN-00858</t>
  </si>
  <si>
    <t>FIN-00859</t>
  </si>
  <si>
    <t>FIN-00860</t>
  </si>
  <si>
    <t>FIN-00861</t>
  </si>
  <si>
    <t>FIN-00862</t>
  </si>
  <si>
    <t>FIN-00863</t>
  </si>
  <si>
    <t>FIN-00864</t>
  </si>
  <si>
    <t>FIN-00865</t>
  </si>
  <si>
    <t>FIN-00866</t>
  </si>
  <si>
    <t>FIN-00867</t>
  </si>
  <si>
    <t>FIN-00868</t>
  </si>
  <si>
    <t>FIN-00869</t>
  </si>
  <si>
    <t>FIN-00870</t>
  </si>
  <si>
    <t>FIN-00871</t>
  </si>
  <si>
    <t>FIN-00872</t>
  </si>
  <si>
    <t>FIN-00873</t>
  </si>
  <si>
    <t>FIN-00874</t>
  </si>
  <si>
    <t>FIN-00875</t>
  </si>
  <si>
    <t>FIN-00876</t>
  </si>
  <si>
    <t>FIN-00877</t>
  </si>
  <si>
    <t>FIN-00878</t>
  </si>
  <si>
    <t>FIN-00879</t>
  </si>
  <si>
    <t>FIN-00880</t>
  </si>
  <si>
    <t>FIN-00881</t>
  </si>
  <si>
    <t>FIN-00882</t>
  </si>
  <si>
    <t>FIN-00883</t>
  </si>
  <si>
    <t>FIN-00884</t>
  </si>
  <si>
    <t>FIN-00885</t>
  </si>
  <si>
    <t>FIN-00886</t>
  </si>
  <si>
    <t>FIN-00887</t>
  </si>
  <si>
    <t>FIN-00888</t>
  </si>
  <si>
    <t>FIN-00889</t>
  </si>
  <si>
    <t>FIN-00890</t>
  </si>
  <si>
    <t>FIN-00891</t>
  </si>
  <si>
    <t>FIN-00892</t>
  </si>
  <si>
    <t>FIN-00893</t>
  </si>
  <si>
    <t>FIN-00894</t>
  </si>
  <si>
    <t>FIN-00895</t>
  </si>
  <si>
    <t>FIN-00896</t>
  </si>
  <si>
    <t>FIN-00897</t>
  </si>
  <si>
    <t>FIN-00898</t>
  </si>
  <si>
    <t>FIN-00899</t>
  </si>
  <si>
    <t>FIN-00900</t>
  </si>
  <si>
    <t>FIN-00901</t>
  </si>
  <si>
    <t>FIN-00902</t>
  </si>
  <si>
    <t>FIN-00903</t>
  </si>
  <si>
    <t>FIN-00904</t>
  </si>
  <si>
    <t>FIN-00905</t>
  </si>
  <si>
    <t>FIN-00906</t>
  </si>
  <si>
    <t>FIN-00907</t>
  </si>
  <si>
    <t>FIN-00908</t>
  </si>
  <si>
    <t>FIN-00909</t>
  </si>
  <si>
    <t>FIN-00910</t>
  </si>
  <si>
    <t>FIN-00911</t>
  </si>
  <si>
    <t>FIN-00912</t>
  </si>
  <si>
    <t>FIN-00913</t>
  </si>
  <si>
    <t>FIN-00914</t>
  </si>
  <si>
    <t>FIN-00915</t>
  </si>
  <si>
    <t>FIN-00916</t>
  </si>
  <si>
    <t>FIN-00917</t>
  </si>
  <si>
    <t>FIN-00918</t>
  </si>
  <si>
    <t>FIN-00919</t>
  </si>
  <si>
    <t>FIN-00920</t>
  </si>
  <si>
    <t>FIN-00921</t>
  </si>
  <si>
    <t>FIN-00922</t>
  </si>
  <si>
    <t>FIN-00923</t>
  </si>
  <si>
    <t>FIN-00924</t>
  </si>
  <si>
    <t>FIN-00925</t>
  </si>
  <si>
    <t>FIN-00926</t>
  </si>
  <si>
    <t>FIN-00927</t>
  </si>
  <si>
    <t>FIN-00928</t>
  </si>
  <si>
    <t>FIN-00929</t>
  </si>
  <si>
    <t>FIN-00930</t>
  </si>
  <si>
    <t>FIN-00931</t>
  </si>
  <si>
    <t>FIN-00932</t>
  </si>
  <si>
    <t>FIN-00933</t>
  </si>
  <si>
    <t>FIN-00934</t>
  </si>
  <si>
    <t>FIN-00935</t>
  </si>
  <si>
    <t>FIN-00936</t>
  </si>
  <si>
    <t>FIN-00937</t>
  </si>
  <si>
    <t>FIN-00938</t>
  </si>
  <si>
    <t>FIN-00939</t>
  </si>
  <si>
    <t>FIN-00940</t>
  </si>
  <si>
    <t>FIN-00941</t>
  </si>
  <si>
    <t>FIN-00942</t>
  </si>
  <si>
    <t>FIN-00943</t>
  </si>
  <si>
    <t>FIN-00944</t>
  </si>
  <si>
    <t>FIN-00945</t>
  </si>
  <si>
    <t>FIN-00946</t>
  </si>
  <si>
    <t>FIN-00947</t>
  </si>
  <si>
    <t>FIN-00948</t>
  </si>
  <si>
    <t>FIN-00949</t>
  </si>
  <si>
    <t>FIN-00950</t>
  </si>
  <si>
    <t>FIN-00951</t>
  </si>
  <si>
    <t>FIN-00952</t>
  </si>
  <si>
    <t>FIN-00953</t>
  </si>
  <si>
    <t>FIN-00954</t>
  </si>
  <si>
    <t>FIN-00955</t>
  </si>
  <si>
    <t>FIN-00956</t>
  </si>
  <si>
    <t>FIN-00957</t>
  </si>
  <si>
    <t>FIN-00958</t>
  </si>
  <si>
    <t>FIN-00959</t>
  </si>
  <si>
    <t>FIN-00960</t>
  </si>
  <si>
    <t>FIN-00961</t>
  </si>
  <si>
    <t>FIN-00962</t>
  </si>
  <si>
    <t>FIN-00963</t>
  </si>
  <si>
    <t>FIN-00964</t>
  </si>
  <si>
    <t>FIN-00965</t>
  </si>
  <si>
    <t>FIN-00966</t>
  </si>
  <si>
    <t>FIN-00967</t>
  </si>
  <si>
    <t>FIN-00968</t>
  </si>
  <si>
    <t>FIN-00969</t>
  </si>
  <si>
    <t>FIN-00970</t>
  </si>
  <si>
    <t>FIN-00971</t>
  </si>
  <si>
    <t>FIN-00972</t>
  </si>
  <si>
    <t>FIN-00973</t>
  </si>
  <si>
    <t>FIN-00974</t>
  </si>
  <si>
    <t>FIN-00975</t>
  </si>
  <si>
    <t>FIN-00976</t>
  </si>
  <si>
    <t>FIN-00977</t>
  </si>
  <si>
    <t>FIN-00978</t>
  </si>
  <si>
    <t>FIN-00979</t>
  </si>
  <si>
    <t>FIN-00980</t>
  </si>
  <si>
    <t>FIN-00981</t>
  </si>
  <si>
    <t>FIN-00982</t>
  </si>
  <si>
    <t>FIN-00983</t>
  </si>
  <si>
    <t>FIN-00984</t>
  </si>
  <si>
    <t>FIN-00985</t>
  </si>
  <si>
    <t>FIN-00986</t>
  </si>
  <si>
    <t>FIN-00987</t>
  </si>
  <si>
    <t>FIN-00988</t>
  </si>
  <si>
    <t>FIN-00989</t>
  </si>
  <si>
    <t>FIN-00990</t>
  </si>
  <si>
    <t>FIN-00991</t>
  </si>
  <si>
    <t>FIN-00992</t>
  </si>
  <si>
    <t>FIN-00993</t>
  </si>
  <si>
    <t>FIN-00994</t>
  </si>
  <si>
    <t>FIN-00995</t>
  </si>
  <si>
    <t>FIN-00996</t>
  </si>
  <si>
    <t>FIN-00997</t>
  </si>
  <si>
    <t>FIN-00998</t>
  </si>
  <si>
    <t>FIN-00999</t>
  </si>
  <si>
    <t>FIN-01000</t>
  </si>
  <si>
    <t>FIN-01001</t>
  </si>
  <si>
    <t>FIN-01002</t>
  </si>
  <si>
    <t>FIN-01003</t>
  </si>
  <si>
    <t>FIN-01004</t>
  </si>
  <si>
    <t>FIN-01005</t>
  </si>
  <si>
    <t>FIN-01006</t>
  </si>
  <si>
    <t>FIN-01007</t>
  </si>
  <si>
    <t>FIN-01008</t>
  </si>
  <si>
    <t>FIN-01009</t>
  </si>
  <si>
    <t>FIN-01010</t>
  </si>
  <si>
    <t>FIN-01011</t>
  </si>
  <si>
    <t>FIN-01012</t>
  </si>
  <si>
    <t>FIN-01013</t>
  </si>
  <si>
    <t>FIN-01014</t>
  </si>
  <si>
    <t>FIN-01015</t>
  </si>
  <si>
    <t>FIN-01016</t>
  </si>
  <si>
    <t>FIN-01017</t>
  </si>
  <si>
    <t>FIN-01018</t>
  </si>
  <si>
    <t>FIN-01019</t>
  </si>
  <si>
    <t>FIN-01020</t>
  </si>
  <si>
    <t>FIN-01021</t>
  </si>
  <si>
    <t>FIN-01022</t>
  </si>
  <si>
    <t>FIN-01023</t>
  </si>
  <si>
    <t>FIN-01024</t>
  </si>
  <si>
    <t>FIN-01025</t>
  </si>
  <si>
    <t>FIN-01026</t>
  </si>
  <si>
    <t>FIN-01027</t>
  </si>
  <si>
    <t>FIN-01028</t>
  </si>
  <si>
    <t>FIN-01029</t>
  </si>
  <si>
    <t>FIN-01030</t>
  </si>
  <si>
    <t>FIN-01031</t>
  </si>
  <si>
    <t>FIN-01032</t>
  </si>
  <si>
    <t>FIN-01033</t>
  </si>
  <si>
    <t>FIN-01034</t>
  </si>
  <si>
    <t>FIN-01035</t>
  </si>
  <si>
    <t>FIN-01036</t>
  </si>
  <si>
    <t>FIN-01037</t>
  </si>
  <si>
    <t>FIN-01038</t>
  </si>
  <si>
    <t>FIN-01039</t>
  </si>
  <si>
    <t>FIN-01040</t>
  </si>
  <si>
    <t>FIN-01041</t>
  </si>
  <si>
    <t>FIN-01042</t>
  </si>
  <si>
    <t>FIN-01043</t>
  </si>
  <si>
    <t>FIN-01044</t>
  </si>
  <si>
    <t>FIN-01045</t>
  </si>
  <si>
    <t>FIN-01046</t>
  </si>
  <si>
    <t>FIN-01047</t>
  </si>
  <si>
    <t>FIN-01048</t>
  </si>
  <si>
    <t>FIN-01049</t>
  </si>
  <si>
    <t>FIN-01050</t>
  </si>
  <si>
    <t>FIN-01051</t>
  </si>
  <si>
    <t>FIN-01052</t>
  </si>
  <si>
    <t>FIN-01053</t>
  </si>
  <si>
    <t>FIN-01054</t>
  </si>
  <si>
    <t>FIN-01055</t>
  </si>
  <si>
    <t>FIN-01056</t>
  </si>
  <si>
    <t>FIN-01057</t>
  </si>
  <si>
    <t>FIN-01058</t>
  </si>
  <si>
    <t>FIN-01059</t>
  </si>
  <si>
    <t>FIN-01060</t>
  </si>
  <si>
    <t>FIN-01061</t>
  </si>
  <si>
    <t>FIN-01062</t>
  </si>
  <si>
    <t>FIN-01063</t>
  </si>
  <si>
    <t>FIN-01064</t>
  </si>
  <si>
    <t>FIN-01065</t>
  </si>
  <si>
    <t>FIN-01066</t>
  </si>
  <si>
    <t>FIN-01067</t>
  </si>
  <si>
    <t>FIN-01068</t>
  </si>
  <si>
    <t>FIN-01069</t>
  </si>
  <si>
    <t>FIN-01070</t>
  </si>
  <si>
    <t>FIN-01071</t>
  </si>
  <si>
    <t>FIN-01072</t>
  </si>
  <si>
    <t>FIN-01073</t>
  </si>
  <si>
    <t>FIN-01074</t>
  </si>
  <si>
    <t>FIN-01075</t>
  </si>
  <si>
    <t>FIN-01076</t>
  </si>
  <si>
    <t>FIN-01077</t>
  </si>
  <si>
    <t>FIN-01078</t>
  </si>
  <si>
    <t>FIN-01079</t>
  </si>
  <si>
    <t>FIN-01080</t>
  </si>
  <si>
    <t>FIN-01081</t>
  </si>
  <si>
    <t>FIN-01082</t>
  </si>
  <si>
    <t>FIN-01083</t>
  </si>
  <si>
    <t>FIN-01084</t>
  </si>
  <si>
    <t>FIN-01085</t>
  </si>
  <si>
    <t>FIN-01086</t>
  </si>
  <si>
    <t>FIN-01087</t>
  </si>
  <si>
    <t>FIN-01088</t>
  </si>
  <si>
    <t>FIN-01089</t>
  </si>
  <si>
    <t>FIN-01090</t>
  </si>
  <si>
    <t>FIN-01091</t>
  </si>
  <si>
    <t>FIN-01092</t>
  </si>
  <si>
    <t>FIN-01093</t>
  </si>
  <si>
    <t>FIN-01094</t>
  </si>
  <si>
    <t>FIN-01095</t>
  </si>
  <si>
    <t>FIN-01096</t>
  </si>
  <si>
    <t>FIN-01097</t>
  </si>
  <si>
    <t>FIN-01098</t>
  </si>
  <si>
    <t>FIN-01099</t>
  </si>
  <si>
    <t>FIN-01100</t>
  </si>
  <si>
    <t>FIN-01101</t>
  </si>
  <si>
    <t>FIN-01102</t>
  </si>
  <si>
    <t>FIN-01103</t>
  </si>
  <si>
    <t>FIN-01104</t>
  </si>
  <si>
    <t>FIN-01105</t>
  </si>
  <si>
    <t>FIN-01106</t>
  </si>
  <si>
    <t>FIN-01107</t>
  </si>
  <si>
    <t>FIN-01108</t>
  </si>
  <si>
    <t>FIN-01109</t>
  </si>
  <si>
    <t>FIN-01110</t>
  </si>
  <si>
    <t>FIN-01111</t>
  </si>
  <si>
    <t>FIN-01112</t>
  </si>
  <si>
    <t>FIN-01113</t>
  </si>
  <si>
    <t>FIN-01114</t>
  </si>
  <si>
    <t>FIN-01115</t>
  </si>
  <si>
    <t>FIN-01116</t>
  </si>
  <si>
    <t>FIN-01117</t>
  </si>
  <si>
    <t>FIN-01118</t>
  </si>
  <si>
    <t>FIN-01119</t>
  </si>
  <si>
    <t>FIN-01120</t>
  </si>
  <si>
    <t>FIN-01121</t>
  </si>
  <si>
    <t>FIN-01122</t>
  </si>
  <si>
    <t>FIN-01123</t>
  </si>
  <si>
    <t>FIN-01124</t>
  </si>
  <si>
    <t>FIN-01125</t>
  </si>
  <si>
    <t>FIN-01126</t>
  </si>
  <si>
    <t>FIN-01127</t>
  </si>
  <si>
    <t>FIN-01128</t>
  </si>
  <si>
    <t>FIN-01129</t>
  </si>
  <si>
    <t>FIN-01130</t>
  </si>
  <si>
    <t>FIN-01131</t>
  </si>
  <si>
    <t>FIN-01132</t>
  </si>
  <si>
    <t>FIN-01133</t>
  </si>
  <si>
    <t>FIN-01134</t>
  </si>
  <si>
    <t>FIN-01135</t>
  </si>
  <si>
    <t>FIN-01136</t>
  </si>
  <si>
    <t>FIN-01137</t>
  </si>
  <si>
    <t>FIN-01138</t>
  </si>
  <si>
    <t>FIN-01139</t>
  </si>
  <si>
    <t>FIN-01140</t>
  </si>
  <si>
    <t>FIN-01141</t>
  </si>
  <si>
    <t>FIN-01142</t>
  </si>
  <si>
    <t>FIN-01143</t>
  </si>
  <si>
    <t>FIN-01144</t>
  </si>
  <si>
    <t>FIN-01145</t>
  </si>
  <si>
    <t>FIN-01146</t>
  </si>
  <si>
    <t>FIN-01147</t>
  </si>
  <si>
    <t>FIN-01148</t>
  </si>
  <si>
    <t>FIN-01149</t>
  </si>
  <si>
    <t>FIN-01150</t>
  </si>
  <si>
    <t>FIN-01151</t>
  </si>
  <si>
    <t>FIN-01152</t>
  </si>
  <si>
    <t>FIN-01153</t>
  </si>
  <si>
    <t>FIN-01154</t>
  </si>
  <si>
    <t>FIN-01155</t>
  </si>
  <si>
    <t>FIN-01156</t>
  </si>
  <si>
    <t>FIN-01157</t>
  </si>
  <si>
    <t>FIN-01158</t>
  </si>
  <si>
    <t>FIN-01159</t>
  </si>
  <si>
    <t>FIN-01160</t>
  </si>
  <si>
    <t>FIN-01161</t>
  </si>
  <si>
    <t>FIN-01162</t>
  </si>
  <si>
    <t>FIN-01163</t>
  </si>
  <si>
    <t>FIN-01164</t>
  </si>
  <si>
    <t>FIN-01165</t>
  </si>
  <si>
    <t>FIN-01166</t>
  </si>
  <si>
    <t>FIN-01167</t>
  </si>
  <si>
    <t>FIN-01168</t>
  </si>
  <si>
    <t>FIN-01169</t>
  </si>
  <si>
    <t>FIN-01170</t>
  </si>
  <si>
    <t>FIN-01171</t>
  </si>
  <si>
    <t>FIN-01172</t>
  </si>
  <si>
    <t>FIN-01173</t>
  </si>
  <si>
    <t>FIN-01174</t>
  </si>
  <si>
    <t>FIN-01175</t>
  </si>
  <si>
    <t>FIN-01176</t>
  </si>
  <si>
    <t>FIN-01177</t>
  </si>
  <si>
    <t>FIN-01178</t>
  </si>
  <si>
    <t>FIN-01179</t>
  </si>
  <si>
    <t>FIN-01180</t>
  </si>
  <si>
    <t>FIN-01181</t>
  </si>
  <si>
    <t>FIN-01182</t>
  </si>
  <si>
    <t>FIN-01183</t>
  </si>
  <si>
    <t>FIN-01184</t>
  </si>
  <si>
    <t>FIN-01185</t>
  </si>
  <si>
    <t>FIN-01186</t>
  </si>
  <si>
    <t>FIN-01187</t>
  </si>
  <si>
    <t>FIN-01188</t>
  </si>
  <si>
    <t>FIN-01189</t>
  </si>
  <si>
    <t>FIN-01190</t>
  </si>
  <si>
    <t>FIN-01191</t>
  </si>
  <si>
    <t>FIN-01192</t>
  </si>
  <si>
    <t>FIN-01193</t>
  </si>
  <si>
    <t>FIN-01194</t>
  </si>
  <si>
    <t>FIN-01195</t>
  </si>
  <si>
    <t>FIN-01196</t>
  </si>
  <si>
    <t>FIN-01197</t>
  </si>
  <si>
    <t>FIN-01198</t>
  </si>
  <si>
    <t>FIN-01199</t>
  </si>
  <si>
    <t>FIN-01200</t>
  </si>
  <si>
    <t>FIN-01201</t>
  </si>
  <si>
    <t>FIN-01202</t>
  </si>
  <si>
    <t>FIN-01203</t>
  </si>
  <si>
    <t>FIN-01204</t>
  </si>
  <si>
    <t>FIN-01205</t>
  </si>
  <si>
    <t>FIN-01206</t>
  </si>
  <si>
    <t>FIN-01207</t>
  </si>
  <si>
    <t>FIN-01208</t>
  </si>
  <si>
    <t>FIN-01209</t>
  </si>
  <si>
    <t>FIN-01210</t>
  </si>
  <si>
    <t>FIN-01211</t>
  </si>
  <si>
    <t>FIN-01212</t>
  </si>
  <si>
    <t>FIN-01213</t>
  </si>
  <si>
    <t>FIN-01214</t>
  </si>
  <si>
    <t>FIN-01215</t>
  </si>
  <si>
    <t>FIN-01216</t>
  </si>
  <si>
    <t>FIN-01217</t>
  </si>
  <si>
    <t>FIN-01218</t>
  </si>
  <si>
    <t>FIN-01219</t>
  </si>
  <si>
    <t>FIN-01220</t>
  </si>
  <si>
    <t>FIN-01221</t>
  </si>
  <si>
    <t>FIN-01222</t>
  </si>
  <si>
    <t>FIN-01223</t>
  </si>
  <si>
    <t>FIN-01224</t>
  </si>
  <si>
    <t>FIN-01225</t>
  </si>
  <si>
    <t>FIN-01226</t>
  </si>
  <si>
    <t>FIN-01227</t>
  </si>
  <si>
    <t>FIN-01228</t>
  </si>
  <si>
    <t>FIN-01229</t>
  </si>
  <si>
    <t>FIN-01230</t>
  </si>
  <si>
    <t>FIN-01231</t>
  </si>
  <si>
    <t>FIN-01232</t>
  </si>
  <si>
    <t>FIN-01233</t>
  </si>
  <si>
    <t>FIN-01234</t>
  </si>
  <si>
    <t>FIN-01235</t>
  </si>
  <si>
    <t>FIN-01236</t>
  </si>
  <si>
    <t>FIN-01237</t>
  </si>
  <si>
    <t>FIN-01238</t>
  </si>
  <si>
    <t>FIN-01239</t>
  </si>
  <si>
    <t>FIN-01240</t>
  </si>
  <si>
    <t>FIN-01241</t>
  </si>
  <si>
    <t>FIN-01242</t>
  </si>
  <si>
    <t>FIN-01243</t>
  </si>
  <si>
    <t>FIN-01244</t>
  </si>
  <si>
    <t>FIN-01245</t>
  </si>
  <si>
    <t>FIN-01246</t>
  </si>
  <si>
    <t>FIN-01247</t>
  </si>
  <si>
    <t>FIN-01248</t>
  </si>
  <si>
    <t>FIN-01249</t>
  </si>
  <si>
    <t>FIN-01250</t>
  </si>
  <si>
    <t>FIN-01251</t>
  </si>
  <si>
    <t>FIN-01252</t>
  </si>
  <si>
    <t>FIN-01253</t>
  </si>
  <si>
    <t>FIN-01254</t>
  </si>
  <si>
    <t>FIN-01255</t>
  </si>
  <si>
    <t>FIN-01256</t>
  </si>
  <si>
    <t>FIN-01257</t>
  </si>
  <si>
    <t>FIN-01258</t>
  </si>
  <si>
    <t>FIN-01259</t>
  </si>
  <si>
    <t>FIN-01260</t>
  </si>
  <si>
    <t>FIN-01261</t>
  </si>
  <si>
    <t>FIN-01262</t>
  </si>
  <si>
    <t>FIN-01263</t>
  </si>
  <si>
    <t>FIN-01264</t>
  </si>
  <si>
    <t>FIN-01265</t>
  </si>
  <si>
    <t>FIN-01266</t>
  </si>
  <si>
    <t>FIN-01267</t>
  </si>
  <si>
    <t>FIN-01268</t>
  </si>
  <si>
    <t>FIN-01269</t>
  </si>
  <si>
    <t>FIN-01270</t>
  </si>
  <si>
    <t>FIN-01271</t>
  </si>
  <si>
    <t>FIN-01272</t>
  </si>
  <si>
    <t>FIN-01273</t>
  </si>
  <si>
    <t>FIN-01274</t>
  </si>
  <si>
    <t>FIN-01275</t>
  </si>
  <si>
    <t>FIN-01276</t>
  </si>
  <si>
    <t>FIN-01277</t>
  </si>
  <si>
    <t>FIN-01278</t>
  </si>
  <si>
    <t>FIN-01279</t>
  </si>
  <si>
    <t>FIN-01280</t>
  </si>
  <si>
    <t>FIN-01281</t>
  </si>
  <si>
    <t>FIN-01282</t>
  </si>
  <si>
    <t>FIN-01283</t>
  </si>
  <si>
    <t>FIN-01284</t>
  </si>
  <si>
    <t>FIN-01285</t>
  </si>
  <si>
    <t>FIN-01286</t>
  </si>
  <si>
    <t>FIN-01287</t>
  </si>
  <si>
    <t>FIN-01288</t>
  </si>
  <si>
    <t>FIN-01289</t>
  </si>
  <si>
    <t>FIN-01290</t>
  </si>
  <si>
    <t>FIN-01291</t>
  </si>
  <si>
    <t>FIN-01292</t>
  </si>
  <si>
    <t>FIN-01293</t>
  </si>
  <si>
    <t>FIN-01294</t>
  </si>
  <si>
    <t>FIN-01295</t>
  </si>
  <si>
    <t>FIN-01296</t>
  </si>
  <si>
    <t>FIN-01297</t>
  </si>
  <si>
    <t>FIN-01298</t>
  </si>
  <si>
    <t>FIN-01299</t>
  </si>
  <si>
    <t>FIN-01300</t>
  </si>
  <si>
    <t>FIN-01301</t>
  </si>
  <si>
    <t>FIN-01302</t>
  </si>
  <si>
    <t>FIN-01303</t>
  </si>
  <si>
    <t>FIN-01304</t>
  </si>
  <si>
    <t>FIN-01305</t>
  </si>
  <si>
    <t>FIN-01306</t>
  </si>
  <si>
    <t>FIN-01307</t>
  </si>
  <si>
    <t>FIN-01308</t>
  </si>
  <si>
    <t>FIN-01309</t>
  </si>
  <si>
    <t>FIN-01310</t>
  </si>
  <si>
    <t>FIN-01311</t>
  </si>
  <si>
    <t>FIN-01312</t>
  </si>
  <si>
    <t>FIN-01313</t>
  </si>
  <si>
    <t>FIN-01314</t>
  </si>
  <si>
    <t>FIN-01315</t>
  </si>
  <si>
    <t>FIN-01316</t>
  </si>
  <si>
    <t>FIN-01317</t>
  </si>
  <si>
    <t>FIN-01318</t>
  </si>
  <si>
    <t>FIN-01319</t>
  </si>
  <si>
    <t>FIN-01320</t>
  </si>
  <si>
    <t>FIN-01321</t>
  </si>
  <si>
    <t>FIN-01322</t>
  </si>
  <si>
    <t>FIN-01323</t>
  </si>
  <si>
    <t>FIN-01324</t>
  </si>
  <si>
    <t>FIN-01325</t>
  </si>
  <si>
    <t>FIN-01326</t>
  </si>
  <si>
    <t>FIN-01327</t>
  </si>
  <si>
    <t>FIN-01328</t>
  </si>
  <si>
    <t>FIN-01329</t>
  </si>
  <si>
    <t>FIN-01330</t>
  </si>
  <si>
    <t>FIN-01331</t>
  </si>
  <si>
    <t>FIN-01332</t>
  </si>
  <si>
    <t>FIN-01333</t>
  </si>
  <si>
    <t>FIN-01334</t>
  </si>
  <si>
    <t>FIN-01335</t>
  </si>
  <si>
    <t>FIN-01336</t>
  </si>
  <si>
    <t>FIN-01337</t>
  </si>
  <si>
    <t>FIN-01338</t>
  </si>
  <si>
    <t>FIN-01339</t>
  </si>
  <si>
    <t>FIN-01340</t>
  </si>
  <si>
    <t>FIN-01341</t>
  </si>
  <si>
    <t>FIN-01342</t>
  </si>
  <si>
    <t>FIN-01343</t>
  </si>
  <si>
    <t>FIN-01344</t>
  </si>
  <si>
    <t>FIN-01345</t>
  </si>
  <si>
    <t>FIN-01346</t>
  </si>
  <si>
    <t>FIN-01347</t>
  </si>
  <si>
    <t>FIN-01348</t>
  </si>
  <si>
    <t>FIN-01349</t>
  </si>
  <si>
    <t>FIN-01350</t>
  </si>
  <si>
    <t>FIN-01351</t>
  </si>
  <si>
    <t>FIN-01352</t>
  </si>
  <si>
    <t>FIN-01353</t>
  </si>
  <si>
    <t>FIN-01354</t>
  </si>
  <si>
    <t>FIN-01355</t>
  </si>
  <si>
    <t>FIN-01356</t>
  </si>
  <si>
    <t>FIN-01357</t>
  </si>
  <si>
    <t>FIN-01358</t>
  </si>
  <si>
    <t>FIN-01359</t>
  </si>
  <si>
    <t>FIN-01360</t>
  </si>
  <si>
    <t>FIN-01361</t>
  </si>
  <si>
    <t>FIN-01362</t>
  </si>
  <si>
    <t>FIN-01363</t>
  </si>
  <si>
    <t>FIN-01364</t>
  </si>
  <si>
    <t>FIN-01365</t>
  </si>
  <si>
    <t>FIN-01366</t>
  </si>
  <si>
    <t>FIN-01367</t>
  </si>
  <si>
    <t>FIN-01368</t>
  </si>
  <si>
    <t>FIN-01369</t>
  </si>
  <si>
    <t>FIN-01370</t>
  </si>
  <si>
    <t>FIN-01371</t>
  </si>
  <si>
    <t>FIN-01372</t>
  </si>
  <si>
    <t>FIN-01373</t>
  </si>
  <si>
    <t>FIN-01374</t>
  </si>
  <si>
    <t>FIN-01375</t>
  </si>
  <si>
    <t>FIN-01376</t>
  </si>
  <si>
    <t>FIN-01377</t>
  </si>
  <si>
    <t>FIN-01378</t>
  </si>
  <si>
    <t>FIN-01379</t>
  </si>
  <si>
    <t>FIN-01380</t>
  </si>
  <si>
    <t>FIN-01381</t>
  </si>
  <si>
    <t>FIN-01382</t>
  </si>
  <si>
    <t>FIN-01383</t>
  </si>
  <si>
    <t>FIN-01384</t>
  </si>
  <si>
    <t>FIN-01385</t>
  </si>
  <si>
    <t>FIN-01386</t>
  </si>
  <si>
    <t>FIN-01387</t>
  </si>
  <si>
    <t>FIN-01388</t>
  </si>
  <si>
    <t>FIN-01389</t>
  </si>
  <si>
    <t>FIN-01390</t>
  </si>
  <si>
    <t>FIN-01391</t>
  </si>
  <si>
    <t>FIN-01392</t>
  </si>
  <si>
    <t>FIN-01393</t>
  </si>
  <si>
    <t>FIN-01394</t>
  </si>
  <si>
    <t>FIN-01395</t>
  </si>
  <si>
    <t>FIN-01396</t>
  </si>
  <si>
    <t>FIN-01397</t>
  </si>
  <si>
    <t>FIN-01398</t>
  </si>
  <si>
    <t>FIN-01399</t>
  </si>
  <si>
    <t>FIN-01400</t>
  </si>
  <si>
    <t>FIN-01401</t>
  </si>
  <si>
    <t>FIN-01402</t>
  </si>
  <si>
    <t>FIN-01403</t>
  </si>
  <si>
    <t>FIN-01404</t>
  </si>
  <si>
    <t>FIN-01405</t>
  </si>
  <si>
    <t>FIN-01406</t>
  </si>
  <si>
    <t>FIN-01407</t>
  </si>
  <si>
    <t>FIN-01408</t>
  </si>
  <si>
    <t>FIN-01409</t>
  </si>
  <si>
    <t>FIN-01410</t>
  </si>
  <si>
    <t>FIN-01411</t>
  </si>
  <si>
    <t>FIN-01412</t>
  </si>
  <si>
    <t>FIN-01413</t>
  </si>
  <si>
    <t>FIN-01414</t>
  </si>
  <si>
    <t>FIN-01415</t>
  </si>
  <si>
    <t>FIN-01416</t>
  </si>
  <si>
    <t>FIN-01417</t>
  </si>
  <si>
    <t>FIN-01418</t>
  </si>
  <si>
    <t>FIN-01419</t>
  </si>
  <si>
    <t>FIN-01420</t>
  </si>
  <si>
    <t>FIN-01421</t>
  </si>
  <si>
    <t>FIN-01422</t>
  </si>
  <si>
    <t>FIN-01423</t>
  </si>
  <si>
    <t>FIN-01424</t>
  </si>
  <si>
    <t>FIN-01425</t>
  </si>
  <si>
    <t>FIN-01426</t>
  </si>
  <si>
    <t>FIN-01427</t>
  </si>
  <si>
    <t>FIN-01428</t>
  </si>
  <si>
    <t>FIN-01429</t>
  </si>
  <si>
    <t>FIN-01430</t>
  </si>
  <si>
    <t>FIN-01431</t>
  </si>
  <si>
    <t>FIN-01432</t>
  </si>
  <si>
    <t>FIN-01433</t>
  </si>
  <si>
    <t>FIN-01434</t>
  </si>
  <si>
    <t>FIN-01435</t>
  </si>
  <si>
    <t>FIN-01436</t>
  </si>
  <si>
    <t>FIN-01437</t>
  </si>
  <si>
    <t>FIN-01438</t>
  </si>
  <si>
    <t>FIN-01439</t>
  </si>
  <si>
    <t>FIN-01440</t>
  </si>
  <si>
    <t>FIN-01441</t>
  </si>
  <si>
    <t>FIN-01442</t>
  </si>
  <si>
    <t>FIN-01443</t>
  </si>
  <si>
    <t>FIN-01444</t>
  </si>
  <si>
    <t>FIN-01445</t>
  </si>
  <si>
    <t>FIN-01446</t>
  </si>
  <si>
    <t>FIN-01447</t>
  </si>
  <si>
    <t>FIN-01448</t>
  </si>
  <si>
    <t>FIN-01449</t>
  </si>
  <si>
    <t>FIN-01450</t>
  </si>
  <si>
    <t>FIN-01451</t>
  </si>
  <si>
    <t>FIN-01452</t>
  </si>
  <si>
    <t>FIN-01453</t>
  </si>
  <si>
    <t>FIN-01454</t>
  </si>
  <si>
    <t>FIN-01455</t>
  </si>
  <si>
    <t>FIN-01456</t>
  </si>
  <si>
    <t>FIN-01457</t>
  </si>
  <si>
    <t>FIN-01458</t>
  </si>
  <si>
    <t>FIN-01459</t>
  </si>
  <si>
    <t>FIN-01460</t>
  </si>
  <si>
    <t>FIN-01461</t>
  </si>
  <si>
    <t>FIN-01462</t>
  </si>
  <si>
    <t>FIN-01463</t>
  </si>
  <si>
    <t>FIN-01464</t>
  </si>
  <si>
    <t>FIN-01465</t>
  </si>
  <si>
    <t>FIN-01466</t>
  </si>
  <si>
    <t>FIN-01467</t>
  </si>
  <si>
    <t>FIN-01468</t>
  </si>
  <si>
    <t>FIN-01469</t>
  </si>
  <si>
    <t>FIN-01470</t>
  </si>
  <si>
    <t>FIN-01471</t>
  </si>
  <si>
    <t>FIN-01472</t>
  </si>
  <si>
    <t>FIN-01473</t>
  </si>
  <si>
    <t>FIN-01474</t>
  </si>
  <si>
    <t>FIN-01475</t>
  </si>
  <si>
    <t>FIN-01476</t>
  </si>
  <si>
    <t>FIN-01477</t>
  </si>
  <si>
    <t>FIN-01478</t>
  </si>
  <si>
    <t>FIN-01479</t>
  </si>
  <si>
    <t>FIN-01480</t>
  </si>
  <si>
    <t>FIN-01481</t>
  </si>
  <si>
    <t>FIN-01482</t>
  </si>
  <si>
    <t>FIN-01483</t>
  </si>
  <si>
    <t>FIN-01484</t>
  </si>
  <si>
    <t>FIN-01485</t>
  </si>
  <si>
    <t>FIN-01486</t>
  </si>
  <si>
    <t>FIN-01487</t>
  </si>
  <si>
    <t>FIN-01488</t>
  </si>
  <si>
    <t>FIN-01489</t>
  </si>
  <si>
    <t>FIN-01490</t>
  </si>
  <si>
    <t>FIN-01491</t>
  </si>
  <si>
    <t>FIN-01492</t>
  </si>
  <si>
    <t>FIN-01493</t>
  </si>
  <si>
    <t>FIN-01494</t>
  </si>
  <si>
    <t>FIN-01495</t>
  </si>
  <si>
    <t>FIN-01496</t>
  </si>
  <si>
    <t>FIN-01497</t>
  </si>
  <si>
    <t>FIN-01498</t>
  </si>
  <si>
    <t>FIN-01499</t>
  </si>
  <si>
    <t>FIN-01500</t>
  </si>
  <si>
    <t>FIN-01501</t>
  </si>
  <si>
    <t>FIN-01502</t>
  </si>
  <si>
    <t>FIN-01503</t>
  </si>
  <si>
    <t>FIN-01504</t>
  </si>
  <si>
    <t>FIN-01505</t>
  </si>
  <si>
    <t>FIN-01506</t>
  </si>
  <si>
    <t>FIN-01507</t>
  </si>
  <si>
    <t>FIN-01508</t>
  </si>
  <si>
    <t>FIN-01509</t>
  </si>
  <si>
    <t>FIN-01510</t>
  </si>
  <si>
    <t>FIN-01511</t>
  </si>
  <si>
    <t>FIN-01512</t>
  </si>
  <si>
    <t>FIN-01513</t>
  </si>
  <si>
    <t>FIN-01514</t>
  </si>
  <si>
    <t>FIN-01515</t>
  </si>
  <si>
    <t>FIN-01516</t>
  </si>
  <si>
    <t>FIN-01517</t>
  </si>
  <si>
    <t>FIN-01518</t>
  </si>
  <si>
    <t>FIN-01519</t>
  </si>
  <si>
    <t>FIN-01520</t>
  </si>
  <si>
    <t>FIN-01521</t>
  </si>
  <si>
    <t>FIN-01522</t>
  </si>
  <si>
    <t>FIN-01523</t>
  </si>
  <si>
    <t>FIN-01524</t>
  </si>
  <si>
    <t>FIN-01525</t>
  </si>
  <si>
    <t>FIN-01526</t>
  </si>
  <si>
    <t>FIN-01527</t>
  </si>
  <si>
    <t>FIN-01528</t>
  </si>
  <si>
    <t>FIN-01529</t>
  </si>
  <si>
    <t>FIN-01530</t>
  </si>
  <si>
    <t>FIN-01531</t>
  </si>
  <si>
    <t>FIN-01532</t>
  </si>
  <si>
    <t>FIN-01533</t>
  </si>
  <si>
    <t>FIN-01534</t>
  </si>
  <si>
    <t>FIN-01535</t>
  </si>
  <si>
    <t>FIN-01536</t>
  </si>
  <si>
    <t>FIN-01537</t>
  </si>
  <si>
    <t>FIN-01538</t>
  </si>
  <si>
    <t>FIN-01539</t>
  </si>
  <si>
    <t>FIN-01540</t>
  </si>
  <si>
    <t>FIN-01541</t>
  </si>
  <si>
    <t>FIN-01542</t>
  </si>
  <si>
    <t>FIN-01543</t>
  </si>
  <si>
    <t>FIN-01544</t>
  </si>
  <si>
    <t>FIN-01545</t>
  </si>
  <si>
    <t>FIN-01546</t>
  </si>
  <si>
    <t>FIN-01547</t>
  </si>
  <si>
    <t>FIN-01548</t>
  </si>
  <si>
    <t>FIN-01549</t>
  </si>
  <si>
    <t>FIN-01550</t>
  </si>
  <si>
    <t>FIN-01551</t>
  </si>
  <si>
    <t>FIN-01552</t>
  </si>
  <si>
    <t>FIN-01553</t>
  </si>
  <si>
    <t>FIN-01554</t>
  </si>
  <si>
    <t>FIN-01555</t>
  </si>
  <si>
    <t>FIN-01556</t>
  </si>
  <si>
    <t>FIN-01557</t>
  </si>
  <si>
    <t>FIN-01558</t>
  </si>
  <si>
    <t>FIN-01559</t>
  </si>
  <si>
    <t>FIN-01560</t>
  </si>
  <si>
    <t>FIN-01561</t>
  </si>
  <si>
    <t>FIN-01562</t>
  </si>
  <si>
    <t>FIN-01563</t>
  </si>
  <si>
    <t>FIN-01564</t>
  </si>
  <si>
    <t>FIN-01565</t>
  </si>
  <si>
    <t>FIN-01566</t>
  </si>
  <si>
    <t>FIN-01567</t>
  </si>
  <si>
    <t>FIN-01568</t>
  </si>
  <si>
    <t>FIN-01569</t>
  </si>
  <si>
    <t>FIN-01570</t>
  </si>
  <si>
    <t>FIN-01571</t>
  </si>
  <si>
    <t>FIN-01572</t>
  </si>
  <si>
    <t>FIN-01573</t>
  </si>
  <si>
    <t>FIN-01574</t>
  </si>
  <si>
    <t>FIN-01575</t>
  </si>
  <si>
    <t>FIN-01576</t>
  </si>
  <si>
    <t>FIN-01577</t>
  </si>
  <si>
    <t>FIN-01578</t>
  </si>
  <si>
    <t>FIN-01579</t>
  </si>
  <si>
    <t>FIN-01580</t>
  </si>
  <si>
    <t>FIN-01581</t>
  </si>
  <si>
    <t>FIN-01582</t>
  </si>
  <si>
    <t>FIN-01583</t>
  </si>
  <si>
    <t>FIN-01584</t>
  </si>
  <si>
    <t>FIN-01585</t>
  </si>
  <si>
    <t>FIN-01586</t>
  </si>
  <si>
    <t>FIN-01587</t>
  </si>
  <si>
    <t>FIN-01588</t>
  </si>
  <si>
    <t>FIN-01589</t>
  </si>
  <si>
    <t>FIN-01590</t>
  </si>
  <si>
    <t>FIN-01591</t>
  </si>
  <si>
    <t>FIN-01592</t>
  </si>
  <si>
    <t>FIN-01593</t>
  </si>
  <si>
    <t>FIN-01594</t>
  </si>
  <si>
    <t>FIN-01595</t>
  </si>
  <si>
    <t>FIN-01596</t>
  </si>
  <si>
    <t>FIN-01597</t>
  </si>
  <si>
    <t>FIN-01598</t>
  </si>
  <si>
    <t>FIN-01599</t>
  </si>
  <si>
    <t>FIN-01600</t>
  </si>
  <si>
    <t>FIN-01601</t>
  </si>
  <si>
    <t>FIN-01602</t>
  </si>
  <si>
    <t>FIN-01603</t>
  </si>
  <si>
    <t>FIN-01604</t>
  </si>
  <si>
    <t>FIN-01605</t>
  </si>
  <si>
    <t>FIN-01606</t>
  </si>
  <si>
    <t>FIN-01607</t>
  </si>
  <si>
    <t>FIN-01608</t>
  </si>
  <si>
    <t>FIN-01609</t>
  </si>
  <si>
    <t>FIN-01610</t>
  </si>
  <si>
    <t>FIN-01611</t>
  </si>
  <si>
    <t>FIN-01612</t>
  </si>
  <si>
    <t>FIN-01613</t>
  </si>
  <si>
    <t>FIN-01614</t>
  </si>
  <si>
    <t>FIN-01615</t>
  </si>
  <si>
    <t>FIN-01616</t>
  </si>
  <si>
    <t>FIN-01617</t>
  </si>
  <si>
    <t>FIN-01618</t>
  </si>
  <si>
    <t>FIN-01619</t>
  </si>
  <si>
    <t>FIN-01620</t>
  </si>
  <si>
    <t>FIN-01621</t>
  </si>
  <si>
    <t>FIN-01622</t>
  </si>
  <si>
    <t>FIN-01623</t>
  </si>
  <si>
    <t>FIN-01624</t>
  </si>
  <si>
    <t>FIN-01625</t>
  </si>
  <si>
    <t>FIN-01626</t>
  </si>
  <si>
    <t>FIN-01627</t>
  </si>
  <si>
    <t>FIN-01628</t>
  </si>
  <si>
    <t>FIN-01629</t>
  </si>
  <si>
    <t>FIN-01630</t>
  </si>
  <si>
    <t>FIN-01631</t>
  </si>
  <si>
    <t>FIN-01632</t>
  </si>
  <si>
    <t>FIN-01633</t>
  </si>
  <si>
    <t>FIN-01634</t>
  </si>
  <si>
    <t>FIN-01635</t>
  </si>
  <si>
    <t>FIN-01636</t>
  </si>
  <si>
    <t>FIN-01637</t>
  </si>
  <si>
    <t>FIN-01638</t>
  </si>
  <si>
    <t>FIN-01639</t>
  </si>
  <si>
    <t>FIN-01640</t>
  </si>
  <si>
    <t>FIN-01641</t>
  </si>
  <si>
    <t>FIN-01642</t>
  </si>
  <si>
    <t>FIN-01643</t>
  </si>
  <si>
    <t>FIN-01644</t>
  </si>
  <si>
    <t>FIN-01645</t>
  </si>
  <si>
    <t>FIN-01646</t>
  </si>
  <si>
    <t>FIN-01647</t>
  </si>
  <si>
    <t>FIN-01648</t>
  </si>
  <si>
    <t>FIN-01649</t>
  </si>
  <si>
    <t>FIN-01650</t>
  </si>
  <si>
    <t>FIN-01651</t>
  </si>
  <si>
    <t>FIN-01652</t>
  </si>
  <si>
    <t>FIN-01653</t>
  </si>
  <si>
    <t>FIN-01654</t>
  </si>
  <si>
    <t>FIN-01655</t>
  </si>
  <si>
    <t>FIN-01656</t>
  </si>
  <si>
    <t>FIN-01657</t>
  </si>
  <si>
    <t>FIN-01658</t>
  </si>
  <si>
    <t>FIN-01659</t>
  </si>
  <si>
    <t>FIN-01660</t>
  </si>
  <si>
    <t>FIN-01661</t>
  </si>
  <si>
    <t>FIN-01662</t>
  </si>
  <si>
    <t>FIN-01663</t>
  </si>
  <si>
    <t>FIN-01664</t>
  </si>
  <si>
    <t>FIN-01665</t>
  </si>
  <si>
    <t>FIN-01666</t>
  </si>
  <si>
    <t>FIN-01667</t>
  </si>
  <si>
    <t>FIN-01668</t>
  </si>
  <si>
    <t>FIN-01669</t>
  </si>
  <si>
    <t>FIN-01670</t>
  </si>
  <si>
    <t>FIN-01671</t>
  </si>
  <si>
    <t>FIN-01672</t>
  </si>
  <si>
    <t>FIN-01673</t>
  </si>
  <si>
    <t>FIN-01674</t>
  </si>
  <si>
    <t>FIN-01675</t>
  </si>
  <si>
    <t>FIN-01676</t>
  </si>
  <si>
    <t>FIN-01677</t>
  </si>
  <si>
    <t>FIN-01678</t>
  </si>
  <si>
    <t>FIN-01679</t>
  </si>
  <si>
    <t>FIN-01680</t>
  </si>
  <si>
    <t>FIN-01681</t>
  </si>
  <si>
    <t>FIN-01682</t>
  </si>
  <si>
    <t>FIN-01683</t>
  </si>
  <si>
    <t>FIN-01684</t>
  </si>
  <si>
    <t>FIN-01685</t>
  </si>
  <si>
    <t>FIN-01686</t>
  </si>
  <si>
    <t>FIN-01687</t>
  </si>
  <si>
    <t>FIN-01688</t>
  </si>
  <si>
    <t>FIN-01689</t>
  </si>
  <si>
    <t>FIN-01690</t>
  </si>
  <si>
    <t>FIN-01691</t>
  </si>
  <si>
    <t>FIN-01692</t>
  </si>
  <si>
    <t>FIN-01693</t>
  </si>
  <si>
    <t>FIN-01694</t>
  </si>
  <si>
    <t>FIN-01695</t>
  </si>
  <si>
    <t>FIN-01696</t>
  </si>
  <si>
    <t>FIN-01697</t>
  </si>
  <si>
    <t>FIN-01698</t>
  </si>
  <si>
    <t>FIN-01699</t>
  </si>
  <si>
    <t>FIN-01700</t>
  </si>
  <si>
    <t>FIN-01701</t>
  </si>
  <si>
    <t>FIN-01702</t>
  </si>
  <si>
    <t>FIN-01703</t>
  </si>
  <si>
    <t>FIN-01704</t>
  </si>
  <si>
    <t>FIN-01705</t>
  </si>
  <si>
    <t>FIN-01706</t>
  </si>
  <si>
    <t>FIN-01707</t>
  </si>
  <si>
    <t>FIN-01708</t>
  </si>
  <si>
    <t>FIN-01709</t>
  </si>
  <si>
    <t>FIN-01710</t>
  </si>
  <si>
    <t>FIN-01711</t>
  </si>
  <si>
    <t>FIN-01712</t>
  </si>
  <si>
    <t>FIN-01713</t>
  </si>
  <si>
    <t>FIN-01714</t>
  </si>
  <si>
    <t>FIN-01715</t>
  </si>
  <si>
    <t>FIN-01716</t>
  </si>
  <si>
    <t>FIN-01717</t>
  </si>
  <si>
    <t>FIN-01718</t>
  </si>
  <si>
    <t>FIN-01719</t>
  </si>
  <si>
    <t>FIN-01720</t>
  </si>
  <si>
    <t>FIN-01721</t>
  </si>
  <si>
    <t>FIN-01722</t>
  </si>
  <si>
    <t>FIN-01723</t>
  </si>
  <si>
    <t>FIN-01724</t>
  </si>
  <si>
    <t>FIN-01725</t>
  </si>
  <si>
    <t>FIN-01726</t>
  </si>
  <si>
    <t>FIN-01727</t>
  </si>
  <si>
    <t>FIN-01728</t>
  </si>
  <si>
    <t>FIN-01729</t>
  </si>
  <si>
    <t>FIN-01730</t>
  </si>
  <si>
    <t>FIN-01731</t>
  </si>
  <si>
    <t>FIN-01732</t>
  </si>
  <si>
    <t>FIN-01733</t>
  </si>
  <si>
    <t>FIN-01734</t>
  </si>
  <si>
    <t>FIN-01735</t>
  </si>
  <si>
    <t>FIN-01736</t>
  </si>
  <si>
    <t>FIN-01737</t>
  </si>
  <si>
    <t>FIN-01738</t>
  </si>
  <si>
    <t>FIN-01739</t>
  </si>
  <si>
    <t>FIN-01740</t>
  </si>
  <si>
    <t>FIN-01741</t>
  </si>
  <si>
    <t>FIN-01742</t>
  </si>
  <si>
    <t>FIN-01743</t>
  </si>
  <si>
    <t>FIN-01744</t>
  </si>
  <si>
    <t>FIN-01745</t>
  </si>
  <si>
    <t>FIN-01746</t>
  </si>
  <si>
    <t>FIN-01747</t>
  </si>
  <si>
    <t>FIN-01748</t>
  </si>
  <si>
    <t>FIN-01749</t>
  </si>
  <si>
    <t>FIN-01750</t>
  </si>
  <si>
    <t>FIN-01751</t>
  </si>
  <si>
    <t>FIN-01752</t>
  </si>
  <si>
    <t>FIN-01753</t>
  </si>
  <si>
    <t>FIN-01754</t>
  </si>
  <si>
    <t>FIN-01755</t>
  </si>
  <si>
    <t>FIN-01756</t>
  </si>
  <si>
    <t>FIN-01757</t>
  </si>
  <si>
    <t>FIN-01758</t>
  </si>
  <si>
    <t>FIN-01759</t>
  </si>
  <si>
    <t>FIN-01760</t>
  </si>
  <si>
    <t>FIN-01761</t>
  </si>
  <si>
    <t>FIN-01762</t>
  </si>
  <si>
    <t>FIN-01763</t>
  </si>
  <si>
    <t>FIN-01764</t>
  </si>
  <si>
    <t>FIN-01765</t>
  </si>
  <si>
    <t>FIN-01766</t>
  </si>
  <si>
    <t>FIN-01767</t>
  </si>
  <si>
    <t>FIN-01768</t>
  </si>
  <si>
    <t>FIN-01769</t>
  </si>
  <si>
    <t>FIN-01770</t>
  </si>
  <si>
    <t>FIN-01771</t>
  </si>
  <si>
    <t>FIN-01772</t>
  </si>
  <si>
    <t>FIN-01773</t>
  </si>
  <si>
    <t>FIN-01774</t>
  </si>
  <si>
    <t>FIN-01775</t>
  </si>
  <si>
    <t>FIN-01776</t>
  </si>
  <si>
    <t>FIN-01777</t>
  </si>
  <si>
    <t>FIN-01778</t>
  </si>
  <si>
    <t>FIN-01779</t>
  </si>
  <si>
    <t>FIN-01780</t>
  </si>
  <si>
    <t>FIN-01781</t>
  </si>
  <si>
    <t>FIN-01782</t>
  </si>
  <si>
    <t>FIN-01783</t>
  </si>
  <si>
    <t>FIN-01784</t>
  </si>
  <si>
    <t>FIN-01785</t>
  </si>
  <si>
    <t>FIN-01786</t>
  </si>
  <si>
    <t>FIN-01787</t>
  </si>
  <si>
    <t>FIN-01788</t>
  </si>
  <si>
    <t>FIN-01789</t>
  </si>
  <si>
    <t>FIN-01790</t>
  </si>
  <si>
    <t>FIN-01791</t>
  </si>
  <si>
    <t>FIN-01792</t>
  </si>
  <si>
    <t>FIN-01793</t>
  </si>
  <si>
    <t>FIN-01794</t>
  </si>
  <si>
    <t>FIN-01795</t>
  </si>
  <si>
    <t>FIN-01796</t>
  </si>
  <si>
    <t>FIN-01797</t>
  </si>
  <si>
    <t>FIN-01798</t>
  </si>
  <si>
    <t>FIN-01799</t>
  </si>
  <si>
    <t>FIN-01800</t>
  </si>
  <si>
    <t>FIN-01801</t>
  </si>
  <si>
    <t>FIN-01802</t>
  </si>
  <si>
    <t>FIN-01803</t>
  </si>
  <si>
    <t>FIN-01804</t>
  </si>
  <si>
    <t>FIN-01805</t>
  </si>
  <si>
    <t>FIN-01806</t>
  </si>
  <si>
    <t>FIN-01807</t>
  </si>
  <si>
    <t>FIN-01808</t>
  </si>
  <si>
    <t>FIN-01809</t>
  </si>
  <si>
    <t>FIN-01810</t>
  </si>
  <si>
    <t>FIN-01811</t>
  </si>
  <si>
    <t>FIN-01812</t>
  </si>
  <si>
    <t>FIN-01813</t>
  </si>
  <si>
    <t>FIN-01814</t>
  </si>
  <si>
    <t>FIN-01815</t>
  </si>
  <si>
    <t>FIN-01816</t>
  </si>
  <si>
    <t>FIN-01817</t>
  </si>
  <si>
    <t>FIN-01818</t>
  </si>
  <si>
    <t>FIN-01819</t>
  </si>
  <si>
    <t>FIN-01820</t>
  </si>
  <si>
    <t>FIN-01821</t>
  </si>
  <si>
    <t>FIN-01822</t>
  </si>
  <si>
    <t>FIN-01823</t>
  </si>
  <si>
    <t>FIN-01824</t>
  </si>
  <si>
    <t>FIN-01825</t>
  </si>
  <si>
    <t>FIN-01826</t>
  </si>
  <si>
    <t>FIN-01827</t>
  </si>
  <si>
    <t>FIN-01828</t>
  </si>
  <si>
    <t>FIN-01829</t>
  </si>
  <si>
    <t>FIN-01830</t>
  </si>
  <si>
    <t>FIN-01831</t>
  </si>
  <si>
    <t>FIN-01832</t>
  </si>
  <si>
    <t>FIN-01833</t>
  </si>
  <si>
    <t>FIN-01834</t>
  </si>
  <si>
    <t>FIN-01835</t>
  </si>
  <si>
    <t>FIN-01836</t>
  </si>
  <si>
    <t>FIN-01837</t>
  </si>
  <si>
    <t>FIN-01838</t>
  </si>
  <si>
    <t>FIN-01839</t>
  </si>
  <si>
    <t>FIN-01840</t>
  </si>
  <si>
    <t>FIN-01841</t>
  </si>
  <si>
    <t>FIN-01842</t>
  </si>
  <si>
    <t>FIN-01843</t>
  </si>
  <si>
    <t>FIN-01844</t>
  </si>
  <si>
    <t>FIN-01845</t>
  </si>
  <si>
    <t>FIN-01846</t>
  </si>
  <si>
    <t>FIN-01847</t>
  </si>
  <si>
    <t>FIN-01848</t>
  </si>
  <si>
    <t>FIN-01849</t>
  </si>
  <si>
    <t>FIN-01850</t>
  </si>
  <si>
    <t>FIN-01851</t>
  </si>
  <si>
    <t>FIN-01852</t>
  </si>
  <si>
    <t>FIN-01853</t>
  </si>
  <si>
    <t>FIN-01854</t>
  </si>
  <si>
    <t>FIN-01855</t>
  </si>
  <si>
    <t>FIN-01856</t>
  </si>
  <si>
    <t>FIN-01857</t>
  </si>
  <si>
    <t>FIN-01858</t>
  </si>
  <si>
    <t>FIN-01859</t>
  </si>
  <si>
    <t>FIN-01860</t>
  </si>
  <si>
    <t>FIN-01861</t>
  </si>
  <si>
    <t>FIN-01862</t>
  </si>
  <si>
    <t>FIN-01863</t>
  </si>
  <si>
    <t>FIN-01864</t>
  </si>
  <si>
    <t>FIN-01865</t>
  </si>
  <si>
    <t>FIN-01866</t>
  </si>
  <si>
    <t>FIN-01867</t>
  </si>
  <si>
    <t>FIN-01868</t>
  </si>
  <si>
    <t>FIN-01869</t>
  </si>
  <si>
    <t>FIN-01870</t>
  </si>
  <si>
    <t>FIN-01871</t>
  </si>
  <si>
    <t>FIN-01872</t>
  </si>
  <si>
    <t>FIN-01873</t>
  </si>
  <si>
    <t>FIN-01874</t>
  </si>
  <si>
    <t>FIN-01875</t>
  </si>
  <si>
    <t>FIN-01876</t>
  </si>
  <si>
    <t>FIN-01877</t>
  </si>
  <si>
    <t>FIN-01878</t>
  </si>
  <si>
    <t>FIN-01879</t>
  </si>
  <si>
    <t>FIN-01880</t>
  </si>
  <si>
    <t>FIN-01881</t>
  </si>
  <si>
    <t>FIN-01882</t>
  </si>
  <si>
    <t>FIN-01883</t>
  </si>
  <si>
    <t>FIN-01884</t>
  </si>
  <si>
    <t>FIN-01885</t>
  </si>
  <si>
    <t>FIN-01886</t>
  </si>
  <si>
    <t>FIN-01887</t>
  </si>
  <si>
    <t>FIN-01888</t>
  </si>
  <si>
    <t>FIN-01889</t>
  </si>
  <si>
    <t>FIN-01890</t>
  </si>
  <si>
    <t>FIN-01891</t>
  </si>
  <si>
    <t>FIN-01892</t>
  </si>
  <si>
    <t>FIN-01893</t>
  </si>
  <si>
    <t>FIN-01894</t>
  </si>
  <si>
    <t>FIN-01895</t>
  </si>
  <si>
    <t>FIN-01896</t>
  </si>
  <si>
    <t>FIN-01897</t>
  </si>
  <si>
    <t>FIN-01898</t>
  </si>
  <si>
    <t>FIN-01899</t>
  </si>
  <si>
    <t>FIN-01900</t>
  </si>
  <si>
    <t>FIN-01901</t>
  </si>
  <si>
    <t>FIN-01902</t>
  </si>
  <si>
    <t>FIN-01903</t>
  </si>
  <si>
    <t>FIN-01904</t>
  </si>
  <si>
    <t>FIN-01905</t>
  </si>
  <si>
    <t>FIN-01906</t>
  </si>
  <si>
    <t>FIN-01907</t>
  </si>
  <si>
    <t>FIN-01908</t>
  </si>
  <si>
    <t>FIN-01909</t>
  </si>
  <si>
    <t>FIN-01910</t>
  </si>
  <si>
    <t>FIN-01911</t>
  </si>
  <si>
    <t>FIN-01912</t>
  </si>
  <si>
    <t>FIN-01913</t>
  </si>
  <si>
    <t>FIN-01914</t>
  </si>
  <si>
    <t>FIN-01915</t>
  </si>
  <si>
    <t>FIN-01916</t>
  </si>
  <si>
    <t>FIN-01917</t>
  </si>
  <si>
    <t>FIN-01918</t>
  </si>
  <si>
    <t>FIN-01919</t>
  </si>
  <si>
    <t>FIN-01920</t>
  </si>
  <si>
    <t>FIN-01921</t>
  </si>
  <si>
    <t>FIN-01922</t>
  </si>
  <si>
    <t>FIN-01923</t>
  </si>
  <si>
    <t>FIN-01924</t>
  </si>
  <si>
    <t>FIN-01925</t>
  </si>
  <si>
    <t>FIN-01926</t>
  </si>
  <si>
    <t>FIN-01927</t>
  </si>
  <si>
    <t>FIN-01928</t>
  </si>
  <si>
    <t>FIN-01929</t>
  </si>
  <si>
    <t>FIN-01930</t>
  </si>
  <si>
    <t>FIN-01931</t>
  </si>
  <si>
    <t>FIN-01932</t>
  </si>
  <si>
    <t>FIN-01933</t>
  </si>
  <si>
    <t>FIN-01934</t>
  </si>
  <si>
    <t>FIN-01935</t>
  </si>
  <si>
    <t>FIN-01936</t>
  </si>
  <si>
    <t>FIN-01937</t>
  </si>
  <si>
    <t>FIN-01938</t>
  </si>
  <si>
    <t>FIN-01939</t>
  </si>
  <si>
    <t>FIN-01940</t>
  </si>
  <si>
    <t>FIN-01941</t>
  </si>
  <si>
    <t>FIN-01942</t>
  </si>
  <si>
    <t>FIN-01943</t>
  </si>
  <si>
    <t>FIN-01944</t>
  </si>
  <si>
    <t>FIN-01945</t>
  </si>
  <si>
    <t>FIN-01946</t>
  </si>
  <si>
    <t>FIN-01947</t>
  </si>
  <si>
    <t>FIN-01948</t>
  </si>
  <si>
    <t>FIN-01949</t>
  </si>
  <si>
    <t>FIN-01950</t>
  </si>
  <si>
    <t>FIN-01951</t>
  </si>
  <si>
    <t>FIN-01952</t>
  </si>
  <si>
    <t>FIN-01953</t>
  </si>
  <si>
    <t>FIN-01954</t>
  </si>
  <si>
    <t>FIN-01955</t>
  </si>
  <si>
    <t>FIN-01956</t>
  </si>
  <si>
    <t>FIN-01957</t>
  </si>
  <si>
    <t>FIN-01958</t>
  </si>
  <si>
    <t>FIN-01959</t>
  </si>
  <si>
    <t>FIN-01960</t>
  </si>
  <si>
    <t>FIN-01961</t>
  </si>
  <si>
    <t>FIN-01962</t>
  </si>
  <si>
    <t>FIN-01963</t>
  </si>
  <si>
    <t>FIN-01964</t>
  </si>
  <si>
    <t>FIN-01965</t>
  </si>
  <si>
    <t>FIN-01966</t>
  </si>
  <si>
    <t>FIN-01967</t>
  </si>
  <si>
    <t>FIN-01968</t>
  </si>
  <si>
    <t>FIN-01969</t>
  </si>
  <si>
    <t>FIN-01970</t>
  </si>
  <si>
    <t>FIN-01971</t>
  </si>
  <si>
    <t>FIN-01972</t>
  </si>
  <si>
    <t>FIN-01973</t>
  </si>
  <si>
    <t>FIN-01974</t>
  </si>
  <si>
    <t>FIN-01975</t>
  </si>
  <si>
    <t>FIN-01976</t>
  </si>
  <si>
    <t>FIN-01977</t>
  </si>
  <si>
    <t>FIN-01978</t>
  </si>
  <si>
    <t>FIN-01979</t>
  </si>
  <si>
    <t>FIN-01980</t>
  </si>
  <si>
    <t>FIN-01981</t>
  </si>
  <si>
    <t>FIN-01982</t>
  </si>
  <si>
    <t>FIN-01983</t>
  </si>
  <si>
    <t>FIN-01984</t>
  </si>
  <si>
    <t>FIN-01985</t>
  </si>
  <si>
    <t>FIN-01986</t>
  </si>
  <si>
    <t>FIN-01987</t>
  </si>
  <si>
    <t>FIN-01988</t>
  </si>
  <si>
    <t>FIN-01989</t>
  </si>
  <si>
    <t>FIN-01990</t>
  </si>
  <si>
    <t>FIN-01991</t>
  </si>
  <si>
    <t>FIN-01992</t>
  </si>
  <si>
    <t>FIN-01993</t>
  </si>
  <si>
    <t>FIN-01994</t>
  </si>
  <si>
    <t>FIN-01995</t>
  </si>
  <si>
    <t>FIN-01996</t>
  </si>
  <si>
    <t>FIN-01997</t>
  </si>
  <si>
    <t>FIN-01998</t>
  </si>
  <si>
    <t>FIN-01999</t>
  </si>
  <si>
    <t>FIN-02000</t>
  </si>
  <si>
    <t>FIN-02001</t>
  </si>
  <si>
    <t>FIN-02002</t>
  </si>
  <si>
    <t>FIN-02003</t>
  </si>
  <si>
    <t>FIN-02004</t>
  </si>
  <si>
    <t>FIN-02005</t>
  </si>
  <si>
    <t>FIN-02006</t>
  </si>
  <si>
    <t>FIN-02007</t>
  </si>
  <si>
    <t>FIN-02008</t>
  </si>
  <si>
    <t>FIN-02009</t>
  </si>
  <si>
    <t>FIN-02010</t>
  </si>
  <si>
    <t>FIN-02011</t>
  </si>
  <si>
    <t>FIN-02012</t>
  </si>
  <si>
    <t>FIN-02013</t>
  </si>
  <si>
    <t>FIN-02014</t>
  </si>
  <si>
    <t>FIN-02015</t>
  </si>
  <si>
    <t>FIN-02016</t>
  </si>
  <si>
    <t>FIN-02017</t>
  </si>
  <si>
    <t>FIN-02018</t>
  </si>
  <si>
    <t>FIN-02019</t>
  </si>
  <si>
    <t>FIN-02020</t>
  </si>
  <si>
    <t>FIN-02021</t>
  </si>
  <si>
    <t>FIN-02022</t>
  </si>
  <si>
    <t>FIN-02023</t>
  </si>
  <si>
    <t>FIN-02024</t>
  </si>
  <si>
    <t>FIN-02025</t>
  </si>
  <si>
    <t>FIN-02026</t>
  </si>
  <si>
    <t>FIN-02027</t>
  </si>
  <si>
    <t>FIN-02028</t>
  </si>
  <si>
    <t>FIN-02029</t>
  </si>
  <si>
    <t>FIN-02030</t>
  </si>
  <si>
    <t>FIN-02031</t>
  </si>
  <si>
    <t>FIN-02032</t>
  </si>
  <si>
    <t>FIN-02033</t>
  </si>
  <si>
    <t>FIN-02034</t>
  </si>
  <si>
    <t>FIN-02035</t>
  </si>
  <si>
    <t>FIN-02036</t>
  </si>
  <si>
    <t>FIN-02037</t>
  </si>
  <si>
    <t>FIN-02038</t>
  </si>
  <si>
    <t>FIN-02039</t>
  </si>
  <si>
    <t>FIN-02040</t>
  </si>
  <si>
    <t>FIN-02041</t>
  </si>
  <si>
    <t>FIN-02042</t>
  </si>
  <si>
    <t>FIN-02043</t>
  </si>
  <si>
    <t>FIN-02044</t>
  </si>
  <si>
    <t>FIN-02045</t>
  </si>
  <si>
    <t>FIN-02046</t>
  </si>
  <si>
    <t>FIN-02047</t>
  </si>
  <si>
    <t>FIN-02048</t>
  </si>
  <si>
    <t>FIN-02049</t>
  </si>
  <si>
    <t>FIN-02050</t>
  </si>
  <si>
    <t>FIN-02051</t>
  </si>
  <si>
    <t>FIN-02052</t>
  </si>
  <si>
    <t>FIN-02053</t>
  </si>
  <si>
    <t>FIN-02054</t>
  </si>
  <si>
    <t>FIN-02055</t>
  </si>
  <si>
    <t>FIN-02056</t>
  </si>
  <si>
    <t>FIN-02057</t>
  </si>
  <si>
    <t>FIN-02058</t>
  </si>
  <si>
    <t>FIN-02059</t>
  </si>
  <si>
    <t>FIN-02060</t>
  </si>
  <si>
    <t>FIN-02061</t>
  </si>
  <si>
    <t>FIN-02062</t>
  </si>
  <si>
    <t>FIN-02063</t>
  </si>
  <si>
    <t>FIN-02064</t>
  </si>
  <si>
    <t>FIN-02065</t>
  </si>
  <si>
    <t>FIN-02066</t>
  </si>
  <si>
    <t>FIN-02067</t>
  </si>
  <si>
    <t>FIN-02068</t>
  </si>
  <si>
    <t>FIN-02069</t>
  </si>
  <si>
    <t>FIN-02070</t>
  </si>
  <si>
    <t>FIN-02071</t>
  </si>
  <si>
    <t>FIN-02072</t>
  </si>
  <si>
    <t>FIN-02073</t>
  </si>
  <si>
    <t>FIN-02074</t>
  </si>
  <si>
    <t>FIN-02075</t>
  </si>
  <si>
    <t>FIN-02076</t>
  </si>
  <si>
    <t>FIN-02077</t>
  </si>
  <si>
    <t>FIN-02078</t>
  </si>
  <si>
    <t>FIN-02079</t>
  </si>
  <si>
    <t>FIN-02080</t>
  </si>
  <si>
    <t>FIN-02081</t>
  </si>
  <si>
    <t>FIN-02082</t>
  </si>
  <si>
    <t>FIN-02083</t>
  </si>
  <si>
    <t>FIN-02084</t>
  </si>
  <si>
    <t>FIN-02085</t>
  </si>
  <si>
    <t>FIN-02086</t>
  </si>
  <si>
    <t>FIN-02087</t>
  </si>
  <si>
    <t>FIN-02088</t>
  </si>
  <si>
    <t>FIN-02089</t>
  </si>
  <si>
    <t>FIN-02090</t>
  </si>
  <si>
    <t>FIN-02091</t>
  </si>
  <si>
    <t>FIN-02092</t>
  </si>
  <si>
    <t>FIN-02093</t>
  </si>
  <si>
    <t>FIN-02094</t>
  </si>
  <si>
    <t>FIN-02095</t>
  </si>
  <si>
    <t>FIN-02096</t>
  </si>
  <si>
    <t>FIN-02097</t>
  </si>
  <si>
    <t>FIN-02098</t>
  </si>
  <si>
    <t>FIN-02099</t>
  </si>
  <si>
    <t>FIN-02100</t>
  </si>
  <si>
    <t>FIN-02101</t>
  </si>
  <si>
    <t>FIN-02102</t>
  </si>
  <si>
    <t>FIN-02103</t>
  </si>
  <si>
    <t>FIN-02104</t>
  </si>
  <si>
    <t>FIN-02105</t>
  </si>
  <si>
    <t>FIN-02106</t>
  </si>
  <si>
    <t>FIN-02107</t>
  </si>
  <si>
    <t>FIN-02108</t>
  </si>
  <si>
    <t>FIN-02109</t>
  </si>
  <si>
    <t>FIN-02110</t>
  </si>
  <si>
    <t>FIN-02111</t>
  </si>
  <si>
    <t>FIN-02112</t>
  </si>
  <si>
    <t>FIN-02113</t>
  </si>
  <si>
    <t>FIN-02114</t>
  </si>
  <si>
    <t>FIN-02115</t>
  </si>
  <si>
    <t>FIN-02116</t>
  </si>
  <si>
    <t>FIN-02117</t>
  </si>
  <si>
    <t>FIN-02118</t>
  </si>
  <si>
    <t>FIN-02119</t>
  </si>
  <si>
    <t>FIN-02120</t>
  </si>
  <si>
    <t>FIN-02121</t>
  </si>
  <si>
    <t>FIN-02122</t>
  </si>
  <si>
    <t>FIN-02123</t>
  </si>
  <si>
    <t>FIN-02124</t>
  </si>
  <si>
    <t>FIN-02125</t>
  </si>
  <si>
    <t>FIN-02126</t>
  </si>
  <si>
    <t>FIN-02127</t>
  </si>
  <si>
    <t>FIN-02128</t>
  </si>
  <si>
    <t>FIN-02129</t>
  </si>
  <si>
    <t>FIN-02130</t>
  </si>
  <si>
    <t>FIN-02131</t>
  </si>
  <si>
    <t>FIN-02132</t>
  </si>
  <si>
    <t>FIN-02133</t>
  </si>
  <si>
    <t>FIN-02134</t>
  </si>
  <si>
    <t>FIN-02135</t>
  </si>
  <si>
    <t>FIN-02136</t>
  </si>
  <si>
    <t>FIN-02137</t>
  </si>
  <si>
    <t>FIN-02138</t>
  </si>
  <si>
    <t>FIN-02139</t>
  </si>
  <si>
    <t>FIN-02140</t>
  </si>
  <si>
    <t>FIN-02141</t>
  </si>
  <si>
    <t>FIN-02142</t>
  </si>
  <si>
    <t>FIN-02143</t>
  </si>
  <si>
    <t>FIN-02144</t>
  </si>
  <si>
    <t>FIN-02145</t>
  </si>
  <si>
    <t>FIN-02146</t>
  </si>
  <si>
    <t>FIN-02147</t>
  </si>
  <si>
    <t>FIN-02148</t>
  </si>
  <si>
    <t>FIN-02149</t>
  </si>
  <si>
    <t>FIN-02150</t>
  </si>
  <si>
    <t>FIN-02151</t>
  </si>
  <si>
    <t>FIN-02152</t>
  </si>
  <si>
    <t>FIN-02153</t>
  </si>
  <si>
    <t>FIN-02154</t>
  </si>
  <si>
    <t>FIN-02155</t>
  </si>
  <si>
    <t>FIN-02156</t>
  </si>
  <si>
    <t>FIN-02157</t>
  </si>
  <si>
    <t>FIN-02158</t>
  </si>
  <si>
    <t>FIN-02159</t>
  </si>
  <si>
    <t>FIN-02160</t>
  </si>
  <si>
    <t>FIN-02161</t>
  </si>
  <si>
    <t>FIN-02162</t>
  </si>
  <si>
    <t>FIN-02163</t>
  </si>
  <si>
    <t>FIN-02164</t>
  </si>
  <si>
    <t>FIN-02165</t>
  </si>
  <si>
    <t>FIN-02166</t>
  </si>
  <si>
    <t>FIN-02167</t>
  </si>
  <si>
    <t>FIN-02168</t>
  </si>
  <si>
    <t>FIN-02169</t>
  </si>
  <si>
    <t>FIN-02170</t>
  </si>
  <si>
    <t>FIN-02171</t>
  </si>
  <si>
    <t>FIN-02172</t>
  </si>
  <si>
    <t>FIN-02173</t>
  </si>
  <si>
    <t>FIN-02174</t>
  </si>
  <si>
    <t>FIN-02175</t>
  </si>
  <si>
    <t>FIN-02176</t>
  </si>
  <si>
    <t>FIN-02177</t>
  </si>
  <si>
    <t>FIN-02178</t>
  </si>
  <si>
    <t>FIN-02179</t>
  </si>
  <si>
    <t>FIN-02180</t>
  </si>
  <si>
    <t>FIN-02181</t>
  </si>
  <si>
    <t>FIN-02182</t>
  </si>
  <si>
    <t>FIN-02183</t>
  </si>
  <si>
    <t>FIN-02184</t>
  </si>
  <si>
    <t>FIN-02185</t>
  </si>
  <si>
    <t>FIN-02186</t>
  </si>
  <si>
    <t>FIN-02187</t>
  </si>
  <si>
    <t>FIN-02188</t>
  </si>
  <si>
    <t>FIN-02189</t>
  </si>
  <si>
    <t>FIN-02190</t>
  </si>
  <si>
    <t>FIN-02191</t>
  </si>
  <si>
    <t>FIN-02192</t>
  </si>
  <si>
    <t>FIN-02193</t>
  </si>
  <si>
    <t>FIN-02194</t>
  </si>
  <si>
    <t>FIN-02195</t>
  </si>
  <si>
    <t>FIN-02196</t>
  </si>
  <si>
    <t>FIN-02197</t>
  </si>
  <si>
    <t>FIN-02198</t>
  </si>
  <si>
    <t>FIN-02199</t>
  </si>
  <si>
    <t>FIN-02200</t>
  </si>
  <si>
    <t>FIN-02201</t>
  </si>
  <si>
    <t>FIN-02202</t>
  </si>
  <si>
    <t>FIN-02203</t>
  </si>
  <si>
    <t>FIN-02204</t>
  </si>
  <si>
    <t>FIN-02205</t>
  </si>
  <si>
    <t>FIN-02206</t>
  </si>
  <si>
    <t>FIN-02207</t>
  </si>
  <si>
    <t>FIN-02208</t>
  </si>
  <si>
    <t>FIN-02209</t>
  </si>
  <si>
    <t>FIN-02210</t>
  </si>
  <si>
    <t>FIN-02211</t>
  </si>
  <si>
    <t>FIN-02212</t>
  </si>
  <si>
    <t>FIN-02213</t>
  </si>
  <si>
    <t>FIN-02214</t>
  </si>
  <si>
    <t>FIN-02215</t>
  </si>
  <si>
    <t>FIN-02216</t>
  </si>
  <si>
    <t>FIN-02217</t>
  </si>
  <si>
    <t>FIN-02218</t>
  </si>
  <si>
    <t>FIN-02219</t>
  </si>
  <si>
    <t>FIN-02220</t>
  </si>
  <si>
    <t>FIN-02221</t>
  </si>
  <si>
    <t>FIN-02222</t>
  </si>
  <si>
    <t>FIN-02223</t>
  </si>
  <si>
    <t>FIN-02224</t>
  </si>
  <si>
    <t>FIN-02225</t>
  </si>
  <si>
    <t>FIN-02226</t>
  </si>
  <si>
    <t>FIN-02227</t>
  </si>
  <si>
    <t>FIN-02228</t>
  </si>
  <si>
    <t>FIN-02229</t>
  </si>
  <si>
    <t>FIN-02230</t>
  </si>
  <si>
    <t>FIN-02231</t>
  </si>
  <si>
    <t>FIN-02232</t>
  </si>
  <si>
    <t>FIN-02233</t>
  </si>
  <si>
    <t>FIN-02234</t>
  </si>
  <si>
    <t>FIN-02235</t>
  </si>
  <si>
    <t>FIN-02236</t>
  </si>
  <si>
    <t>FIN-02237</t>
  </si>
  <si>
    <t>FIN-02238</t>
  </si>
  <si>
    <t>FIN-02239</t>
  </si>
  <si>
    <t>FIN-02240</t>
  </si>
  <si>
    <t>FIN-02241</t>
  </si>
  <si>
    <t>FIN-02242</t>
  </si>
  <si>
    <t>FIN-02243</t>
  </si>
  <si>
    <t>FIN-02244</t>
  </si>
  <si>
    <t>FIN-02245</t>
  </si>
  <si>
    <t>FIN-02246</t>
  </si>
  <si>
    <t>FIN-02247</t>
  </si>
  <si>
    <t>FIN-02248</t>
  </si>
  <si>
    <t>FIN-02249</t>
  </si>
  <si>
    <t>FIN-02250</t>
  </si>
  <si>
    <t>FIN-02251</t>
  </si>
  <si>
    <t>FIN-02252</t>
  </si>
  <si>
    <t>FIN-02253</t>
  </si>
  <si>
    <t>FIN-02254</t>
  </si>
  <si>
    <t>FIN-02255</t>
  </si>
  <si>
    <t>FIN-02256</t>
  </si>
  <si>
    <t>FIN-02257</t>
  </si>
  <si>
    <t>FIN-02258</t>
  </si>
  <si>
    <t>FIN-02259</t>
  </si>
  <si>
    <t>FIN-02260</t>
  </si>
  <si>
    <t>FIN-02261</t>
  </si>
  <si>
    <t>FIN-02262</t>
  </si>
  <si>
    <t>FIN-02263</t>
  </si>
  <si>
    <t>FIN-02264</t>
  </si>
  <si>
    <t>FIN-02265</t>
  </si>
  <si>
    <t>FIN-02266</t>
  </si>
  <si>
    <t>FIN-02267</t>
  </si>
  <si>
    <t>FIN-02268</t>
  </si>
  <si>
    <t>FIN-02269</t>
  </si>
  <si>
    <t>FIN-02270</t>
  </si>
  <si>
    <t>FIN-02271</t>
  </si>
  <si>
    <t>FIN-02272</t>
  </si>
  <si>
    <t>FIN-02273</t>
  </si>
  <si>
    <t>FIN-02274</t>
  </si>
  <si>
    <t>FIN-02275</t>
  </si>
  <si>
    <t>FIN-02276</t>
  </si>
  <si>
    <t>FIN-02277</t>
  </si>
  <si>
    <t>FIN-02278</t>
  </si>
  <si>
    <t>FIN-02279</t>
  </si>
  <si>
    <t>FIN-02280</t>
  </si>
  <si>
    <t>FIN-02281</t>
  </si>
  <si>
    <t>FIN-02282</t>
  </si>
  <si>
    <t>FIN-02283</t>
  </si>
  <si>
    <t>FIN-02284</t>
  </si>
  <si>
    <t>FIN-02285</t>
  </si>
  <si>
    <t>FIN-02286</t>
  </si>
  <si>
    <t>FIN-02287</t>
  </si>
  <si>
    <t>FIN-02288</t>
  </si>
  <si>
    <t>FIN-02289</t>
  </si>
  <si>
    <t>FIN-02290</t>
  </si>
  <si>
    <t>FIN-02291</t>
  </si>
  <si>
    <t>FIN-02292</t>
  </si>
  <si>
    <t>FIN-02293</t>
  </si>
  <si>
    <t>FIN-02294</t>
  </si>
  <si>
    <t>FIN-02295</t>
  </si>
  <si>
    <t>FIN-02296</t>
  </si>
  <si>
    <t>FIN-02297</t>
  </si>
  <si>
    <t>FIN-02298</t>
  </si>
  <si>
    <t>FIN-02299</t>
  </si>
  <si>
    <t>FIN-02300</t>
  </si>
  <si>
    <t>FIN-02301</t>
  </si>
  <si>
    <t>FIN-02302</t>
  </si>
  <si>
    <t>FIN-02303</t>
  </si>
  <si>
    <t>FIN-02304</t>
  </si>
  <si>
    <t>FIN-02305</t>
  </si>
  <si>
    <t>FIN-02306</t>
  </si>
  <si>
    <t>FIN-02307</t>
  </si>
  <si>
    <t>FIN-02308</t>
  </si>
  <si>
    <t>FIN-02309</t>
  </si>
  <si>
    <t>FIN-02310</t>
  </si>
  <si>
    <t>FIN-02311</t>
  </si>
  <si>
    <t>FIN-02312</t>
  </si>
  <si>
    <t>FIN-02313</t>
  </si>
  <si>
    <t>FIN-02314</t>
  </si>
  <si>
    <t>FIN-02315</t>
  </si>
  <si>
    <t>FIN-02316</t>
  </si>
  <si>
    <t>FIN-02317</t>
  </si>
  <si>
    <t>FIN-02318</t>
  </si>
  <si>
    <t>FIN-02319</t>
  </si>
  <si>
    <t>FIN-02320</t>
  </si>
  <si>
    <t>FIN-02321</t>
  </si>
  <si>
    <t>FIN-02322</t>
  </si>
  <si>
    <t>FIN-02323</t>
  </si>
  <si>
    <t>FIN-02324</t>
  </si>
  <si>
    <t>FIN-02325</t>
  </si>
  <si>
    <t>FIN-02326</t>
  </si>
  <si>
    <t>FIN-02327</t>
  </si>
  <si>
    <t>FIN-02328</t>
  </si>
  <si>
    <t>FIN-02329</t>
  </si>
  <si>
    <t>FIN-02330</t>
  </si>
  <si>
    <t>FIN-02331</t>
  </si>
  <si>
    <t>FIN-02332</t>
  </si>
  <si>
    <t>FIN-02333</t>
  </si>
  <si>
    <t>FIN-02334</t>
  </si>
  <si>
    <t>FIN-02335</t>
  </si>
  <si>
    <t>FIN-02336</t>
  </si>
  <si>
    <t>FIN-02337</t>
  </si>
  <si>
    <t>FIN-02338</t>
  </si>
  <si>
    <t>FIN-02339</t>
  </si>
  <si>
    <t>FIN-02340</t>
  </si>
  <si>
    <t>FIN-02341</t>
  </si>
  <si>
    <t>FIN-02342</t>
  </si>
  <si>
    <t>FIN-02343</t>
  </si>
  <si>
    <t>FIN-02344</t>
  </si>
  <si>
    <t>FIN-02345</t>
  </si>
  <si>
    <t>FIN-02346</t>
  </si>
  <si>
    <t>FIN-02347</t>
  </si>
  <si>
    <t>FIN-02348</t>
  </si>
  <si>
    <t>FIN-02349</t>
  </si>
  <si>
    <t>FIN-02350</t>
  </si>
  <si>
    <t>FIN-02351</t>
  </si>
  <si>
    <t>FIN-02352</t>
  </si>
  <si>
    <t>FIN-02353</t>
  </si>
  <si>
    <t>FIN-02354</t>
  </si>
  <si>
    <t>FIN-02355</t>
  </si>
  <si>
    <t>FIN-02356</t>
  </si>
  <si>
    <t>FIN-02357</t>
  </si>
  <si>
    <t>FIN-02358</t>
  </si>
  <si>
    <t>FIN-02359</t>
  </si>
  <si>
    <t>FIN-02360</t>
  </si>
  <si>
    <t>FIN-02361</t>
  </si>
  <si>
    <t>FIN-02362</t>
  </si>
  <si>
    <t>FIN-02363</t>
  </si>
  <si>
    <t>FIN-02364</t>
  </si>
  <si>
    <t>FIN-02365</t>
  </si>
  <si>
    <t>FIN-02366</t>
  </si>
  <si>
    <t>FIN-02367</t>
  </si>
  <si>
    <t>FIN-02368</t>
  </si>
  <si>
    <t>FIN-02369</t>
  </si>
  <si>
    <t>FIN-02370</t>
  </si>
  <si>
    <t>FIN-02371</t>
  </si>
  <si>
    <t>FIN-02372</t>
  </si>
  <si>
    <t>FIN-02373</t>
  </si>
  <si>
    <t>FIN-02374</t>
  </si>
  <si>
    <t>FIN-02375</t>
  </si>
  <si>
    <t>FIN-02376</t>
  </si>
  <si>
    <t>FIN-02377</t>
  </si>
  <si>
    <t>FIN-02378</t>
  </si>
  <si>
    <t>FIN-02379</t>
  </si>
  <si>
    <t>FIN-02380</t>
  </si>
  <si>
    <t>FIN-02381</t>
  </si>
  <si>
    <t>FIN-02382</t>
  </si>
  <si>
    <t>FIN-02383</t>
  </si>
  <si>
    <t>FIN-02384</t>
  </si>
  <si>
    <t>FIN-02385</t>
  </si>
  <si>
    <t>FIN-02386</t>
  </si>
  <si>
    <t>FIN-02387</t>
  </si>
  <si>
    <t>FIN-02388</t>
  </si>
  <si>
    <t>FIN-02389</t>
  </si>
  <si>
    <t>FIN-02390</t>
  </si>
  <si>
    <t>FIN-02391</t>
  </si>
  <si>
    <t>FIN-02392</t>
  </si>
  <si>
    <t>FIN-02393</t>
  </si>
  <si>
    <t>FIN-02394</t>
  </si>
  <si>
    <t>FIN-02395</t>
  </si>
  <si>
    <t>FIN-02396</t>
  </si>
  <si>
    <t>FIN-02397</t>
  </si>
  <si>
    <t>FIN-02398</t>
  </si>
  <si>
    <t>FIN-02399</t>
  </si>
  <si>
    <t>FIN-02400</t>
  </si>
  <si>
    <t>FIN-02401</t>
  </si>
  <si>
    <t>FIN-02402</t>
  </si>
  <si>
    <t>FIN-02403</t>
  </si>
  <si>
    <t>FIN-02404</t>
  </si>
  <si>
    <t>FIN-02405</t>
  </si>
  <si>
    <t>FIN-02406</t>
  </si>
  <si>
    <t>FIN-02407</t>
  </si>
  <si>
    <t>FIN-02408</t>
  </si>
  <si>
    <t>FIN-02409</t>
  </si>
  <si>
    <t>FIN-02410</t>
  </si>
  <si>
    <t>FIN-02411</t>
  </si>
  <si>
    <t>FIN-02412</t>
  </si>
  <si>
    <t>FIN-02413</t>
  </si>
  <si>
    <t>FIN-02414</t>
  </si>
  <si>
    <t>FIN-02415</t>
  </si>
  <si>
    <t>FIN-02416</t>
  </si>
  <si>
    <t>FIN-02417</t>
  </si>
  <si>
    <t>FIN-02418</t>
  </si>
  <si>
    <t>FIN-02419</t>
  </si>
  <si>
    <t>FIN-02420</t>
  </si>
  <si>
    <t>FIN-02421</t>
  </si>
  <si>
    <t>FIN-02422</t>
  </si>
  <si>
    <t>FIN-02423</t>
  </si>
  <si>
    <t>FIN-02424</t>
  </si>
  <si>
    <t>FIN-02425</t>
  </si>
  <si>
    <t>FIN-02426</t>
  </si>
  <si>
    <t>FIN-02427</t>
  </si>
  <si>
    <t>FIN-02428</t>
  </si>
  <si>
    <t>FIN-02429</t>
  </si>
  <si>
    <t>FIN-02430</t>
  </si>
  <si>
    <t>FIN-02431</t>
  </si>
  <si>
    <t>FIN-02432</t>
  </si>
  <si>
    <t>FIN-02433</t>
  </si>
  <si>
    <t>FIN-02434</t>
  </si>
  <si>
    <t>FIN-02435</t>
  </si>
  <si>
    <t>FIN-02436</t>
  </si>
  <si>
    <t>FIN-02437</t>
  </si>
  <si>
    <t>FIN-02438</t>
  </si>
  <si>
    <t>FIN-02439</t>
  </si>
  <si>
    <t>FIN-02440</t>
  </si>
  <si>
    <t>FIN-02441</t>
  </si>
  <si>
    <t>FIN-02442</t>
  </si>
  <si>
    <t>FIN-02443</t>
  </si>
  <si>
    <t>FIN-02444</t>
  </si>
  <si>
    <t>FIN-02445</t>
  </si>
  <si>
    <t>FIN-02446</t>
  </si>
  <si>
    <t>FIN-02447</t>
  </si>
  <si>
    <t>FIN-02448</t>
  </si>
  <si>
    <t>FIN-02449</t>
  </si>
  <si>
    <t>FIN-02450</t>
  </si>
  <si>
    <t>FIN-02451</t>
  </si>
  <si>
    <t>FIN-02452</t>
  </si>
  <si>
    <t>FIN-02453</t>
  </si>
  <si>
    <t>FIN-02454</t>
  </si>
  <si>
    <t>FIN-02455</t>
  </si>
  <si>
    <t>FIN-02456</t>
  </si>
  <si>
    <t>FIN-02457</t>
  </si>
  <si>
    <t>FIN-02458</t>
  </si>
  <si>
    <t>FIN-02459</t>
  </si>
  <si>
    <t>FIN-02460</t>
  </si>
  <si>
    <t>FIN-02461</t>
  </si>
  <si>
    <t>FIN-02462</t>
  </si>
  <si>
    <t>FIN-02463</t>
  </si>
  <si>
    <t>FIN-02464</t>
  </si>
  <si>
    <t>FIN-02465</t>
  </si>
  <si>
    <t>FIN-02466</t>
  </si>
  <si>
    <t>FIN-02467</t>
  </si>
  <si>
    <t>FIN-02468</t>
  </si>
  <si>
    <t>FIN-02469</t>
  </si>
  <si>
    <t>FIN-02470</t>
  </si>
  <si>
    <t>FIN-02471</t>
  </si>
  <si>
    <t>FIN-02472</t>
  </si>
  <si>
    <t>FIN-02473</t>
  </si>
  <si>
    <t>FIN-02474</t>
  </si>
  <si>
    <t>FIN-02475</t>
  </si>
  <si>
    <t>FIN-02476</t>
  </si>
  <si>
    <t>FIN-02477</t>
  </si>
  <si>
    <t>FIN-02478</t>
  </si>
  <si>
    <t>FIN-02479</t>
  </si>
  <si>
    <t>FIN-02480</t>
  </si>
  <si>
    <t>FIN-02481</t>
  </si>
  <si>
    <t>FIN-02482</t>
  </si>
  <si>
    <t>FIN-02483</t>
  </si>
  <si>
    <t>FIN-02484</t>
  </si>
  <si>
    <t>FIN-02485</t>
  </si>
  <si>
    <t>FIN-02486</t>
  </si>
  <si>
    <t>FIN-02487</t>
  </si>
  <si>
    <t>FIN-02488</t>
  </si>
  <si>
    <t>FIN-02489</t>
  </si>
  <si>
    <t>FIN-02490</t>
  </si>
  <si>
    <t>FIN-02491</t>
  </si>
  <si>
    <t>FIN-02492</t>
  </si>
  <si>
    <t>FIN-02493</t>
  </si>
  <si>
    <t>FIN-02494</t>
  </si>
  <si>
    <t>FIN-02495</t>
  </si>
  <si>
    <t>FIN-02496</t>
  </si>
  <si>
    <t>FIN-02497</t>
  </si>
  <si>
    <t>FIN-02498</t>
  </si>
  <si>
    <t>FIN-02499</t>
  </si>
  <si>
    <t>FIN-02500</t>
  </si>
  <si>
    <t>Issue</t>
  </si>
  <si>
    <t>Count</t>
  </si>
  <si>
    <t>Recommended Action</t>
  </si>
  <si>
    <t>Reason</t>
  </si>
  <si>
    <t>Exact duplicate rows</t>
  </si>
  <si>
    <t>Remove duplicates</t>
  </si>
  <si>
    <t>Duplicate transaction records</t>
  </si>
  <si>
    <t>Missing Department</t>
  </si>
  <si>
    <t>Recover / validate</t>
  </si>
  <si>
    <t>Required for departmental analysis</t>
  </si>
  <si>
    <t>Missing Vendor</t>
  </si>
  <si>
    <t>Recover / standardize</t>
  </si>
  <si>
    <t>Required for vendor analysis</t>
  </si>
  <si>
    <t>Missing Payment Method</t>
  </si>
  <si>
    <t>Standardize / use Unknown if unrecoverable</t>
  </si>
  <si>
    <t>Payment analysis field</t>
  </si>
  <si>
    <t>Missing Category</t>
  </si>
  <si>
    <t>Recover using transaction type / mapping</t>
  </si>
  <si>
    <t>Required for category analysis</t>
  </si>
  <si>
    <t>Inconsistent text / capitalization</t>
  </si>
  <si>
    <t>Standardize text</t>
  </si>
  <si>
    <t>Consistent PivotTable grouping</t>
  </si>
  <si>
    <t>Mixed date formats</t>
  </si>
  <si>
    <t>Convert to real Excel dates</t>
  </si>
  <si>
    <t>Consistent time analysis</t>
  </si>
  <si>
    <t>Blank Budget Amount</t>
  </si>
  <si>
    <t>Recover from category/month budget logic</t>
  </si>
  <si>
    <t>Budget variance analysis</t>
  </si>
  <si>
    <t>Missing Actual Amount</t>
  </si>
  <si>
    <t>Flag/remove</t>
  </si>
  <si>
    <t>Actual amount is required</t>
  </si>
  <si>
    <t>Zero Actual Amount</t>
  </si>
  <si>
    <t>No financial activity</t>
  </si>
  <si>
    <t>Unknown</t>
  </si>
  <si>
    <t>Hr</t>
  </si>
  <si>
    <t>It</t>
  </si>
  <si>
    <t>Softworks</t>
  </si>
  <si>
    <t>Officepro</t>
  </si>
  <si>
    <t>Shipfast</t>
  </si>
  <si>
    <t>Powergrid</t>
  </si>
  <si>
    <t>Buildcare</t>
  </si>
  <si>
    <t>Markethub</t>
  </si>
  <si>
    <t>Peoplefirst</t>
  </si>
  <si>
    <t>Adsphere</t>
  </si>
  <si>
    <t>Travellink</t>
  </si>
  <si>
    <t>Legalworks</t>
  </si>
  <si>
    <t>Dataserve</t>
  </si>
  <si>
    <t>Techsource</t>
  </si>
  <si>
    <t>Cloudnet</t>
  </si>
  <si>
    <t>Variance</t>
  </si>
  <si>
    <t>Variance %</t>
  </si>
  <si>
    <t>Budget Status</t>
  </si>
  <si>
    <t>Net Amount</t>
  </si>
  <si>
    <t>Transaction Month</t>
  </si>
  <si>
    <t>Row Labels</t>
  </si>
  <si>
    <t>Grand Total</t>
  </si>
  <si>
    <t>Column Labels</t>
  </si>
  <si>
    <t>Sum of Actual Amount</t>
  </si>
  <si>
    <t>No Budget</t>
  </si>
  <si>
    <t>Over Budget</t>
  </si>
  <si>
    <t>Under Budget</t>
  </si>
  <si>
    <t>Sum of Budget Amount</t>
  </si>
  <si>
    <t>Sum of Net Amount</t>
  </si>
  <si>
    <t>Revenue vs Expense By Months</t>
  </si>
  <si>
    <t>Expense By Category</t>
  </si>
  <si>
    <t>Actual vs Budget by Department</t>
  </si>
  <si>
    <t>Net Amount by Business Segment</t>
  </si>
  <si>
    <t>Revenue by Category</t>
  </si>
  <si>
    <t>KPI</t>
  </si>
  <si>
    <t>Value</t>
  </si>
  <si>
    <t>Total Transactions</t>
  </si>
  <si>
    <t>Total Budget</t>
  </si>
  <si>
    <t>Total Actual</t>
  </si>
  <si>
    <t>Total Revenue</t>
  </si>
  <si>
    <t>Total Expenses</t>
  </si>
  <si>
    <t>Over Budget Amount</t>
  </si>
  <si>
    <t>Under Budget Amount</t>
  </si>
  <si>
    <t>Count of Transaction ID</t>
  </si>
  <si>
    <t>Amount by Payment Method</t>
  </si>
  <si>
    <t>Revenue by Business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</si>
</sst>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
    <numFmt numFmtId="165" formatCode="dd/mm/yyyy"/>
    <numFmt numFmtId="166" formatCode="mmm/yyyy"/>
  </numFmts>
  <fonts count="8"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sz val="14"/>
      <color theme="1"/>
      <name val="Calibri"/>
      <family val="2"/>
      <scheme val="minor"/>
    </font>
    <font>
      <b/>
      <sz val="18"/>
      <color theme="0"/>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1F4E78"/>
      </patternFill>
    </fill>
    <fill>
      <patternFill patternType="solid">
        <fgColor theme="3" tint="-0.249977111117893"/>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2">
    <xf numFmtId="0" fontId="0" fillId="0" borderId="0" xfId="0"/>
    <xf numFmtId="0" fontId="1"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4" fillId="0" borderId="0" xfId="0" applyFont="1"/>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0" fillId="0" borderId="1" xfId="0" applyBorder="1"/>
    <xf numFmtId="44" fontId="0" fillId="0" borderId="1" xfId="0" applyNumberFormat="1" applyBorder="1"/>
    <xf numFmtId="44" fontId="0" fillId="0" borderId="1" xfId="1" applyFont="1" applyBorder="1"/>
    <xf numFmtId="166" fontId="0" fillId="0" borderId="0" xfId="0" applyNumberFormat="1" applyAlignment="1">
      <alignment horizontal="left"/>
    </xf>
    <xf numFmtId="44" fontId="4" fillId="0" borderId="0" xfId="0" applyNumberFormat="1" applyFont="1"/>
    <xf numFmtId="0" fontId="4" fillId="0" borderId="0" xfId="0" applyNumberFormat="1" applyFont="1"/>
    <xf numFmtId="0" fontId="4" fillId="0" borderId="0" xfId="0" pivotButton="1" applyFont="1"/>
    <xf numFmtId="0" fontId="0" fillId="0" borderId="0" xfId="0" applyFill="1"/>
    <xf numFmtId="0" fontId="6" fillId="0" borderId="0" xfId="0" applyFont="1"/>
    <xf numFmtId="0" fontId="7" fillId="0" borderId="0" xfId="0" applyFont="1" applyBorder="1"/>
    <xf numFmtId="0" fontId="6" fillId="0" borderId="0" xfId="0" pivotButton="1" applyFont="1"/>
    <xf numFmtId="44" fontId="6" fillId="0" borderId="0" xfId="0" applyNumberFormat="1" applyFont="1"/>
    <xf numFmtId="0" fontId="6" fillId="0" borderId="0" xfId="0" applyNumberFormat="1" applyFont="1"/>
    <xf numFmtId="44" fontId="6" fillId="0" borderId="0" xfId="1" applyFont="1" applyBorder="1"/>
    <xf numFmtId="44" fontId="6" fillId="0" borderId="0" xfId="1" applyFont="1"/>
    <xf numFmtId="1" fontId="6" fillId="0" borderId="0" xfId="0" applyNumberFormat="1" applyFont="1"/>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6" fillId="0" borderId="0" xfId="0" applyFont="1" applyAlignment="1">
      <alignment horizontal="left"/>
    </xf>
    <xf numFmtId="0" fontId="1" fillId="2" borderId="11" xfId="0" applyFont="1" applyFill="1" applyBorder="1" applyAlignment="1">
      <alignment horizontal="center" vertical="center"/>
    </xf>
    <xf numFmtId="0" fontId="0" fillId="0" borderId="0" xfId="0" applyBorder="1"/>
    <xf numFmtId="0" fontId="0" fillId="0" borderId="0" xfId="0" applyFill="1" applyBorder="1"/>
    <xf numFmtId="165" fontId="6" fillId="0" borderId="0" xfId="0" applyNumberFormat="1" applyFont="1"/>
    <xf numFmtId="164" fontId="6" fillId="0" borderId="0" xfId="0" applyNumberFormat="1" applyFont="1"/>
    <xf numFmtId="10" fontId="6" fillId="0" borderId="0" xfId="2" applyNumberFormat="1" applyFont="1"/>
    <xf numFmtId="44" fontId="6" fillId="0" borderId="0" xfId="1" applyNumberFormat="1" applyFont="1"/>
    <xf numFmtId="166" fontId="6" fillId="0" borderId="0" xfId="0" applyNumberFormat="1" applyFont="1"/>
    <xf numFmtId="0" fontId="3" fillId="2" borderId="1" xfId="0" applyFont="1" applyFill="1" applyBorder="1" applyAlignment="1">
      <alignment horizontal="center" vertical="center"/>
    </xf>
    <xf numFmtId="0" fontId="0" fillId="0" borderId="0" xfId="0" applyFont="1"/>
  </cellXfs>
  <cellStyles count="3">
    <cellStyle name="Currency" xfId="1" builtinId="4"/>
    <cellStyle name="Normal" xfId="0" builtinId="0"/>
    <cellStyle name="Percent" xfId="2" builtinId="5"/>
  </cellStyles>
  <dxfs count="75">
    <dxf>
      <font>
        <sz val="14"/>
      </font>
    </dxf>
    <dxf>
      <font>
        <sz val="14"/>
      </font>
    </dxf>
    <dxf>
      <font>
        <sz val="14"/>
      </font>
    </dxf>
    <dxf>
      <numFmt numFmtId="34" formatCode="_(&quot;$&quot;* #,##0.00_);_(&quot;$&quot;* \(#,##0.00\);_(&quot;$&quot;* &quot;-&quot;??_);_(@_)"/>
    </dxf>
    <dxf>
      <numFmt numFmtId="34" formatCode="_(&quot;$&quot;* #,##0.00_);_(&quot;$&quot;* \(#,##0.00\);_(&quot;$&quot;* &quot;-&quot;??_);_(@_)"/>
    </dxf>
    <dxf>
      <numFmt numFmtId="34" formatCode="_(&quot;$&quot;* #,##0.00_);_(&quot;$&quot;* \(#,##0.00\);_(&quot;$&quot;* &quot;-&quot;??_);_(@_)"/>
    </dxf>
    <dxf>
      <font>
        <sz val="14"/>
      </font>
    </dxf>
    <dxf>
      <font>
        <sz val="14"/>
      </font>
    </dxf>
    <dxf>
      <numFmt numFmtId="166" formatCode="mmm/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sz val="12"/>
      </font>
    </dxf>
    <dxf>
      <font>
        <sz val="12"/>
      </font>
    </dxf>
    <dxf>
      <font>
        <sz val="12"/>
      </font>
    </dxf>
    <dxf>
      <font>
        <sz val="14"/>
      </font>
    </dxf>
    <dxf>
      <font>
        <sz val="14"/>
      </font>
    </dxf>
    <dxf>
      <font>
        <sz val="12"/>
      </font>
    </dxf>
    <dxf>
      <numFmt numFmtId="166" formatCode="mmm/yyyy"/>
    </dxf>
    <dxf>
      <font>
        <sz val="14"/>
      </font>
    </dxf>
    <dxf>
      <font>
        <sz val="14"/>
      </font>
    </dxf>
    <dxf>
      <numFmt numFmtId="34" formatCode="_(&quot;$&quot;* #,##0.00_);_(&quot;$&quot;* \(#,##0.00\);_(&quot;$&quot;* &quot;-&quot;??_);_(@_)"/>
    </dxf>
    <dxf>
      <numFmt numFmtId="34" formatCode="_(&quot;$&quot;* #,##0.00_);_(&quot;$&quot;* \(#,##0.00\);_(&quot;$&quot;* &quot;-&quot;??_);_(@_)"/>
    </dxf>
    <dxf>
      <numFmt numFmtId="34" formatCode="_(&quot;$&quot;* #,##0.00_);_(&quot;$&quot;* \(#,##0.00\);_(&quot;$&quot;* &quot;-&quot;??_);_(@_)"/>
    </dxf>
    <dxf>
      <font>
        <sz val="14"/>
      </font>
    </dxf>
    <dxf>
      <font>
        <sz val="14"/>
      </font>
    </dxf>
    <dxf>
      <font>
        <sz val="14"/>
      </font>
    </dxf>
    <dxf>
      <font>
        <b/>
        <color theme="1"/>
      </font>
      <border>
        <bottom style="thin">
          <color theme="4"/>
        </bottom>
        <vertical/>
        <horizontal/>
      </border>
    </dxf>
    <dxf>
      <font>
        <b/>
        <i val="0"/>
        <sz val="24"/>
        <color theme="1"/>
      </font>
      <border diagonalUp="0" diagonalDown="0">
        <left/>
        <right/>
        <top/>
        <bottom/>
        <vertical/>
        <horizontal/>
      </border>
    </dxf>
    <dxf>
      <font>
        <b/>
        <color theme="1"/>
      </font>
      <border>
        <bottom style="thin">
          <color theme="4"/>
        </bottom>
        <vertical/>
        <horizontal/>
      </border>
    </dxf>
    <dxf>
      <font>
        <b/>
        <i val="0"/>
        <sz val="18"/>
        <color theme="1"/>
      </font>
      <border diagonalUp="0" diagonalDown="0">
        <left/>
        <right/>
        <top/>
        <bottom/>
        <vertical/>
        <horizontal/>
      </border>
    </dxf>
  </dxfs>
  <tableStyles count="2" defaultTableStyle="TableStyleMedium9" defaultPivotStyle="PivotStyleLight16">
    <tableStyle name="My" pivot="0" table="0" count="10" xr9:uid="{8049C68A-C828-460D-8893-9E8E6453FED9}">
      <tableStyleElement type="wholeTable" dxfId="74"/>
      <tableStyleElement type="headerRow" dxfId="73"/>
    </tableStyle>
    <tableStyle name="My 2" pivot="0" table="0" count="10" xr9:uid="{C872F027-8B85-4CEC-9966-3657484226AC}">
      <tableStyleElement type="wholeTable" dxfId="72"/>
      <tableStyleElement type="headerRow" dxfId="7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[Finance_Expense_Analysis_Clean_Data.xlsx]PivotTables!PivotTable1</c:name>
    <c:fmtId val="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i="0" u="none" strike="noStrike" baseline="0"/>
              <a:t>Monthly Revenue vs Expenses</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PivotTables!$C$10:$C$11</c:f>
              <c:strCache>
                <c:ptCount val="1"/>
                <c:pt idx="0">
                  <c:v>Expense</c:v>
                </c:pt>
              </c:strCache>
            </c:strRef>
          </c:tx>
          <c:spPr>
            <a:solidFill>
              <a:schemeClr val="accent1"/>
            </a:solidFill>
            <a:ln>
              <a:noFill/>
            </a:ln>
            <a:effectLst/>
          </c:spPr>
          <c:invertIfNegative val="0"/>
          <c:cat>
            <c:strRef>
              <c:f>PivotTables!$B$12:$B$30</c:f>
              <c:strCache>
                <c:ptCount val="18"/>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pt idx="12">
                  <c:v>Jan-2026</c:v>
                </c:pt>
                <c:pt idx="13">
                  <c:v>Jun-2026</c:v>
                </c:pt>
                <c:pt idx="14">
                  <c:v>Mar-2026</c:v>
                </c:pt>
                <c:pt idx="15">
                  <c:v>Apr-2026</c:v>
                </c:pt>
                <c:pt idx="16">
                  <c:v>May-2026</c:v>
                </c:pt>
                <c:pt idx="17">
                  <c:v>Feb-2026</c:v>
                </c:pt>
              </c:strCache>
            </c:strRef>
          </c:cat>
          <c:val>
            <c:numRef>
              <c:f>PivotTables!$C$12:$C$30</c:f>
              <c:numCache>
                <c:formatCode>General</c:formatCode>
                <c:ptCount val="18"/>
                <c:pt idx="0">
                  <c:v>380927.93</c:v>
                </c:pt>
                <c:pt idx="1">
                  <c:v>317275.14999999991</c:v>
                </c:pt>
                <c:pt idx="2">
                  <c:v>556502.55000000005</c:v>
                </c:pt>
                <c:pt idx="3">
                  <c:v>412382.9499999999</c:v>
                </c:pt>
                <c:pt idx="4">
                  <c:v>546445.01</c:v>
                </c:pt>
                <c:pt idx="5">
                  <c:v>504257.99000000011</c:v>
                </c:pt>
                <c:pt idx="6">
                  <c:v>481565.85000000009</c:v>
                </c:pt>
                <c:pt idx="7">
                  <c:v>482726.05999999994</c:v>
                </c:pt>
                <c:pt idx="8">
                  <c:v>457402.62</c:v>
                </c:pt>
                <c:pt idx="9">
                  <c:v>465193.96999999991</c:v>
                </c:pt>
                <c:pt idx="10">
                  <c:v>341734.93</c:v>
                </c:pt>
                <c:pt idx="11">
                  <c:v>524745.13000000012</c:v>
                </c:pt>
                <c:pt idx="12">
                  <c:v>449674.44000000024</c:v>
                </c:pt>
                <c:pt idx="13">
                  <c:v>454373.52999999985</c:v>
                </c:pt>
                <c:pt idx="14">
                  <c:v>498461.23000000004</c:v>
                </c:pt>
                <c:pt idx="15">
                  <c:v>372966.75999999989</c:v>
                </c:pt>
                <c:pt idx="16">
                  <c:v>334593.06</c:v>
                </c:pt>
                <c:pt idx="17">
                  <c:v>489577.83999999997</c:v>
                </c:pt>
              </c:numCache>
            </c:numRef>
          </c:val>
          <c:extLst>
            <c:ext xmlns:c16="http://schemas.microsoft.com/office/drawing/2014/chart" uri="{C3380CC4-5D6E-409C-BE32-E72D297353CC}">
              <c16:uniqueId val="{00000000-B336-42EC-9F82-256C004C48FF}"/>
            </c:ext>
          </c:extLst>
        </c:ser>
        <c:ser>
          <c:idx val="1"/>
          <c:order val="1"/>
          <c:tx>
            <c:strRef>
              <c:f>PivotTables!$D$10:$D$11</c:f>
              <c:strCache>
                <c:ptCount val="1"/>
                <c:pt idx="0">
                  <c:v>Revenue</c:v>
                </c:pt>
              </c:strCache>
            </c:strRef>
          </c:tx>
          <c:spPr>
            <a:solidFill>
              <a:schemeClr val="accent2"/>
            </a:solidFill>
            <a:ln>
              <a:noFill/>
            </a:ln>
            <a:effectLst/>
          </c:spPr>
          <c:invertIfNegative val="0"/>
          <c:cat>
            <c:strRef>
              <c:f>PivotTables!$B$12:$B$30</c:f>
              <c:strCache>
                <c:ptCount val="18"/>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pt idx="12">
                  <c:v>Jan-2026</c:v>
                </c:pt>
                <c:pt idx="13">
                  <c:v>Jun-2026</c:v>
                </c:pt>
                <c:pt idx="14">
                  <c:v>Mar-2026</c:v>
                </c:pt>
                <c:pt idx="15">
                  <c:v>Apr-2026</c:v>
                </c:pt>
                <c:pt idx="16">
                  <c:v>May-2026</c:v>
                </c:pt>
                <c:pt idx="17">
                  <c:v>Feb-2026</c:v>
                </c:pt>
              </c:strCache>
            </c:strRef>
          </c:cat>
          <c:val>
            <c:numRef>
              <c:f>PivotTables!$D$12:$D$30</c:f>
              <c:numCache>
                <c:formatCode>General</c:formatCode>
                <c:ptCount val="18"/>
                <c:pt idx="0">
                  <c:v>452540.90000000014</c:v>
                </c:pt>
                <c:pt idx="1">
                  <c:v>381240.21</c:v>
                </c:pt>
                <c:pt idx="2">
                  <c:v>523874.29000000015</c:v>
                </c:pt>
                <c:pt idx="3">
                  <c:v>423830.02999999997</c:v>
                </c:pt>
                <c:pt idx="4">
                  <c:v>442479.99000000011</c:v>
                </c:pt>
                <c:pt idx="5">
                  <c:v>554136.87000000011</c:v>
                </c:pt>
                <c:pt idx="6">
                  <c:v>456473.55999999994</c:v>
                </c:pt>
                <c:pt idx="7">
                  <c:v>548921.02</c:v>
                </c:pt>
                <c:pt idx="8">
                  <c:v>407520.85000000003</c:v>
                </c:pt>
                <c:pt idx="9">
                  <c:v>528056.56000000006</c:v>
                </c:pt>
                <c:pt idx="10">
                  <c:v>439282.51999999996</c:v>
                </c:pt>
                <c:pt idx="11">
                  <c:v>324008.17</c:v>
                </c:pt>
                <c:pt idx="12">
                  <c:v>429940.71</c:v>
                </c:pt>
                <c:pt idx="13">
                  <c:v>519930.91</c:v>
                </c:pt>
                <c:pt idx="14">
                  <c:v>348012.62</c:v>
                </c:pt>
                <c:pt idx="15">
                  <c:v>552049.65999999992</c:v>
                </c:pt>
                <c:pt idx="16">
                  <c:v>456510.73999999993</c:v>
                </c:pt>
                <c:pt idx="17">
                  <c:v>410458.18</c:v>
                </c:pt>
              </c:numCache>
            </c:numRef>
          </c:val>
          <c:extLst>
            <c:ext xmlns:c16="http://schemas.microsoft.com/office/drawing/2014/chart" uri="{C3380CC4-5D6E-409C-BE32-E72D297353CC}">
              <c16:uniqueId val="{00000001-B336-42EC-9F82-256C004C48FF}"/>
            </c:ext>
          </c:extLst>
        </c:ser>
        <c:dLbls>
          <c:showLegendKey val="0"/>
          <c:showVal val="0"/>
          <c:showCatName val="0"/>
          <c:showSerName val="0"/>
          <c:showPercent val="0"/>
          <c:showBubbleSize val="0"/>
        </c:dLbls>
        <c:gapWidth val="219"/>
        <c:overlap val="-27"/>
        <c:axId val="405876319"/>
        <c:axId val="405881119"/>
      </c:barChart>
      <c:catAx>
        <c:axId val="405876319"/>
        <c:scaling>
          <c:orientation val="minMax"/>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05881119"/>
        <c:crosses val="autoZero"/>
        <c:auto val="1"/>
        <c:lblAlgn val="ctr"/>
        <c:lblOffset val="100"/>
        <c:noMultiLvlLbl val="0"/>
      </c:catAx>
      <c:valAx>
        <c:axId val="40588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05876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[Finance_Expense_Analysis_Clean_Data.xlsx]PivotTables!PivotTable2</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0" u="none" strike="noStrike" baseline="0"/>
              <a:t>Expense By Category</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PivotTables!$G$13:$G$24</c:f>
              <c:strCache>
                <c:ptCount val="11"/>
                <c:pt idx="0">
                  <c:v>Equipment &amp; Maintenance</c:v>
                </c:pt>
                <c:pt idx="1">
                  <c:v>Logistics &amp; Shipping</c:v>
                </c:pt>
                <c:pt idx="2">
                  <c:v>Marketing &amp; Advertising</c:v>
                </c:pt>
                <c:pt idx="3">
                  <c:v>Office Supplies</c:v>
                </c:pt>
                <c:pt idx="4">
                  <c:v>Professional Services</c:v>
                </c:pt>
                <c:pt idx="5">
                  <c:v>Rent &amp; Facilities</c:v>
                </c:pt>
                <c:pt idx="6">
                  <c:v>Salaries &amp; Benefits</c:v>
                </c:pt>
                <c:pt idx="7">
                  <c:v>Software &amp; Subscriptions</c:v>
                </c:pt>
                <c:pt idx="8">
                  <c:v>Travel &amp; Transport</c:v>
                </c:pt>
                <c:pt idx="9">
                  <c:v>Unknown</c:v>
                </c:pt>
                <c:pt idx="10">
                  <c:v>Utilities</c:v>
                </c:pt>
              </c:strCache>
            </c:strRef>
          </c:cat>
          <c:val>
            <c:numRef>
              <c:f>PivotTables!$H$13:$H$24</c:f>
              <c:numCache>
                <c:formatCode>General</c:formatCode>
                <c:ptCount val="11"/>
                <c:pt idx="0">
                  <c:v>477055.2200000002</c:v>
                </c:pt>
                <c:pt idx="1">
                  <c:v>438157.08000000013</c:v>
                </c:pt>
                <c:pt idx="2">
                  <c:v>902483.52999999956</c:v>
                </c:pt>
                <c:pt idx="3">
                  <c:v>126273.24999999997</c:v>
                </c:pt>
                <c:pt idx="4">
                  <c:v>528165.10000000009</c:v>
                </c:pt>
                <c:pt idx="5">
                  <c:v>1213123.8299999996</c:v>
                </c:pt>
                <c:pt idx="6">
                  <c:v>3622899.3500000006</c:v>
                </c:pt>
                <c:pt idx="7">
                  <c:v>332678.11000000016</c:v>
                </c:pt>
                <c:pt idx="8">
                  <c:v>163874.05000000002</c:v>
                </c:pt>
                <c:pt idx="9">
                  <c:v>25734.77</c:v>
                </c:pt>
                <c:pt idx="10">
                  <c:v>240362.71000000011</c:v>
                </c:pt>
              </c:numCache>
            </c:numRef>
          </c:val>
          <c:extLst>
            <c:ext xmlns:c16="http://schemas.microsoft.com/office/drawing/2014/chart" uri="{C3380CC4-5D6E-409C-BE32-E72D297353CC}">
              <c16:uniqueId val="{00000000-E456-4E8C-84D5-B60B4BCF1733}"/>
            </c:ext>
          </c:extLst>
        </c:ser>
        <c:dLbls>
          <c:dLblPos val="outEnd"/>
          <c:showLegendKey val="0"/>
          <c:showVal val="1"/>
          <c:showCatName val="0"/>
          <c:showSerName val="0"/>
          <c:showPercent val="0"/>
          <c:showBubbleSize val="0"/>
        </c:dLbls>
        <c:gapWidth val="219"/>
        <c:overlap val="-27"/>
        <c:axId val="404615535"/>
        <c:axId val="404616015"/>
      </c:barChart>
      <c:catAx>
        <c:axId val="40461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04616015"/>
        <c:crosses val="autoZero"/>
        <c:auto val="1"/>
        <c:lblAlgn val="ctr"/>
        <c:lblOffset val="100"/>
        <c:noMultiLvlLbl val="0"/>
      </c:catAx>
      <c:valAx>
        <c:axId val="4046160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0461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[Finance_Expense_Analysis_Clean_Data.xlsx]PivotTables!PivotTable3</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0" i="0" u="none" strike="noStrike" baseline="0"/>
              <a:t>Actual vs Budget by Department</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PivotTables!$K$10</c:f>
              <c:strCache>
                <c:ptCount val="1"/>
                <c:pt idx="0">
                  <c:v>Total Budget</c:v>
                </c:pt>
              </c:strCache>
            </c:strRef>
          </c:tx>
          <c:spPr>
            <a:solidFill>
              <a:schemeClr val="accent1"/>
            </a:solidFill>
            <a:ln>
              <a:noFill/>
            </a:ln>
            <a:effectLst/>
          </c:spPr>
          <c:invertIfNegative val="0"/>
          <c:cat>
            <c:strRef>
              <c:f>PivotTables!$J$11:$J$19</c:f>
              <c:strCache>
                <c:ptCount val="8"/>
                <c:pt idx="0">
                  <c:v>Administration</c:v>
                </c:pt>
                <c:pt idx="1">
                  <c:v>Finance</c:v>
                </c:pt>
                <c:pt idx="2">
                  <c:v>Hr</c:v>
                </c:pt>
                <c:pt idx="3">
                  <c:v>It</c:v>
                </c:pt>
                <c:pt idx="4">
                  <c:v>Marketing</c:v>
                </c:pt>
                <c:pt idx="5">
                  <c:v>Operations</c:v>
                </c:pt>
                <c:pt idx="6">
                  <c:v>Sales</c:v>
                </c:pt>
                <c:pt idx="7">
                  <c:v>Unknown</c:v>
                </c:pt>
              </c:strCache>
            </c:strRef>
          </c:cat>
          <c:val>
            <c:numRef>
              <c:f>PivotTables!$K$11:$K$19</c:f>
              <c:numCache>
                <c:formatCode>General</c:formatCode>
                <c:ptCount val="8"/>
                <c:pt idx="0">
                  <c:v>3177655.3600000008</c:v>
                </c:pt>
                <c:pt idx="1">
                  <c:v>1614121.8000000003</c:v>
                </c:pt>
                <c:pt idx="2">
                  <c:v>1343816.7799999998</c:v>
                </c:pt>
                <c:pt idx="3">
                  <c:v>1728839.429999999</c:v>
                </c:pt>
                <c:pt idx="4">
                  <c:v>2025390.1300000011</c:v>
                </c:pt>
                <c:pt idx="5">
                  <c:v>2704810.879999999</c:v>
                </c:pt>
                <c:pt idx="6">
                  <c:v>4406754.8099999977</c:v>
                </c:pt>
                <c:pt idx="7">
                  <c:v>103660.02</c:v>
                </c:pt>
              </c:numCache>
            </c:numRef>
          </c:val>
          <c:extLst>
            <c:ext xmlns:c16="http://schemas.microsoft.com/office/drawing/2014/chart" uri="{C3380CC4-5D6E-409C-BE32-E72D297353CC}">
              <c16:uniqueId val="{00000000-1C81-4863-846E-3C61C8E77F35}"/>
            </c:ext>
          </c:extLst>
        </c:ser>
        <c:ser>
          <c:idx val="1"/>
          <c:order val="1"/>
          <c:tx>
            <c:strRef>
              <c:f>PivotTables!$L$10</c:f>
              <c:strCache>
                <c:ptCount val="1"/>
                <c:pt idx="0">
                  <c:v>Total Actual</c:v>
                </c:pt>
              </c:strCache>
            </c:strRef>
          </c:tx>
          <c:spPr>
            <a:solidFill>
              <a:schemeClr val="accent2"/>
            </a:solidFill>
            <a:ln>
              <a:noFill/>
            </a:ln>
            <a:effectLst/>
          </c:spPr>
          <c:invertIfNegative val="0"/>
          <c:cat>
            <c:strRef>
              <c:f>PivotTables!$J$11:$J$19</c:f>
              <c:strCache>
                <c:ptCount val="8"/>
                <c:pt idx="0">
                  <c:v>Administration</c:v>
                </c:pt>
                <c:pt idx="1">
                  <c:v>Finance</c:v>
                </c:pt>
                <c:pt idx="2">
                  <c:v>Hr</c:v>
                </c:pt>
                <c:pt idx="3">
                  <c:v>It</c:v>
                </c:pt>
                <c:pt idx="4">
                  <c:v>Marketing</c:v>
                </c:pt>
                <c:pt idx="5">
                  <c:v>Operations</c:v>
                </c:pt>
                <c:pt idx="6">
                  <c:v>Sales</c:v>
                </c:pt>
                <c:pt idx="7">
                  <c:v>Unknown</c:v>
                </c:pt>
              </c:strCache>
            </c:strRef>
          </c:cat>
          <c:val>
            <c:numRef>
              <c:f>PivotTables!$L$11:$L$19</c:f>
              <c:numCache>
                <c:formatCode>General</c:formatCode>
                <c:ptCount val="8"/>
                <c:pt idx="0">
                  <c:v>2915637.3699999996</c:v>
                </c:pt>
                <c:pt idx="1">
                  <c:v>1651336.6900000002</c:v>
                </c:pt>
                <c:pt idx="2">
                  <c:v>1287839.7399999995</c:v>
                </c:pt>
                <c:pt idx="3">
                  <c:v>1639522.7900000012</c:v>
                </c:pt>
                <c:pt idx="4">
                  <c:v>1906195.5099999981</c:v>
                </c:pt>
                <c:pt idx="5">
                  <c:v>2406070.62</c:v>
                </c:pt>
                <c:pt idx="6">
                  <c:v>4397099.8199999984</c:v>
                </c:pt>
                <c:pt idx="7">
                  <c:v>66372.25</c:v>
                </c:pt>
              </c:numCache>
            </c:numRef>
          </c:val>
          <c:extLst>
            <c:ext xmlns:c16="http://schemas.microsoft.com/office/drawing/2014/chart" uri="{C3380CC4-5D6E-409C-BE32-E72D297353CC}">
              <c16:uniqueId val="{00000001-1C81-4863-846E-3C61C8E77F35}"/>
            </c:ext>
          </c:extLst>
        </c:ser>
        <c:dLbls>
          <c:showLegendKey val="0"/>
          <c:showVal val="0"/>
          <c:showCatName val="0"/>
          <c:showSerName val="0"/>
          <c:showPercent val="0"/>
          <c:showBubbleSize val="0"/>
        </c:dLbls>
        <c:gapWidth val="219"/>
        <c:overlap val="-27"/>
        <c:axId val="31200368"/>
        <c:axId val="31213328"/>
      </c:barChart>
      <c:catAx>
        <c:axId val="312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1213328"/>
        <c:crosses val="autoZero"/>
        <c:auto val="1"/>
        <c:lblAlgn val="ctr"/>
        <c:lblOffset val="100"/>
        <c:noMultiLvlLbl val="0"/>
      </c:catAx>
      <c:valAx>
        <c:axId val="3121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120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[Finance_Expense_Analysis_Clean_Data.xlsx]PivotTables!PivotTable4</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0" i="0" u="none" strike="noStrike" baseline="0"/>
              <a:t>Net Amount by Business Segment</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barChart>
        <c:barDir val="col"/>
        <c:grouping val="clustered"/>
        <c:varyColors val="0"/>
        <c:ser>
          <c:idx val="0"/>
          <c:order val="0"/>
          <c:tx>
            <c:strRef>
              <c:f>PivotTables!$H$29</c:f>
              <c:strCache>
                <c:ptCount val="1"/>
                <c:pt idx="0">
                  <c:v>Total</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1-3B49-45C5-9404-DDCE1F259773}"/>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3B49-45C5-9404-DDCE1F259773}"/>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5-3B49-45C5-9404-DDCE1F259773}"/>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7-3B49-45C5-9404-DDCE1F259773}"/>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9-3B49-45C5-9404-DDCE1F25977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PivotTables!$G$30:$G$35</c:f>
              <c:strCache>
                <c:ptCount val="5"/>
                <c:pt idx="0">
                  <c:v>Corporate</c:v>
                </c:pt>
                <c:pt idx="1">
                  <c:v>Online</c:v>
                </c:pt>
                <c:pt idx="2">
                  <c:v>Retail</c:v>
                </c:pt>
                <c:pt idx="3">
                  <c:v>Services</c:v>
                </c:pt>
                <c:pt idx="4">
                  <c:v>Wholesale</c:v>
                </c:pt>
              </c:strCache>
            </c:strRef>
          </c:cat>
          <c:val>
            <c:numRef>
              <c:f>PivotTables!$H$30:$H$35</c:f>
              <c:numCache>
                <c:formatCode>General</c:formatCode>
                <c:ptCount val="5"/>
                <c:pt idx="0">
                  <c:v>-208742.39000000033</c:v>
                </c:pt>
                <c:pt idx="1">
                  <c:v>389949.95</c:v>
                </c:pt>
                <c:pt idx="2">
                  <c:v>-99270.020000000106</c:v>
                </c:pt>
                <c:pt idx="3">
                  <c:v>122072.49999999996</c:v>
                </c:pt>
                <c:pt idx="4">
                  <c:v>-75549.249999999898</c:v>
                </c:pt>
              </c:numCache>
            </c:numRef>
          </c:val>
          <c:extLst>
            <c:ext xmlns:c16="http://schemas.microsoft.com/office/drawing/2014/chart" uri="{C3380CC4-5D6E-409C-BE32-E72D297353CC}">
              <c16:uniqueId val="{0000000A-3B49-45C5-9404-DDCE1F259773}"/>
            </c:ext>
          </c:extLst>
        </c:ser>
        <c:dLbls>
          <c:dLblPos val="outEnd"/>
          <c:showLegendKey val="0"/>
          <c:showVal val="1"/>
          <c:showCatName val="0"/>
          <c:showSerName val="0"/>
          <c:showPercent val="0"/>
          <c:showBubbleSize val="0"/>
        </c:dLbls>
        <c:gapWidth val="100"/>
        <c:axId val="137997248"/>
        <c:axId val="138010688"/>
      </c:barChart>
      <c:catAx>
        <c:axId val="137997248"/>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8010688"/>
        <c:crosses val="autoZero"/>
        <c:auto val="1"/>
        <c:lblAlgn val="ctr"/>
        <c:lblOffset val="100"/>
        <c:noMultiLvlLbl val="0"/>
      </c:catAx>
      <c:valAx>
        <c:axId val="138010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79972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[Finance_Expense_Analysis_Clean_Data.xlsx]PivotTables!PivotTable5</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0" i="0" u="none" strike="noStrike" baseline="0"/>
              <a:t>Actual Amount by Budget Status</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PivotTables!$K$29</c:f>
              <c:strCache>
                <c:ptCount val="1"/>
                <c:pt idx="0">
                  <c:v>Total</c:v>
                </c:pt>
              </c:strCache>
            </c:strRef>
          </c:tx>
          <c:spPr>
            <a:solidFill>
              <a:schemeClr val="accent1"/>
            </a:solidFill>
            <a:ln>
              <a:noFill/>
            </a:ln>
            <a:effectLst/>
          </c:spPr>
          <c:invertIfNegative val="0"/>
          <c:cat>
            <c:strRef>
              <c:f>PivotTables!$J$30:$J$33</c:f>
              <c:strCache>
                <c:ptCount val="3"/>
                <c:pt idx="0">
                  <c:v>No Budget</c:v>
                </c:pt>
                <c:pt idx="1">
                  <c:v>Over Budget</c:v>
                </c:pt>
                <c:pt idx="2">
                  <c:v>Under Budget</c:v>
                </c:pt>
              </c:strCache>
            </c:strRef>
          </c:cat>
          <c:val>
            <c:numRef>
              <c:f>PivotTables!$K$30:$K$33</c:f>
              <c:numCache>
                <c:formatCode>General</c:formatCode>
                <c:ptCount val="3"/>
                <c:pt idx="0">
                  <c:v>47976.799999999996</c:v>
                </c:pt>
                <c:pt idx="1">
                  <c:v>11251287.720000012</c:v>
                </c:pt>
                <c:pt idx="2">
                  <c:v>4970810.269999994</c:v>
                </c:pt>
              </c:numCache>
            </c:numRef>
          </c:val>
          <c:extLst>
            <c:ext xmlns:c16="http://schemas.microsoft.com/office/drawing/2014/chart" uri="{C3380CC4-5D6E-409C-BE32-E72D297353CC}">
              <c16:uniqueId val="{00000000-3883-40E1-90E5-32923B71472C}"/>
            </c:ext>
          </c:extLst>
        </c:ser>
        <c:dLbls>
          <c:showLegendKey val="0"/>
          <c:showVal val="0"/>
          <c:showCatName val="0"/>
          <c:showSerName val="0"/>
          <c:showPercent val="0"/>
          <c:showBubbleSize val="0"/>
        </c:dLbls>
        <c:gapWidth val="219"/>
        <c:overlap val="-27"/>
        <c:axId val="138022208"/>
        <c:axId val="138016928"/>
      </c:barChart>
      <c:catAx>
        <c:axId val="13802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8016928"/>
        <c:crosses val="autoZero"/>
        <c:auto val="1"/>
        <c:lblAlgn val="ctr"/>
        <c:lblOffset val="100"/>
        <c:noMultiLvlLbl val="0"/>
      </c:catAx>
      <c:valAx>
        <c:axId val="138016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802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[Finance_Expense_Analysis_Clean_Data.xlsx]PivotTables!PivotTable6</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0" i="0" u="none" strike="noStrike" baseline="0"/>
              <a:t>Revenue by Category</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PivotTables!$O$12</c:f>
              <c:strCache>
                <c:ptCount val="1"/>
                <c:pt idx="0">
                  <c:v>Total</c:v>
                </c:pt>
              </c:strCache>
            </c:strRef>
          </c:tx>
          <c:spPr>
            <a:solidFill>
              <a:schemeClr val="accent2"/>
            </a:solidFill>
            <a:ln>
              <a:noFill/>
            </a:ln>
            <a:effectLst/>
          </c:spPr>
          <c:invertIfNegative val="0"/>
          <c:cat>
            <c:strRef>
              <c:f>PivotTables!$N$13:$N$18</c:f>
              <c:strCache>
                <c:ptCount val="5"/>
                <c:pt idx="0">
                  <c:v>Other Income</c:v>
                </c:pt>
                <c:pt idx="1">
                  <c:v>Product Sales</c:v>
                </c:pt>
                <c:pt idx="2">
                  <c:v>Service Revenue</c:v>
                </c:pt>
                <c:pt idx="3">
                  <c:v>Subscription Revenue</c:v>
                </c:pt>
                <c:pt idx="4">
                  <c:v>Unknown</c:v>
                </c:pt>
              </c:strCache>
            </c:strRef>
          </c:cat>
          <c:val>
            <c:numRef>
              <c:f>PivotTables!$O$13:$O$18</c:f>
              <c:numCache>
                <c:formatCode>General</c:formatCode>
                <c:ptCount val="5"/>
                <c:pt idx="0">
                  <c:v>158500.96000000002</c:v>
                </c:pt>
                <c:pt idx="1">
                  <c:v>5220984.9000000013</c:v>
                </c:pt>
                <c:pt idx="2">
                  <c:v>2096558.0499999996</c:v>
                </c:pt>
                <c:pt idx="3">
                  <c:v>694391.20000000019</c:v>
                </c:pt>
                <c:pt idx="4">
                  <c:v>28832.68</c:v>
                </c:pt>
              </c:numCache>
            </c:numRef>
          </c:val>
          <c:extLst>
            <c:ext xmlns:c16="http://schemas.microsoft.com/office/drawing/2014/chart" uri="{C3380CC4-5D6E-409C-BE32-E72D297353CC}">
              <c16:uniqueId val="{00000000-A3B5-47B9-9AC7-9AE21767B235}"/>
            </c:ext>
          </c:extLst>
        </c:ser>
        <c:dLbls>
          <c:showLegendKey val="0"/>
          <c:showVal val="0"/>
          <c:showCatName val="0"/>
          <c:showSerName val="0"/>
          <c:showPercent val="0"/>
          <c:showBubbleSize val="0"/>
        </c:dLbls>
        <c:gapWidth val="219"/>
        <c:overlap val="-27"/>
        <c:axId val="31218128"/>
        <c:axId val="31202768"/>
      </c:barChart>
      <c:catAx>
        <c:axId val="312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1202768"/>
        <c:crosses val="autoZero"/>
        <c:auto val="1"/>
        <c:lblAlgn val="ctr"/>
        <c:lblOffset val="100"/>
        <c:noMultiLvlLbl val="0"/>
      </c:catAx>
      <c:valAx>
        <c:axId val="3120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121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[Finance_Expense_Analysis_Clean_Data.xlsx]PivotTables!PivotTable10</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0" i="0" u="none" strike="noStrike" baseline="0"/>
              <a:t>Actual Amount by Payment Method</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PivotTables!$O$29</c:f>
              <c:strCache>
                <c:ptCount val="1"/>
                <c:pt idx="0">
                  <c:v>Total</c:v>
                </c:pt>
              </c:strCache>
            </c:strRef>
          </c:tx>
          <c:spPr>
            <a:solidFill>
              <a:schemeClr val="accent2"/>
            </a:solidFill>
            <a:ln>
              <a:noFill/>
            </a:ln>
            <a:effectLst/>
          </c:spPr>
          <c:invertIfNegative val="0"/>
          <c:cat>
            <c:strRef>
              <c:f>PivotTables!$N$30:$N$36</c:f>
              <c:strCache>
                <c:ptCount val="6"/>
                <c:pt idx="0">
                  <c:v>Bank Transfer</c:v>
                </c:pt>
                <c:pt idx="1">
                  <c:v>Cash</c:v>
                </c:pt>
                <c:pt idx="2">
                  <c:v>Credit Card</c:v>
                </c:pt>
                <c:pt idx="3">
                  <c:v>Debit Card</c:v>
                </c:pt>
                <c:pt idx="4">
                  <c:v>Online Payment</c:v>
                </c:pt>
                <c:pt idx="5">
                  <c:v>Unknown</c:v>
                </c:pt>
              </c:strCache>
            </c:strRef>
          </c:cat>
          <c:val>
            <c:numRef>
              <c:f>PivotTables!$O$30:$O$36</c:f>
              <c:numCache>
                <c:formatCode>General</c:formatCode>
                <c:ptCount val="6"/>
                <c:pt idx="0">
                  <c:v>4676303.3099999931</c:v>
                </c:pt>
                <c:pt idx="1">
                  <c:v>1220285.8199999998</c:v>
                </c:pt>
                <c:pt idx="2">
                  <c:v>3933305.1799999969</c:v>
                </c:pt>
                <c:pt idx="3">
                  <c:v>2903783.709999999</c:v>
                </c:pt>
                <c:pt idx="4">
                  <c:v>3386231.43</c:v>
                </c:pt>
                <c:pt idx="5">
                  <c:v>150165.34000000003</c:v>
                </c:pt>
              </c:numCache>
            </c:numRef>
          </c:val>
          <c:extLst>
            <c:ext xmlns:c16="http://schemas.microsoft.com/office/drawing/2014/chart" uri="{C3380CC4-5D6E-409C-BE32-E72D297353CC}">
              <c16:uniqueId val="{00000000-9A3C-459A-9CB1-1B091AAF0C42}"/>
            </c:ext>
          </c:extLst>
        </c:ser>
        <c:dLbls>
          <c:showLegendKey val="0"/>
          <c:showVal val="0"/>
          <c:showCatName val="0"/>
          <c:showSerName val="0"/>
          <c:showPercent val="0"/>
          <c:showBubbleSize val="0"/>
        </c:dLbls>
        <c:gapWidth val="219"/>
        <c:overlap val="-27"/>
        <c:axId val="138013088"/>
        <c:axId val="137996768"/>
      </c:barChart>
      <c:catAx>
        <c:axId val="13801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7996768"/>
        <c:crosses val="autoZero"/>
        <c:auto val="1"/>
        <c:lblAlgn val="ctr"/>
        <c:lblOffset val="100"/>
        <c:noMultiLvlLbl val="0"/>
      </c:catAx>
      <c:valAx>
        <c:axId val="13799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801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[Finance_Expense_Analysis_Clean_Data.xlsx]PivotTables!PivotTable11</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0" i="0" u="none" strike="noStrike" baseline="0"/>
              <a:t>Revenue by Business Segment</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PivotTables!$C$39</c:f>
              <c:strCache>
                <c:ptCount val="1"/>
                <c:pt idx="0">
                  <c:v>Total</c:v>
                </c:pt>
              </c:strCache>
            </c:strRef>
          </c:tx>
          <c:spPr>
            <a:solidFill>
              <a:schemeClr val="accent1"/>
            </a:solidFill>
            <a:ln>
              <a:noFill/>
            </a:ln>
            <a:effectLst/>
          </c:spPr>
          <c:invertIfNegative val="0"/>
          <c:cat>
            <c:strRef>
              <c:f>PivotTables!$B$40:$B$45</c:f>
              <c:strCache>
                <c:ptCount val="5"/>
                <c:pt idx="0">
                  <c:v>Corporate</c:v>
                </c:pt>
                <c:pt idx="1">
                  <c:v>Online</c:v>
                </c:pt>
                <c:pt idx="2">
                  <c:v>Retail</c:v>
                </c:pt>
                <c:pt idx="3">
                  <c:v>Services</c:v>
                </c:pt>
                <c:pt idx="4">
                  <c:v>Wholesale</c:v>
                </c:pt>
              </c:strCache>
            </c:strRef>
          </c:cat>
          <c:val>
            <c:numRef>
              <c:f>PivotTables!$C$40:$C$45</c:f>
              <c:numCache>
                <c:formatCode>General</c:formatCode>
                <c:ptCount val="5"/>
                <c:pt idx="0">
                  <c:v>1031045.3700000002</c:v>
                </c:pt>
                <c:pt idx="1">
                  <c:v>2243719.62</c:v>
                </c:pt>
                <c:pt idx="2">
                  <c:v>2257926.2299999991</c:v>
                </c:pt>
                <c:pt idx="3">
                  <c:v>1241254.31</c:v>
                </c:pt>
                <c:pt idx="4">
                  <c:v>1425322.2599999988</c:v>
                </c:pt>
              </c:numCache>
            </c:numRef>
          </c:val>
          <c:extLst>
            <c:ext xmlns:c16="http://schemas.microsoft.com/office/drawing/2014/chart" uri="{C3380CC4-5D6E-409C-BE32-E72D297353CC}">
              <c16:uniqueId val="{00000000-3885-4C5F-A644-0F626F1ED3D3}"/>
            </c:ext>
          </c:extLst>
        </c:ser>
        <c:dLbls>
          <c:showLegendKey val="0"/>
          <c:showVal val="0"/>
          <c:showCatName val="0"/>
          <c:showSerName val="0"/>
          <c:showPercent val="0"/>
          <c:showBubbleSize val="0"/>
        </c:dLbls>
        <c:gapWidth val="219"/>
        <c:overlap val="-27"/>
        <c:axId val="1875384864"/>
        <c:axId val="1875388704"/>
      </c:barChart>
      <c:catAx>
        <c:axId val="187538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75388704"/>
        <c:crosses val="autoZero"/>
        <c:auto val="1"/>
        <c:lblAlgn val="ctr"/>
        <c:lblOffset val="100"/>
        <c:noMultiLvlLbl val="0"/>
      </c:catAx>
      <c:valAx>
        <c:axId val="187538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7538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39</xdr:col>
      <xdr:colOff>38100</xdr:colOff>
      <xdr:row>120</xdr:row>
      <xdr:rowOff>114300</xdr:rowOff>
    </xdr:to>
    <xdr:sp macro="" textlink="">
      <xdr:nvSpPr>
        <xdr:cNvPr id="62" name="Rectangle 61">
          <a:extLst>
            <a:ext uri="{FF2B5EF4-FFF2-40B4-BE49-F238E27FC236}">
              <a16:creationId xmlns:a16="http://schemas.microsoft.com/office/drawing/2014/main" id="{6369FC3D-3560-498F-A1C0-A240E54DC3A4}"/>
            </a:ext>
          </a:extLst>
        </xdr:cNvPr>
        <xdr:cNvSpPr/>
      </xdr:nvSpPr>
      <xdr:spPr>
        <a:xfrm>
          <a:off x="4267200" y="0"/>
          <a:ext cx="19545300" cy="229743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7</xdr:col>
      <xdr:colOff>3048</xdr:colOff>
      <xdr:row>120</xdr:row>
      <xdr:rowOff>114300</xdr:rowOff>
    </xdr:to>
    <xdr:sp macro="" textlink="">
      <xdr:nvSpPr>
        <xdr:cNvPr id="61" name="Rectangle 60">
          <a:extLst>
            <a:ext uri="{FF2B5EF4-FFF2-40B4-BE49-F238E27FC236}">
              <a16:creationId xmlns:a16="http://schemas.microsoft.com/office/drawing/2014/main" id="{77769C05-D612-1B5E-0F0C-1FE8F61185E5}"/>
            </a:ext>
          </a:extLst>
        </xdr:cNvPr>
        <xdr:cNvSpPr/>
      </xdr:nvSpPr>
      <xdr:spPr>
        <a:xfrm>
          <a:off x="0" y="0"/>
          <a:ext cx="4270248" cy="229743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88900</xdr:colOff>
      <xdr:row>2</xdr:row>
      <xdr:rowOff>76200</xdr:rowOff>
    </xdr:from>
    <xdr:to>
      <xdr:col>38</xdr:col>
      <xdr:colOff>482600</xdr:colOff>
      <xdr:row>118</xdr:row>
      <xdr:rowOff>101600</xdr:rowOff>
    </xdr:to>
    <xdr:sp macro="" textlink="">
      <xdr:nvSpPr>
        <xdr:cNvPr id="44" name="Rectangle: Rounded Corners 43">
          <a:extLst>
            <a:ext uri="{FF2B5EF4-FFF2-40B4-BE49-F238E27FC236}">
              <a16:creationId xmlns:a16="http://schemas.microsoft.com/office/drawing/2014/main" id="{8FB9E0CA-7E07-B181-EE58-B9558A24C533}"/>
            </a:ext>
          </a:extLst>
        </xdr:cNvPr>
        <xdr:cNvSpPr/>
      </xdr:nvSpPr>
      <xdr:spPr>
        <a:xfrm>
          <a:off x="88900" y="457200"/>
          <a:ext cx="23558500" cy="22123400"/>
        </a:xfrm>
        <a:prstGeom prst="roundRect">
          <a:avLst>
            <a:gd name="adj" fmla="val 4126"/>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2</xdr:row>
      <xdr:rowOff>76200</xdr:rowOff>
    </xdr:from>
    <xdr:to>
      <xdr:col>7</xdr:col>
      <xdr:colOff>0</xdr:colOff>
      <xdr:row>118</xdr:row>
      <xdr:rowOff>101600</xdr:rowOff>
    </xdr:to>
    <xdr:sp macro="" textlink="">
      <xdr:nvSpPr>
        <xdr:cNvPr id="54" name="Rectangle: Top Corners Rounded 53">
          <a:extLst>
            <a:ext uri="{FF2B5EF4-FFF2-40B4-BE49-F238E27FC236}">
              <a16:creationId xmlns:a16="http://schemas.microsoft.com/office/drawing/2014/main" id="{3291534F-1B2D-7B3E-7BF0-D875FE08E57C}"/>
            </a:ext>
          </a:extLst>
        </xdr:cNvPr>
        <xdr:cNvSpPr/>
      </xdr:nvSpPr>
      <xdr:spPr>
        <a:xfrm rot="16200000">
          <a:off x="-8890000" y="9423400"/>
          <a:ext cx="22123400" cy="4191000"/>
        </a:xfrm>
        <a:prstGeom prst="round2SameRect">
          <a:avLst>
            <a:gd name="adj1" fmla="val 21818"/>
            <a:gd name="adj2" fmla="val 0"/>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152400</xdr:colOff>
      <xdr:row>1</xdr:row>
      <xdr:rowOff>0</xdr:rowOff>
    </xdr:from>
    <xdr:to>
      <xdr:col>29</xdr:col>
      <xdr:colOff>457200</xdr:colOff>
      <xdr:row>5</xdr:row>
      <xdr:rowOff>0</xdr:rowOff>
    </xdr:to>
    <xdr:sp macro="" textlink="">
      <xdr:nvSpPr>
        <xdr:cNvPr id="3" name="TextBox 2">
          <a:extLst>
            <a:ext uri="{FF2B5EF4-FFF2-40B4-BE49-F238E27FC236}">
              <a16:creationId xmlns:a16="http://schemas.microsoft.com/office/drawing/2014/main" id="{A4DD1EAF-8527-35AA-CFA4-1F5185696C7E}"/>
            </a:ext>
          </a:extLst>
        </xdr:cNvPr>
        <xdr:cNvSpPr txBox="1"/>
      </xdr:nvSpPr>
      <xdr:spPr>
        <a:xfrm>
          <a:off x="5638800" y="190500"/>
          <a:ext cx="12496800" cy="762000"/>
        </a:xfrm>
        <a:prstGeom prst="roundRect">
          <a:avLst>
            <a:gd name="adj" fmla="val 50000"/>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800" b="1">
              <a:solidFill>
                <a:srgbClr val="00B0F0"/>
              </a:solidFill>
            </a:rPr>
            <a:t>Finance &amp; Expense Analysis Dashboard</a:t>
          </a:r>
        </a:p>
        <a:p>
          <a:pPr algn="ctr"/>
          <a:endParaRPr lang="en-US" sz="4800" b="1">
            <a:solidFill>
              <a:srgbClr val="00B0F0"/>
            </a:solidFill>
          </a:endParaRPr>
        </a:p>
      </xdr:txBody>
    </xdr:sp>
    <xdr:clientData/>
  </xdr:twoCellAnchor>
  <xdr:twoCellAnchor>
    <xdr:from>
      <xdr:col>10</xdr:col>
      <xdr:colOff>12700</xdr:colOff>
      <xdr:row>4</xdr:row>
      <xdr:rowOff>184150</xdr:rowOff>
    </xdr:from>
    <xdr:to>
      <xdr:col>29</xdr:col>
      <xdr:colOff>0</xdr:colOff>
      <xdr:row>7</xdr:row>
      <xdr:rowOff>184150</xdr:rowOff>
    </xdr:to>
    <xdr:sp macro="" textlink="">
      <xdr:nvSpPr>
        <xdr:cNvPr id="4" name="TextBox 3">
          <a:extLst>
            <a:ext uri="{FF2B5EF4-FFF2-40B4-BE49-F238E27FC236}">
              <a16:creationId xmlns:a16="http://schemas.microsoft.com/office/drawing/2014/main" id="{BD11A677-B60B-4F5A-898A-02AF50BDD194}"/>
            </a:ext>
          </a:extLst>
        </xdr:cNvPr>
        <xdr:cNvSpPr txBox="1"/>
      </xdr:nvSpPr>
      <xdr:spPr>
        <a:xfrm>
          <a:off x="6108700" y="946150"/>
          <a:ext cx="11569700" cy="571500"/>
        </a:xfrm>
        <a:prstGeom prst="roundRect">
          <a:avLst>
            <a:gd name="adj" fmla="val 50000"/>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tx1"/>
              </a:solidFill>
              <a:latin typeface="+mn-lt"/>
              <a:ea typeface="+mn-ea"/>
              <a:cs typeface="+mn-cs"/>
            </a:rPr>
            <a:t>Budget Performance, Revenue, Expenses &amp; Financial Overview</a:t>
          </a:r>
        </a:p>
      </xdr:txBody>
    </xdr:sp>
    <xdr:clientData/>
  </xdr:twoCellAnchor>
  <xdr:twoCellAnchor>
    <xdr:from>
      <xdr:col>7</xdr:col>
      <xdr:colOff>209550</xdr:colOff>
      <xdr:row>8</xdr:row>
      <xdr:rowOff>127000</xdr:rowOff>
    </xdr:from>
    <xdr:to>
      <xdr:col>12</xdr:col>
      <xdr:colOff>361950</xdr:colOff>
      <xdr:row>16</xdr:row>
      <xdr:rowOff>88900</xdr:rowOff>
    </xdr:to>
    <xdr:sp macro="" textlink="">
      <xdr:nvSpPr>
        <xdr:cNvPr id="6" name="Rectangle: Rounded Corners 5">
          <a:extLst>
            <a:ext uri="{FF2B5EF4-FFF2-40B4-BE49-F238E27FC236}">
              <a16:creationId xmlns:a16="http://schemas.microsoft.com/office/drawing/2014/main" id="{0174641E-C892-F488-E62C-9FE03521D75E}"/>
            </a:ext>
          </a:extLst>
        </xdr:cNvPr>
        <xdr:cNvSpPr/>
      </xdr:nvSpPr>
      <xdr:spPr>
        <a:xfrm>
          <a:off x="4492914" y="1604818"/>
          <a:ext cx="3211945" cy="1439718"/>
        </a:xfrm>
        <a:prstGeom prst="roundRect">
          <a:avLst/>
        </a:prstGeom>
        <a:solidFill>
          <a:schemeClr val="bg1"/>
        </a:solidFill>
        <a:ln w="3810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9</xdr:row>
      <xdr:rowOff>65326</xdr:rowOff>
    </xdr:from>
    <xdr:to>
      <xdr:col>12</xdr:col>
      <xdr:colOff>361950</xdr:colOff>
      <xdr:row>12</xdr:row>
      <xdr:rowOff>101798</xdr:rowOff>
    </xdr:to>
    <xdr:sp macro="" textlink="">
      <xdr:nvSpPr>
        <xdr:cNvPr id="7" name="TextBox 6">
          <a:extLst>
            <a:ext uri="{FF2B5EF4-FFF2-40B4-BE49-F238E27FC236}">
              <a16:creationId xmlns:a16="http://schemas.microsoft.com/office/drawing/2014/main" id="{6F336FDA-955C-CAFA-8045-35024CE9E7B9}"/>
            </a:ext>
          </a:extLst>
        </xdr:cNvPr>
        <xdr:cNvSpPr txBox="1"/>
      </xdr:nvSpPr>
      <xdr:spPr>
        <a:xfrm>
          <a:off x="4492914" y="1727871"/>
          <a:ext cx="321194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Total Transactions</a:t>
          </a:r>
        </a:p>
      </xdr:txBody>
    </xdr:sp>
    <xdr:clientData/>
  </xdr:twoCellAnchor>
  <xdr:twoCellAnchor>
    <xdr:from>
      <xdr:col>7</xdr:col>
      <xdr:colOff>209550</xdr:colOff>
      <xdr:row>12</xdr:row>
      <xdr:rowOff>52576</xdr:rowOff>
    </xdr:from>
    <xdr:to>
      <xdr:col>12</xdr:col>
      <xdr:colOff>361950</xdr:colOff>
      <xdr:row>15</xdr:row>
      <xdr:rowOff>89048</xdr:rowOff>
    </xdr:to>
    <xdr:sp macro="" textlink="PivotTables!E5">
      <xdr:nvSpPr>
        <xdr:cNvPr id="8" name="TextBox 7">
          <a:extLst>
            <a:ext uri="{FF2B5EF4-FFF2-40B4-BE49-F238E27FC236}">
              <a16:creationId xmlns:a16="http://schemas.microsoft.com/office/drawing/2014/main" id="{B189D9EC-901E-40B4-BA6C-855250EA8362}"/>
            </a:ext>
          </a:extLst>
        </xdr:cNvPr>
        <xdr:cNvSpPr txBox="1"/>
      </xdr:nvSpPr>
      <xdr:spPr>
        <a:xfrm>
          <a:off x="4492914" y="2269303"/>
          <a:ext cx="321194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0E5CCF-0559-4BC3-9396-986527E00561}" type="TxLink">
            <a:rPr lang="en-US" sz="3600" b="1" i="0" u="none" strike="noStrike">
              <a:solidFill>
                <a:srgbClr val="000000"/>
              </a:solidFill>
              <a:latin typeface="Calibri"/>
              <a:ea typeface="Calibri"/>
              <a:cs typeface="Calibri"/>
            </a:rPr>
            <a:pPr algn="ctr"/>
            <a:t>2500</a:t>
          </a:fld>
          <a:endParaRPr lang="en-US" sz="28700" b="1"/>
        </a:p>
      </xdr:txBody>
    </xdr:sp>
    <xdr:clientData/>
  </xdr:twoCellAnchor>
  <xdr:twoCellAnchor>
    <xdr:from>
      <xdr:col>13</xdr:col>
      <xdr:colOff>294217</xdr:colOff>
      <xdr:row>8</xdr:row>
      <xdr:rowOff>165100</xdr:rowOff>
    </xdr:from>
    <xdr:to>
      <xdr:col>18</xdr:col>
      <xdr:colOff>446617</xdr:colOff>
      <xdr:row>16</xdr:row>
      <xdr:rowOff>127000</xdr:rowOff>
    </xdr:to>
    <xdr:sp macro="" textlink="">
      <xdr:nvSpPr>
        <xdr:cNvPr id="11" name="Rectangle: Rounded Corners 10">
          <a:extLst>
            <a:ext uri="{FF2B5EF4-FFF2-40B4-BE49-F238E27FC236}">
              <a16:creationId xmlns:a16="http://schemas.microsoft.com/office/drawing/2014/main" id="{70827F1C-8FA2-0495-C630-7644A45DC8CB}"/>
            </a:ext>
          </a:extLst>
        </xdr:cNvPr>
        <xdr:cNvSpPr/>
      </xdr:nvSpPr>
      <xdr:spPr>
        <a:xfrm>
          <a:off x="8249035" y="1642918"/>
          <a:ext cx="3211946" cy="1439718"/>
        </a:xfrm>
        <a:prstGeom prst="roundRect">
          <a:avLst/>
        </a:prstGeom>
        <a:solidFill>
          <a:schemeClr val="bg1"/>
        </a:solidFill>
        <a:ln w="38100">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294217</xdr:colOff>
      <xdr:row>9</xdr:row>
      <xdr:rowOff>103426</xdr:rowOff>
    </xdr:from>
    <xdr:to>
      <xdr:col>18</xdr:col>
      <xdr:colOff>446617</xdr:colOff>
      <xdr:row>12</xdr:row>
      <xdr:rowOff>139898</xdr:rowOff>
    </xdr:to>
    <xdr:sp macro="" textlink="">
      <xdr:nvSpPr>
        <xdr:cNvPr id="12" name="TextBox 11">
          <a:extLst>
            <a:ext uri="{FF2B5EF4-FFF2-40B4-BE49-F238E27FC236}">
              <a16:creationId xmlns:a16="http://schemas.microsoft.com/office/drawing/2014/main" id="{0D127EA3-BA12-3717-6A3D-A2566FD53367}"/>
            </a:ext>
          </a:extLst>
        </xdr:cNvPr>
        <xdr:cNvSpPr txBox="1"/>
      </xdr:nvSpPr>
      <xdr:spPr>
        <a:xfrm>
          <a:off x="8249035" y="1765971"/>
          <a:ext cx="3211946"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Total Budget</a:t>
          </a:r>
        </a:p>
      </xdr:txBody>
    </xdr:sp>
    <xdr:clientData/>
  </xdr:twoCellAnchor>
  <xdr:twoCellAnchor>
    <xdr:from>
      <xdr:col>13</xdr:col>
      <xdr:colOff>294217</xdr:colOff>
      <xdr:row>12</xdr:row>
      <xdr:rowOff>90676</xdr:rowOff>
    </xdr:from>
    <xdr:to>
      <xdr:col>18</xdr:col>
      <xdr:colOff>446617</xdr:colOff>
      <xdr:row>15</xdr:row>
      <xdr:rowOff>127148</xdr:rowOff>
    </xdr:to>
    <xdr:sp macro="" textlink="PivotTables!B5">
      <xdr:nvSpPr>
        <xdr:cNvPr id="13" name="TextBox 12">
          <a:extLst>
            <a:ext uri="{FF2B5EF4-FFF2-40B4-BE49-F238E27FC236}">
              <a16:creationId xmlns:a16="http://schemas.microsoft.com/office/drawing/2014/main" id="{AA95C1E1-A62C-65EF-F653-4EDCE2C19B9A}"/>
            </a:ext>
          </a:extLst>
        </xdr:cNvPr>
        <xdr:cNvSpPr txBox="1"/>
      </xdr:nvSpPr>
      <xdr:spPr>
        <a:xfrm>
          <a:off x="8249035" y="2307403"/>
          <a:ext cx="3211946"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DF84F2-792D-4CC4-870E-DFB672F2CE1E}" type="TxLink">
            <a:rPr lang="en-US" sz="3600" b="1" i="0" u="none" strike="noStrike">
              <a:solidFill>
                <a:srgbClr val="000000"/>
              </a:solidFill>
              <a:latin typeface="Calibri"/>
              <a:ea typeface="Calibri"/>
              <a:cs typeface="Calibri"/>
            </a:rPr>
            <a:pPr algn="ctr"/>
            <a:t> $17,105,049.21 </a:t>
          </a:fld>
          <a:endParaRPr lang="en-US" sz="148100" b="1"/>
        </a:p>
      </xdr:txBody>
    </xdr:sp>
    <xdr:clientData/>
  </xdr:twoCellAnchor>
  <xdr:twoCellAnchor>
    <xdr:from>
      <xdr:col>19</xdr:col>
      <xdr:colOff>378884</xdr:colOff>
      <xdr:row>8</xdr:row>
      <xdr:rowOff>177800</xdr:rowOff>
    </xdr:from>
    <xdr:to>
      <xdr:col>24</xdr:col>
      <xdr:colOff>531284</xdr:colOff>
      <xdr:row>16</xdr:row>
      <xdr:rowOff>139700</xdr:rowOff>
    </xdr:to>
    <xdr:sp macro="" textlink="">
      <xdr:nvSpPr>
        <xdr:cNvPr id="15" name="Rectangle: Rounded Corners 14">
          <a:extLst>
            <a:ext uri="{FF2B5EF4-FFF2-40B4-BE49-F238E27FC236}">
              <a16:creationId xmlns:a16="http://schemas.microsoft.com/office/drawing/2014/main" id="{6C909CCA-9CE8-CD4C-D487-95C5F1F60D01}"/>
            </a:ext>
          </a:extLst>
        </xdr:cNvPr>
        <xdr:cNvSpPr/>
      </xdr:nvSpPr>
      <xdr:spPr>
        <a:xfrm>
          <a:off x="12005157" y="1655618"/>
          <a:ext cx="3211945" cy="1439718"/>
        </a:xfrm>
        <a:prstGeom prst="roundRect">
          <a:avLst/>
        </a:prstGeom>
        <a:solidFill>
          <a:schemeClr val="bg1"/>
        </a:solidFill>
        <a:ln w="38100">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378884</xdr:colOff>
      <xdr:row>9</xdr:row>
      <xdr:rowOff>116126</xdr:rowOff>
    </xdr:from>
    <xdr:to>
      <xdr:col>24</xdr:col>
      <xdr:colOff>531284</xdr:colOff>
      <xdr:row>12</xdr:row>
      <xdr:rowOff>152598</xdr:rowOff>
    </xdr:to>
    <xdr:sp macro="" textlink="">
      <xdr:nvSpPr>
        <xdr:cNvPr id="16" name="TextBox 15">
          <a:extLst>
            <a:ext uri="{FF2B5EF4-FFF2-40B4-BE49-F238E27FC236}">
              <a16:creationId xmlns:a16="http://schemas.microsoft.com/office/drawing/2014/main" id="{A9FAD116-BB06-C742-189F-4477D05A4EBB}"/>
            </a:ext>
          </a:extLst>
        </xdr:cNvPr>
        <xdr:cNvSpPr txBox="1"/>
      </xdr:nvSpPr>
      <xdr:spPr>
        <a:xfrm>
          <a:off x="12005157" y="1778671"/>
          <a:ext cx="321194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Total Actual</a:t>
          </a:r>
        </a:p>
      </xdr:txBody>
    </xdr:sp>
    <xdr:clientData/>
  </xdr:twoCellAnchor>
  <xdr:twoCellAnchor>
    <xdr:from>
      <xdr:col>19</xdr:col>
      <xdr:colOff>378884</xdr:colOff>
      <xdr:row>12</xdr:row>
      <xdr:rowOff>103376</xdr:rowOff>
    </xdr:from>
    <xdr:to>
      <xdr:col>24</xdr:col>
      <xdr:colOff>531284</xdr:colOff>
      <xdr:row>15</xdr:row>
      <xdr:rowOff>139848</xdr:rowOff>
    </xdr:to>
    <xdr:sp macro="" textlink="PivotTables!C5">
      <xdr:nvSpPr>
        <xdr:cNvPr id="17" name="TextBox 16">
          <a:extLst>
            <a:ext uri="{FF2B5EF4-FFF2-40B4-BE49-F238E27FC236}">
              <a16:creationId xmlns:a16="http://schemas.microsoft.com/office/drawing/2014/main" id="{2FFCC360-D08A-BE55-312F-8AFC767645A7}"/>
            </a:ext>
          </a:extLst>
        </xdr:cNvPr>
        <xdr:cNvSpPr txBox="1"/>
      </xdr:nvSpPr>
      <xdr:spPr>
        <a:xfrm>
          <a:off x="12005157" y="2320103"/>
          <a:ext cx="321194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729F8B-E3D3-4ACD-9882-EEE4F429122E}" type="TxLink">
            <a:rPr lang="en-US" sz="3600" b="1" i="0" u="none" strike="noStrike">
              <a:solidFill>
                <a:srgbClr val="000000"/>
              </a:solidFill>
              <a:latin typeface="Calibri"/>
              <a:ea typeface="Calibri"/>
              <a:cs typeface="Calibri"/>
            </a:rPr>
            <a:pPr algn="ctr"/>
            <a:t> $16,270,074.79 </a:t>
          </a:fld>
          <a:endParaRPr lang="en-US" sz="148100" b="1"/>
        </a:p>
      </xdr:txBody>
    </xdr:sp>
    <xdr:clientData/>
  </xdr:twoCellAnchor>
  <xdr:twoCellAnchor>
    <xdr:from>
      <xdr:col>25</xdr:col>
      <xdr:colOff>463550</xdr:colOff>
      <xdr:row>8</xdr:row>
      <xdr:rowOff>165100</xdr:rowOff>
    </xdr:from>
    <xdr:to>
      <xdr:col>31</xdr:col>
      <xdr:colOff>6350</xdr:colOff>
      <xdr:row>16</xdr:row>
      <xdr:rowOff>127000</xdr:rowOff>
    </xdr:to>
    <xdr:sp macro="" textlink="">
      <xdr:nvSpPr>
        <xdr:cNvPr id="19" name="Rectangle: Rounded Corners 18">
          <a:extLst>
            <a:ext uri="{FF2B5EF4-FFF2-40B4-BE49-F238E27FC236}">
              <a16:creationId xmlns:a16="http://schemas.microsoft.com/office/drawing/2014/main" id="{5ED052DC-353E-D6FE-AC2B-958F36E388C1}"/>
            </a:ext>
          </a:extLst>
        </xdr:cNvPr>
        <xdr:cNvSpPr/>
      </xdr:nvSpPr>
      <xdr:spPr>
        <a:xfrm>
          <a:off x="15761277" y="1642918"/>
          <a:ext cx="3214255" cy="1439718"/>
        </a:xfrm>
        <a:prstGeom prst="roundRect">
          <a:avLst/>
        </a:prstGeom>
        <a:solidFill>
          <a:schemeClr val="bg1"/>
        </a:solidFill>
        <a:ln w="38100">
          <a:solidFill>
            <a:schemeClr val="accent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463550</xdr:colOff>
      <xdr:row>9</xdr:row>
      <xdr:rowOff>103426</xdr:rowOff>
    </xdr:from>
    <xdr:to>
      <xdr:col>31</xdr:col>
      <xdr:colOff>6350</xdr:colOff>
      <xdr:row>12</xdr:row>
      <xdr:rowOff>139898</xdr:rowOff>
    </xdr:to>
    <xdr:sp macro="" textlink="">
      <xdr:nvSpPr>
        <xdr:cNvPr id="20" name="TextBox 19">
          <a:extLst>
            <a:ext uri="{FF2B5EF4-FFF2-40B4-BE49-F238E27FC236}">
              <a16:creationId xmlns:a16="http://schemas.microsoft.com/office/drawing/2014/main" id="{6737A394-B4FB-9FC3-426F-22F5714CB734}"/>
            </a:ext>
          </a:extLst>
        </xdr:cNvPr>
        <xdr:cNvSpPr txBox="1"/>
      </xdr:nvSpPr>
      <xdr:spPr>
        <a:xfrm>
          <a:off x="15761277" y="1765971"/>
          <a:ext cx="321425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Net</a:t>
          </a:r>
          <a:r>
            <a:rPr lang="en-US" sz="2400" b="1" baseline="0"/>
            <a:t> Amount</a:t>
          </a:r>
          <a:endParaRPr lang="en-US" sz="2400" b="1"/>
        </a:p>
      </xdr:txBody>
    </xdr:sp>
    <xdr:clientData/>
  </xdr:twoCellAnchor>
  <xdr:twoCellAnchor>
    <xdr:from>
      <xdr:col>25</xdr:col>
      <xdr:colOff>463550</xdr:colOff>
      <xdr:row>12</xdr:row>
      <xdr:rowOff>90676</xdr:rowOff>
    </xdr:from>
    <xdr:to>
      <xdr:col>31</xdr:col>
      <xdr:colOff>6350</xdr:colOff>
      <xdr:row>15</xdr:row>
      <xdr:rowOff>127148</xdr:rowOff>
    </xdr:to>
    <xdr:sp macro="" textlink="PivotTables!D5">
      <xdr:nvSpPr>
        <xdr:cNvPr id="21" name="TextBox 20">
          <a:extLst>
            <a:ext uri="{FF2B5EF4-FFF2-40B4-BE49-F238E27FC236}">
              <a16:creationId xmlns:a16="http://schemas.microsoft.com/office/drawing/2014/main" id="{66B37D05-8A6F-A7B7-F6EA-4DAD1919AFEC}"/>
            </a:ext>
          </a:extLst>
        </xdr:cNvPr>
        <xdr:cNvSpPr txBox="1"/>
      </xdr:nvSpPr>
      <xdr:spPr>
        <a:xfrm>
          <a:off x="15761277" y="2307403"/>
          <a:ext cx="321425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C4BD-1D23-4F63-B177-6E07B4B7DEB2}" type="TxLink">
            <a:rPr lang="en-US" sz="3600" b="1" i="0" u="none" strike="noStrike">
              <a:solidFill>
                <a:srgbClr val="000000"/>
              </a:solidFill>
              <a:latin typeface="Calibri"/>
              <a:ea typeface="Calibri"/>
              <a:cs typeface="Calibri"/>
            </a:rPr>
            <a:pPr algn="ctr"/>
            <a:t> $128,460.79 </a:t>
          </a:fld>
          <a:endParaRPr lang="en-US" sz="148100" b="1"/>
        </a:p>
      </xdr:txBody>
    </xdr:sp>
    <xdr:clientData/>
  </xdr:twoCellAnchor>
  <xdr:twoCellAnchor>
    <xdr:from>
      <xdr:col>7</xdr:col>
      <xdr:colOff>209550</xdr:colOff>
      <xdr:row>17</xdr:row>
      <xdr:rowOff>177800</xdr:rowOff>
    </xdr:from>
    <xdr:to>
      <xdr:col>12</xdr:col>
      <xdr:colOff>361950</xdr:colOff>
      <xdr:row>25</xdr:row>
      <xdr:rowOff>139700</xdr:rowOff>
    </xdr:to>
    <xdr:sp macro="" textlink="">
      <xdr:nvSpPr>
        <xdr:cNvPr id="23" name="Rectangle: Rounded Corners 22">
          <a:extLst>
            <a:ext uri="{FF2B5EF4-FFF2-40B4-BE49-F238E27FC236}">
              <a16:creationId xmlns:a16="http://schemas.microsoft.com/office/drawing/2014/main" id="{F92E9317-A01A-BD88-43B3-C65FC9B10258}"/>
            </a:ext>
          </a:extLst>
        </xdr:cNvPr>
        <xdr:cNvSpPr/>
      </xdr:nvSpPr>
      <xdr:spPr>
        <a:xfrm>
          <a:off x="4492914" y="3318164"/>
          <a:ext cx="3211945" cy="1439718"/>
        </a:xfrm>
        <a:prstGeom prst="roundRect">
          <a:avLst/>
        </a:prstGeom>
        <a:solidFill>
          <a:schemeClr val="bg1"/>
        </a:solidFill>
        <a:ln w="38100">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209550</xdr:colOff>
      <xdr:row>18</xdr:row>
      <xdr:rowOff>116126</xdr:rowOff>
    </xdr:from>
    <xdr:to>
      <xdr:col>12</xdr:col>
      <xdr:colOff>361950</xdr:colOff>
      <xdr:row>21</xdr:row>
      <xdr:rowOff>152598</xdr:rowOff>
    </xdr:to>
    <xdr:sp macro="" textlink="">
      <xdr:nvSpPr>
        <xdr:cNvPr id="24" name="TextBox 23">
          <a:extLst>
            <a:ext uri="{FF2B5EF4-FFF2-40B4-BE49-F238E27FC236}">
              <a16:creationId xmlns:a16="http://schemas.microsoft.com/office/drawing/2014/main" id="{2B01F5B4-9255-C0CF-F500-7F938C1F3CD0}"/>
            </a:ext>
          </a:extLst>
        </xdr:cNvPr>
        <xdr:cNvSpPr txBox="1"/>
      </xdr:nvSpPr>
      <xdr:spPr>
        <a:xfrm>
          <a:off x="4492914" y="3441217"/>
          <a:ext cx="321194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Total Revenue</a:t>
          </a:r>
        </a:p>
      </xdr:txBody>
    </xdr:sp>
    <xdr:clientData/>
  </xdr:twoCellAnchor>
  <xdr:twoCellAnchor>
    <xdr:from>
      <xdr:col>7</xdr:col>
      <xdr:colOff>209550</xdr:colOff>
      <xdr:row>21</xdr:row>
      <xdr:rowOff>103376</xdr:rowOff>
    </xdr:from>
    <xdr:to>
      <xdr:col>12</xdr:col>
      <xdr:colOff>361950</xdr:colOff>
      <xdr:row>24</xdr:row>
      <xdr:rowOff>139848</xdr:rowOff>
    </xdr:to>
    <xdr:sp macro="" textlink="PivotTables!I5">
      <xdr:nvSpPr>
        <xdr:cNvPr id="25" name="TextBox 24">
          <a:extLst>
            <a:ext uri="{FF2B5EF4-FFF2-40B4-BE49-F238E27FC236}">
              <a16:creationId xmlns:a16="http://schemas.microsoft.com/office/drawing/2014/main" id="{024A2343-0B4E-5080-C5EB-008262D3A345}"/>
            </a:ext>
          </a:extLst>
        </xdr:cNvPr>
        <xdr:cNvSpPr txBox="1"/>
      </xdr:nvSpPr>
      <xdr:spPr>
        <a:xfrm>
          <a:off x="4492914" y="3982649"/>
          <a:ext cx="321194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49F4B5-BB02-4917-883B-28D59B8B7FDB}" type="TxLink">
            <a:rPr lang="en-US" sz="3600" b="1" i="0" u="none" strike="noStrike">
              <a:solidFill>
                <a:srgbClr val="000000"/>
              </a:solidFill>
              <a:latin typeface="Calibri"/>
              <a:ea typeface="Calibri"/>
              <a:cs typeface="Calibri"/>
            </a:rPr>
            <a:pPr algn="ctr"/>
            <a:t> $8,199,267.79 </a:t>
          </a:fld>
          <a:endParaRPr lang="en-US" sz="148100" b="1"/>
        </a:p>
      </xdr:txBody>
    </xdr:sp>
    <xdr:clientData/>
  </xdr:twoCellAnchor>
  <xdr:twoCellAnchor>
    <xdr:from>
      <xdr:col>13</xdr:col>
      <xdr:colOff>294217</xdr:colOff>
      <xdr:row>18</xdr:row>
      <xdr:rowOff>25400</xdr:rowOff>
    </xdr:from>
    <xdr:to>
      <xdr:col>18</xdr:col>
      <xdr:colOff>446617</xdr:colOff>
      <xdr:row>25</xdr:row>
      <xdr:rowOff>177800</xdr:rowOff>
    </xdr:to>
    <xdr:sp macro="" textlink="">
      <xdr:nvSpPr>
        <xdr:cNvPr id="27" name="Rectangle: Rounded Corners 26">
          <a:extLst>
            <a:ext uri="{FF2B5EF4-FFF2-40B4-BE49-F238E27FC236}">
              <a16:creationId xmlns:a16="http://schemas.microsoft.com/office/drawing/2014/main" id="{6E133010-C0DA-E2C6-435F-942F863A9EDE}"/>
            </a:ext>
          </a:extLst>
        </xdr:cNvPr>
        <xdr:cNvSpPr/>
      </xdr:nvSpPr>
      <xdr:spPr>
        <a:xfrm>
          <a:off x="8249035" y="3350491"/>
          <a:ext cx="3211946" cy="1445491"/>
        </a:xfrm>
        <a:prstGeom prst="roundRect">
          <a:avLst/>
        </a:prstGeom>
        <a:solidFill>
          <a:schemeClr val="bg1"/>
        </a:solidFill>
        <a:ln w="38100">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294217</xdr:colOff>
      <xdr:row>18</xdr:row>
      <xdr:rowOff>148946</xdr:rowOff>
    </xdr:from>
    <xdr:to>
      <xdr:col>18</xdr:col>
      <xdr:colOff>446617</xdr:colOff>
      <xdr:row>22</xdr:row>
      <xdr:rowOff>3059</xdr:rowOff>
    </xdr:to>
    <xdr:sp macro="" textlink="">
      <xdr:nvSpPr>
        <xdr:cNvPr id="28" name="TextBox 27">
          <a:extLst>
            <a:ext uri="{FF2B5EF4-FFF2-40B4-BE49-F238E27FC236}">
              <a16:creationId xmlns:a16="http://schemas.microsoft.com/office/drawing/2014/main" id="{C17FE36D-B451-8E5B-E2D1-F219F25253E9}"/>
            </a:ext>
          </a:extLst>
        </xdr:cNvPr>
        <xdr:cNvSpPr txBox="1"/>
      </xdr:nvSpPr>
      <xdr:spPr>
        <a:xfrm>
          <a:off x="8249035" y="3474037"/>
          <a:ext cx="3211946" cy="59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Total Expenses</a:t>
          </a:r>
        </a:p>
      </xdr:txBody>
    </xdr:sp>
    <xdr:clientData/>
  </xdr:twoCellAnchor>
  <xdr:twoCellAnchor>
    <xdr:from>
      <xdr:col>13</xdr:col>
      <xdr:colOff>294217</xdr:colOff>
      <xdr:row>21</xdr:row>
      <xdr:rowOff>138368</xdr:rowOff>
    </xdr:from>
    <xdr:to>
      <xdr:col>18</xdr:col>
      <xdr:colOff>446617</xdr:colOff>
      <xdr:row>24</xdr:row>
      <xdr:rowOff>177208</xdr:rowOff>
    </xdr:to>
    <xdr:sp macro="" textlink="PivotTables!H5">
      <xdr:nvSpPr>
        <xdr:cNvPr id="29" name="TextBox 28">
          <a:extLst>
            <a:ext uri="{FF2B5EF4-FFF2-40B4-BE49-F238E27FC236}">
              <a16:creationId xmlns:a16="http://schemas.microsoft.com/office/drawing/2014/main" id="{02FB52FD-7EF5-2547-19A4-2DB6F001DA24}"/>
            </a:ext>
          </a:extLst>
        </xdr:cNvPr>
        <xdr:cNvSpPr txBox="1"/>
      </xdr:nvSpPr>
      <xdr:spPr>
        <a:xfrm>
          <a:off x="8249035" y="4017641"/>
          <a:ext cx="3211946" cy="59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5ACDFE-D772-4D7B-903B-898B0F49CB8B}" type="TxLink">
            <a:rPr lang="en-US" sz="3600" b="1" i="0" u="none" strike="noStrike">
              <a:solidFill>
                <a:srgbClr val="000000"/>
              </a:solidFill>
              <a:latin typeface="Calibri"/>
              <a:ea typeface="Calibri"/>
              <a:cs typeface="Calibri"/>
            </a:rPr>
            <a:pPr algn="ctr"/>
            <a:t> $8,070,807.00 </a:t>
          </a:fld>
          <a:endParaRPr lang="en-US" sz="400000" b="1"/>
        </a:p>
      </xdr:txBody>
    </xdr:sp>
    <xdr:clientData/>
  </xdr:twoCellAnchor>
  <xdr:twoCellAnchor>
    <xdr:from>
      <xdr:col>19</xdr:col>
      <xdr:colOff>378884</xdr:colOff>
      <xdr:row>18</xdr:row>
      <xdr:rowOff>38100</xdr:rowOff>
    </xdr:from>
    <xdr:to>
      <xdr:col>24</xdr:col>
      <xdr:colOff>531284</xdr:colOff>
      <xdr:row>26</xdr:row>
      <xdr:rowOff>0</xdr:rowOff>
    </xdr:to>
    <xdr:sp macro="" textlink="">
      <xdr:nvSpPr>
        <xdr:cNvPr id="31" name="Rectangle: Rounded Corners 30">
          <a:extLst>
            <a:ext uri="{FF2B5EF4-FFF2-40B4-BE49-F238E27FC236}">
              <a16:creationId xmlns:a16="http://schemas.microsoft.com/office/drawing/2014/main" id="{4F4D8B33-402A-41AD-C759-7300AD580DB1}"/>
            </a:ext>
          </a:extLst>
        </xdr:cNvPr>
        <xdr:cNvSpPr/>
      </xdr:nvSpPr>
      <xdr:spPr>
        <a:xfrm>
          <a:off x="12005157" y="3363191"/>
          <a:ext cx="3211945" cy="1439718"/>
        </a:xfrm>
        <a:prstGeom prst="roundRect">
          <a:avLst/>
        </a:prstGeom>
        <a:solidFill>
          <a:schemeClr val="bg1"/>
        </a:solidFill>
        <a:ln w="38100">
          <a:solidFill>
            <a:srgbClr val="C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378884</xdr:colOff>
      <xdr:row>18</xdr:row>
      <xdr:rowOff>161153</xdr:rowOff>
    </xdr:from>
    <xdr:to>
      <xdr:col>24</xdr:col>
      <xdr:colOff>531284</xdr:colOff>
      <xdr:row>22</xdr:row>
      <xdr:rowOff>12898</xdr:rowOff>
    </xdr:to>
    <xdr:sp macro="" textlink="">
      <xdr:nvSpPr>
        <xdr:cNvPr id="32" name="TextBox 31">
          <a:extLst>
            <a:ext uri="{FF2B5EF4-FFF2-40B4-BE49-F238E27FC236}">
              <a16:creationId xmlns:a16="http://schemas.microsoft.com/office/drawing/2014/main" id="{80F19E6B-1F8A-143D-8C44-228D029CB22E}"/>
            </a:ext>
          </a:extLst>
        </xdr:cNvPr>
        <xdr:cNvSpPr txBox="1"/>
      </xdr:nvSpPr>
      <xdr:spPr>
        <a:xfrm>
          <a:off x="12005157" y="3486244"/>
          <a:ext cx="321194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Over</a:t>
          </a:r>
          <a:r>
            <a:rPr lang="en-US" sz="2400" b="1" baseline="0"/>
            <a:t> Budget</a:t>
          </a:r>
          <a:endParaRPr lang="en-US" sz="2400" b="1"/>
        </a:p>
      </xdr:txBody>
    </xdr:sp>
    <xdr:clientData/>
  </xdr:twoCellAnchor>
  <xdr:twoCellAnchor>
    <xdr:from>
      <xdr:col>19</xdr:col>
      <xdr:colOff>378884</xdr:colOff>
      <xdr:row>21</xdr:row>
      <xdr:rowOff>148403</xdr:rowOff>
    </xdr:from>
    <xdr:to>
      <xdr:col>24</xdr:col>
      <xdr:colOff>531284</xdr:colOff>
      <xdr:row>25</xdr:row>
      <xdr:rowOff>148</xdr:rowOff>
    </xdr:to>
    <xdr:sp macro="" textlink="PivotTables!N5">
      <xdr:nvSpPr>
        <xdr:cNvPr id="33" name="TextBox 32">
          <a:extLst>
            <a:ext uri="{FF2B5EF4-FFF2-40B4-BE49-F238E27FC236}">
              <a16:creationId xmlns:a16="http://schemas.microsoft.com/office/drawing/2014/main" id="{C5BF1D03-9577-C62D-1D71-CD624E97324A}"/>
            </a:ext>
          </a:extLst>
        </xdr:cNvPr>
        <xdr:cNvSpPr txBox="1"/>
      </xdr:nvSpPr>
      <xdr:spPr>
        <a:xfrm>
          <a:off x="12005157" y="4027676"/>
          <a:ext cx="3211945" cy="5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654486-E745-4348-A1AC-7A3F0ACF50D1}" type="TxLink">
            <a:rPr lang="en-US" sz="3600" b="1" i="0" u="none" strike="noStrike">
              <a:solidFill>
                <a:srgbClr val="000000"/>
              </a:solidFill>
              <a:latin typeface="Calibri"/>
              <a:ea typeface="Calibri"/>
              <a:cs typeface="Calibri"/>
            </a:rPr>
            <a:pPr algn="ctr"/>
            <a:t> $11,251,287.72 </a:t>
          </a:fld>
          <a:endParaRPr lang="en-US" sz="400000" b="1"/>
        </a:p>
      </xdr:txBody>
    </xdr:sp>
    <xdr:clientData/>
  </xdr:twoCellAnchor>
  <xdr:twoCellAnchor>
    <xdr:from>
      <xdr:col>25</xdr:col>
      <xdr:colOff>463550</xdr:colOff>
      <xdr:row>18</xdr:row>
      <xdr:rowOff>25400</xdr:rowOff>
    </xdr:from>
    <xdr:to>
      <xdr:col>31</xdr:col>
      <xdr:colOff>6350</xdr:colOff>
      <xdr:row>25</xdr:row>
      <xdr:rowOff>177800</xdr:rowOff>
    </xdr:to>
    <xdr:sp macro="" textlink="">
      <xdr:nvSpPr>
        <xdr:cNvPr id="35" name="Rectangle: Rounded Corners 34">
          <a:extLst>
            <a:ext uri="{FF2B5EF4-FFF2-40B4-BE49-F238E27FC236}">
              <a16:creationId xmlns:a16="http://schemas.microsoft.com/office/drawing/2014/main" id="{85FA7960-690F-4315-E6A1-3CCA0FCE69EE}"/>
            </a:ext>
          </a:extLst>
        </xdr:cNvPr>
        <xdr:cNvSpPr/>
      </xdr:nvSpPr>
      <xdr:spPr>
        <a:xfrm>
          <a:off x="15761277" y="3350491"/>
          <a:ext cx="3214255" cy="1445491"/>
        </a:xfrm>
        <a:prstGeom prst="roundRect">
          <a:avLst/>
        </a:prstGeom>
        <a:solidFill>
          <a:schemeClr val="bg1"/>
        </a:solidFill>
        <a:ln w="38100">
          <a:solidFill>
            <a:srgbClr val="00B0F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463550</xdr:colOff>
      <xdr:row>18</xdr:row>
      <xdr:rowOff>148946</xdr:rowOff>
    </xdr:from>
    <xdr:to>
      <xdr:col>31</xdr:col>
      <xdr:colOff>6350</xdr:colOff>
      <xdr:row>22</xdr:row>
      <xdr:rowOff>3059</xdr:rowOff>
    </xdr:to>
    <xdr:sp macro="" textlink="">
      <xdr:nvSpPr>
        <xdr:cNvPr id="36" name="TextBox 35">
          <a:extLst>
            <a:ext uri="{FF2B5EF4-FFF2-40B4-BE49-F238E27FC236}">
              <a16:creationId xmlns:a16="http://schemas.microsoft.com/office/drawing/2014/main" id="{19B2287A-A7B6-4462-C876-86E38EB1E6D5}"/>
            </a:ext>
          </a:extLst>
        </xdr:cNvPr>
        <xdr:cNvSpPr txBox="1"/>
      </xdr:nvSpPr>
      <xdr:spPr>
        <a:xfrm>
          <a:off x="15761277" y="3474037"/>
          <a:ext cx="3214255" cy="59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Under</a:t>
          </a:r>
          <a:r>
            <a:rPr lang="en-US" sz="2400" b="1" baseline="0"/>
            <a:t> Budget</a:t>
          </a:r>
          <a:endParaRPr lang="en-US" sz="2400" b="1"/>
        </a:p>
      </xdr:txBody>
    </xdr:sp>
    <xdr:clientData/>
  </xdr:twoCellAnchor>
  <xdr:twoCellAnchor>
    <xdr:from>
      <xdr:col>25</xdr:col>
      <xdr:colOff>463550</xdr:colOff>
      <xdr:row>21</xdr:row>
      <xdr:rowOff>138368</xdr:rowOff>
    </xdr:from>
    <xdr:to>
      <xdr:col>31</xdr:col>
      <xdr:colOff>6350</xdr:colOff>
      <xdr:row>24</xdr:row>
      <xdr:rowOff>177208</xdr:rowOff>
    </xdr:to>
    <xdr:sp macro="" textlink="PivotTables!O5">
      <xdr:nvSpPr>
        <xdr:cNvPr id="37" name="TextBox 36">
          <a:extLst>
            <a:ext uri="{FF2B5EF4-FFF2-40B4-BE49-F238E27FC236}">
              <a16:creationId xmlns:a16="http://schemas.microsoft.com/office/drawing/2014/main" id="{EE2989E7-11E9-5BD3-AFD8-C6BFEA865453}"/>
            </a:ext>
          </a:extLst>
        </xdr:cNvPr>
        <xdr:cNvSpPr txBox="1"/>
      </xdr:nvSpPr>
      <xdr:spPr>
        <a:xfrm>
          <a:off x="15761277" y="4017641"/>
          <a:ext cx="3214255" cy="59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9A4CBA-EC9B-4E44-A9BF-3FD290277989}" type="TxLink">
            <a:rPr lang="en-US" sz="3600" b="1" i="0" u="none" strike="noStrike">
              <a:solidFill>
                <a:srgbClr val="000000"/>
              </a:solidFill>
              <a:latin typeface="Calibri"/>
              <a:ea typeface="Calibri"/>
              <a:cs typeface="Calibri"/>
            </a:rPr>
            <a:pPr algn="ctr"/>
            <a:t> $4,970,810.27 </a:t>
          </a:fld>
          <a:endParaRPr lang="en-US" sz="400000" b="1"/>
        </a:p>
      </xdr:txBody>
    </xdr:sp>
    <xdr:clientData/>
  </xdr:twoCellAnchor>
  <xdr:twoCellAnchor>
    <xdr:from>
      <xdr:col>7</xdr:col>
      <xdr:colOff>203200</xdr:colOff>
      <xdr:row>27</xdr:row>
      <xdr:rowOff>63500</xdr:rowOff>
    </xdr:from>
    <xdr:to>
      <xdr:col>22</xdr:col>
      <xdr:colOff>386080</xdr:colOff>
      <xdr:row>48</xdr:row>
      <xdr:rowOff>177800</xdr:rowOff>
    </xdr:to>
    <xdr:grpSp>
      <xdr:nvGrpSpPr>
        <xdr:cNvPr id="46" name="Group 45">
          <a:extLst>
            <a:ext uri="{FF2B5EF4-FFF2-40B4-BE49-F238E27FC236}">
              <a16:creationId xmlns:a16="http://schemas.microsoft.com/office/drawing/2014/main" id="{7CFDF1C3-F142-A410-6D18-125CF3DA4A23}"/>
            </a:ext>
          </a:extLst>
        </xdr:cNvPr>
        <xdr:cNvGrpSpPr/>
      </xdr:nvGrpSpPr>
      <xdr:grpSpPr>
        <a:xfrm>
          <a:off x="4470400" y="5207000"/>
          <a:ext cx="9326880" cy="4114800"/>
          <a:chOff x="4292600" y="5156200"/>
          <a:chExt cx="9509760" cy="4114800"/>
        </a:xfrm>
        <a:effectLst>
          <a:outerShdw blurRad="50800" dist="38100" dir="2700000" algn="tl" rotWithShape="0">
            <a:prstClr val="black">
              <a:alpha val="40000"/>
            </a:prstClr>
          </a:outerShdw>
        </a:effectLst>
      </xdr:grpSpPr>
      <xdr:sp macro="" textlink="">
        <xdr:nvSpPr>
          <xdr:cNvPr id="40" name="Rectangle: Rounded Corners 39">
            <a:extLst>
              <a:ext uri="{FF2B5EF4-FFF2-40B4-BE49-F238E27FC236}">
                <a16:creationId xmlns:a16="http://schemas.microsoft.com/office/drawing/2014/main" id="{3F381BB0-12B4-34E2-D4D3-4F1AC2AC5B27}"/>
              </a:ext>
            </a:extLst>
          </xdr:cNvPr>
          <xdr:cNvSpPr/>
        </xdr:nvSpPr>
        <xdr:spPr>
          <a:xfrm>
            <a:off x="4292600" y="5156200"/>
            <a:ext cx="9509760" cy="411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66B43FAB-44A7-4DC1-AC16-E9F7C1A25F63}"/>
              </a:ext>
            </a:extLst>
          </xdr:cNvPr>
          <xdr:cNvGraphicFramePr>
            <a:graphicFrameLocks/>
          </xdr:cNvGraphicFramePr>
        </xdr:nvGraphicFramePr>
        <xdr:xfrm>
          <a:off x="4521200" y="5359400"/>
          <a:ext cx="9052560" cy="37084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23</xdr:col>
      <xdr:colOff>152400</xdr:colOff>
      <xdr:row>27</xdr:row>
      <xdr:rowOff>63500</xdr:rowOff>
    </xdr:from>
    <xdr:to>
      <xdr:col>38</xdr:col>
      <xdr:colOff>335280</xdr:colOff>
      <xdr:row>48</xdr:row>
      <xdr:rowOff>177800</xdr:rowOff>
    </xdr:to>
    <xdr:grpSp>
      <xdr:nvGrpSpPr>
        <xdr:cNvPr id="45" name="Group 44">
          <a:extLst>
            <a:ext uri="{FF2B5EF4-FFF2-40B4-BE49-F238E27FC236}">
              <a16:creationId xmlns:a16="http://schemas.microsoft.com/office/drawing/2014/main" id="{14604AC9-C6CF-1035-DEFC-C94B7C98A44A}"/>
            </a:ext>
          </a:extLst>
        </xdr:cNvPr>
        <xdr:cNvGrpSpPr/>
      </xdr:nvGrpSpPr>
      <xdr:grpSpPr>
        <a:xfrm>
          <a:off x="14173200" y="5207000"/>
          <a:ext cx="9326880" cy="4114800"/>
          <a:chOff x="13893800" y="5156200"/>
          <a:chExt cx="9509760" cy="4114800"/>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3AF496FE-E783-4EC0-B035-F15D1AA5FC94}"/>
              </a:ext>
            </a:extLst>
          </xdr:cNvPr>
          <xdr:cNvSpPr/>
        </xdr:nvSpPr>
        <xdr:spPr>
          <a:xfrm>
            <a:off x="13893800" y="5156200"/>
            <a:ext cx="9509760" cy="411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D0343503-843E-4A52-B568-3BA0B4FDF5E1}"/>
              </a:ext>
            </a:extLst>
          </xdr:cNvPr>
          <xdr:cNvGraphicFramePr>
            <a:graphicFrameLocks/>
          </xdr:cNvGraphicFramePr>
        </xdr:nvGraphicFramePr>
        <xdr:xfrm>
          <a:off x="14122400" y="5357368"/>
          <a:ext cx="9052560" cy="371246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31</xdr:col>
      <xdr:colOff>342900</xdr:colOff>
      <xdr:row>8</xdr:row>
      <xdr:rowOff>177800</xdr:rowOff>
    </xdr:from>
    <xdr:to>
      <xdr:col>38</xdr:col>
      <xdr:colOff>317499</xdr:colOff>
      <xdr:row>25</xdr:row>
      <xdr:rowOff>169718</xdr:rowOff>
    </xdr:to>
    <xdr:sp macro="" textlink="">
      <xdr:nvSpPr>
        <xdr:cNvPr id="48" name="Rectangle: Rounded Corners 47">
          <a:extLst>
            <a:ext uri="{FF2B5EF4-FFF2-40B4-BE49-F238E27FC236}">
              <a16:creationId xmlns:a16="http://schemas.microsoft.com/office/drawing/2014/main" id="{44718B96-7AFE-4A4B-8C7D-34A8B9AD9323}"/>
            </a:ext>
          </a:extLst>
        </xdr:cNvPr>
        <xdr:cNvSpPr/>
      </xdr:nvSpPr>
      <xdr:spPr>
        <a:xfrm>
          <a:off x="19240500" y="1651000"/>
          <a:ext cx="4241799" cy="3122468"/>
        </a:xfrm>
        <a:prstGeom prst="roundRect">
          <a:avLst>
            <a:gd name="adj" fmla="val 9591"/>
          </a:avLst>
        </a:prstGeom>
        <a:solidFill>
          <a:schemeClr val="bg1"/>
        </a:solidFill>
        <a:ln w="38100">
          <a:solidFill>
            <a:schemeClr val="tx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31</xdr:col>
      <xdr:colOff>501649</xdr:colOff>
      <xdr:row>9</xdr:row>
      <xdr:rowOff>151280</xdr:rowOff>
    </xdr:from>
    <xdr:to>
      <xdr:col>38</xdr:col>
      <xdr:colOff>158749</xdr:colOff>
      <xdr:row>25</xdr:row>
      <xdr:rowOff>12088</xdr:rowOff>
    </xdr:to>
    <mc:AlternateContent xmlns:mc="http://schemas.openxmlformats.org/markup-compatibility/2006">
      <mc:Choice xmlns:a14="http://schemas.microsoft.com/office/drawing/2010/main" Requires="a14">
        <xdr:graphicFrame macro="">
          <xdr:nvGraphicFramePr>
            <xdr:cNvPr id="49" name="Department">
              <a:extLst>
                <a:ext uri="{FF2B5EF4-FFF2-40B4-BE49-F238E27FC236}">
                  <a16:creationId xmlns:a16="http://schemas.microsoft.com/office/drawing/2014/main" id="{80925DEA-0C5A-4938-BD90-54BDBE1E0C3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9399249" y="1865780"/>
              <a:ext cx="3924300" cy="2908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8</xdr:row>
      <xdr:rowOff>131618</xdr:rowOff>
    </xdr:from>
    <xdr:to>
      <xdr:col>6</xdr:col>
      <xdr:colOff>454314</xdr:colOff>
      <xdr:row>39</xdr:row>
      <xdr:rowOff>101600</xdr:rowOff>
    </xdr:to>
    <xdr:sp macro="" textlink="">
      <xdr:nvSpPr>
        <xdr:cNvPr id="51" name="Rectangle: Rounded Corners 50">
          <a:extLst>
            <a:ext uri="{FF2B5EF4-FFF2-40B4-BE49-F238E27FC236}">
              <a16:creationId xmlns:a16="http://schemas.microsoft.com/office/drawing/2014/main" id="{88461519-FC18-4623-B400-40A078A51CAA}"/>
            </a:ext>
          </a:extLst>
        </xdr:cNvPr>
        <xdr:cNvSpPr/>
      </xdr:nvSpPr>
      <xdr:spPr>
        <a:xfrm>
          <a:off x="152400" y="1655618"/>
          <a:ext cx="3959514" cy="5875482"/>
        </a:xfrm>
        <a:prstGeom prst="roundRect">
          <a:avLst>
            <a:gd name="adj" fmla="val 7044"/>
          </a:avLst>
        </a:prstGeom>
        <a:solidFill>
          <a:schemeClr val="bg1"/>
        </a:solidFill>
        <a:ln w="38100">
          <a:solidFill>
            <a:schemeClr val="tx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317500</xdr:colOff>
      <xdr:row>10</xdr:row>
      <xdr:rowOff>63500</xdr:rowOff>
    </xdr:from>
    <xdr:to>
      <xdr:col>6</xdr:col>
      <xdr:colOff>332740</xdr:colOff>
      <xdr:row>37</xdr:row>
      <xdr:rowOff>177800</xdr:rowOff>
    </xdr:to>
    <mc:AlternateContent xmlns:mc="http://schemas.openxmlformats.org/markup-compatibility/2006" xmlns:a14="http://schemas.microsoft.com/office/drawing/2010/main">
      <mc:Choice Requires="a14">
        <xdr:graphicFrame macro="">
          <xdr:nvGraphicFramePr>
            <xdr:cNvPr id="52" name="Transaction Month">
              <a:extLst>
                <a:ext uri="{FF2B5EF4-FFF2-40B4-BE49-F238E27FC236}">
                  <a16:creationId xmlns:a16="http://schemas.microsoft.com/office/drawing/2014/main" id="{EDCC743B-FACC-45F1-9DF6-39B51B2FCED8}"/>
                </a:ext>
              </a:extLst>
            </xdr:cNvPr>
            <xdr:cNvGraphicFramePr/>
          </xdr:nvGraphicFramePr>
          <xdr:xfrm>
            <a:off x="0" y="0"/>
            <a:ext cx="0" cy="0"/>
          </xdr:xfrm>
          <a:graphic>
            <a:graphicData uri="http://schemas.microsoft.com/office/drawing/2010/slicer">
              <sle:slicer xmlns:sle="http://schemas.microsoft.com/office/drawing/2010/slicer" name="Transaction Month"/>
            </a:graphicData>
          </a:graphic>
        </xdr:graphicFrame>
      </mc:Choice>
      <mc:Fallback xmlns="">
        <xdr:sp macro="" textlink="">
          <xdr:nvSpPr>
            <xdr:cNvPr id="0" name=""/>
            <xdr:cNvSpPr>
              <a:spLocks noTextEdit="1"/>
            </xdr:cNvSpPr>
          </xdr:nvSpPr>
          <xdr:spPr>
            <a:xfrm>
              <a:off x="317500" y="1968500"/>
              <a:ext cx="3672840" cy="525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203200</xdr:colOff>
      <xdr:row>50</xdr:row>
      <xdr:rowOff>0</xdr:rowOff>
    </xdr:from>
    <xdr:to>
      <xdr:col>22</xdr:col>
      <xdr:colOff>386080</xdr:colOff>
      <xdr:row>71</xdr:row>
      <xdr:rowOff>114300</xdr:rowOff>
    </xdr:to>
    <xdr:grpSp>
      <xdr:nvGrpSpPr>
        <xdr:cNvPr id="56" name="Group 55">
          <a:extLst>
            <a:ext uri="{FF2B5EF4-FFF2-40B4-BE49-F238E27FC236}">
              <a16:creationId xmlns:a16="http://schemas.microsoft.com/office/drawing/2014/main" id="{0AD58754-C94E-EC69-2FFD-316F9264D00B}"/>
            </a:ext>
          </a:extLst>
        </xdr:cNvPr>
        <xdr:cNvGrpSpPr/>
      </xdr:nvGrpSpPr>
      <xdr:grpSpPr>
        <a:xfrm>
          <a:off x="4470400" y="9525000"/>
          <a:ext cx="9326880" cy="4114800"/>
          <a:chOff x="4292600" y="9474200"/>
          <a:chExt cx="9509760" cy="4114800"/>
        </a:xfrm>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288A7BF0-D8DB-AE79-9612-9E4FBF12BB3D}"/>
              </a:ext>
            </a:extLst>
          </xdr:cNvPr>
          <xdr:cNvSpPr/>
        </xdr:nvSpPr>
        <xdr:spPr>
          <a:xfrm>
            <a:off x="4292600" y="9474200"/>
            <a:ext cx="9509760" cy="411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9D8D83C0-7A61-497D-9549-29D9C9F1DBA4}"/>
              </a:ext>
            </a:extLst>
          </xdr:cNvPr>
          <xdr:cNvGraphicFramePr>
            <a:graphicFrameLocks/>
          </xdr:cNvGraphicFramePr>
        </xdr:nvGraphicFramePr>
        <xdr:xfrm>
          <a:off x="4521200" y="9675368"/>
          <a:ext cx="9052560" cy="371246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23</xdr:col>
      <xdr:colOff>165100</xdr:colOff>
      <xdr:row>50</xdr:row>
      <xdr:rowOff>0</xdr:rowOff>
    </xdr:from>
    <xdr:to>
      <xdr:col>38</xdr:col>
      <xdr:colOff>347980</xdr:colOff>
      <xdr:row>71</xdr:row>
      <xdr:rowOff>114300</xdr:rowOff>
    </xdr:to>
    <xdr:grpSp>
      <xdr:nvGrpSpPr>
        <xdr:cNvPr id="55" name="Group 54">
          <a:extLst>
            <a:ext uri="{FF2B5EF4-FFF2-40B4-BE49-F238E27FC236}">
              <a16:creationId xmlns:a16="http://schemas.microsoft.com/office/drawing/2014/main" id="{4CFD8F5D-0102-44A7-499B-AFC7B0ACC8DB}"/>
            </a:ext>
          </a:extLst>
        </xdr:cNvPr>
        <xdr:cNvGrpSpPr/>
      </xdr:nvGrpSpPr>
      <xdr:grpSpPr>
        <a:xfrm>
          <a:off x="14185900" y="9525000"/>
          <a:ext cx="9326880" cy="4114800"/>
          <a:chOff x="14008100" y="9474200"/>
          <a:chExt cx="9509760" cy="4114800"/>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6C87A974-B889-4539-93C6-52971FD6069C}"/>
              </a:ext>
            </a:extLst>
          </xdr:cNvPr>
          <xdr:cNvSpPr/>
        </xdr:nvSpPr>
        <xdr:spPr>
          <a:xfrm>
            <a:off x="14008100" y="9474200"/>
            <a:ext cx="9509760" cy="411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FED7B922-B2AA-42B3-A8E5-9CD809832DE9}"/>
              </a:ext>
            </a:extLst>
          </xdr:cNvPr>
          <xdr:cNvGraphicFramePr>
            <a:graphicFrameLocks/>
          </xdr:cNvGraphicFramePr>
        </xdr:nvGraphicFramePr>
        <xdr:xfrm>
          <a:off x="14236700" y="9675368"/>
          <a:ext cx="9052560" cy="371246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7</xdr:col>
      <xdr:colOff>203200</xdr:colOff>
      <xdr:row>72</xdr:row>
      <xdr:rowOff>139700</xdr:rowOff>
    </xdr:from>
    <xdr:to>
      <xdr:col>22</xdr:col>
      <xdr:colOff>386080</xdr:colOff>
      <xdr:row>94</xdr:row>
      <xdr:rowOff>63500</xdr:rowOff>
    </xdr:to>
    <xdr:grpSp>
      <xdr:nvGrpSpPr>
        <xdr:cNvPr id="57" name="Group 56">
          <a:extLst>
            <a:ext uri="{FF2B5EF4-FFF2-40B4-BE49-F238E27FC236}">
              <a16:creationId xmlns:a16="http://schemas.microsoft.com/office/drawing/2014/main" id="{6E9D6ABA-E13C-4C57-99FD-92B7665B1729}"/>
            </a:ext>
          </a:extLst>
        </xdr:cNvPr>
        <xdr:cNvGrpSpPr/>
      </xdr:nvGrpSpPr>
      <xdr:grpSpPr>
        <a:xfrm>
          <a:off x="4470400" y="13855700"/>
          <a:ext cx="9326880" cy="4114800"/>
          <a:chOff x="4292600" y="13804900"/>
          <a:chExt cx="9509760" cy="4114800"/>
        </a:xfrm>
        <a:effectLst>
          <a:outerShdw blurRad="50800" dist="38100" dir="2700000" algn="tl" rotWithShape="0">
            <a:prstClr val="black">
              <a:alpha val="40000"/>
            </a:prstClr>
          </a:outerShdw>
        </a:effectLst>
      </xdr:grpSpPr>
      <xdr:sp macro="" textlink="">
        <xdr:nvSpPr>
          <xdr:cNvPr id="22" name="Rectangle: Rounded Corners 21">
            <a:extLst>
              <a:ext uri="{FF2B5EF4-FFF2-40B4-BE49-F238E27FC236}">
                <a16:creationId xmlns:a16="http://schemas.microsoft.com/office/drawing/2014/main" id="{81595B08-68C5-4B79-8B5A-CFD75F759962}"/>
              </a:ext>
            </a:extLst>
          </xdr:cNvPr>
          <xdr:cNvSpPr/>
        </xdr:nvSpPr>
        <xdr:spPr>
          <a:xfrm>
            <a:off x="4292600" y="13804900"/>
            <a:ext cx="9509760" cy="411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6" name="Chart 25">
            <a:extLst>
              <a:ext uri="{FF2B5EF4-FFF2-40B4-BE49-F238E27FC236}">
                <a16:creationId xmlns:a16="http://schemas.microsoft.com/office/drawing/2014/main" id="{7EABBE49-AA61-4EAE-87FE-CF8F556AF93F}"/>
              </a:ext>
            </a:extLst>
          </xdr:cNvPr>
          <xdr:cNvGraphicFramePr>
            <a:graphicFrameLocks/>
          </xdr:cNvGraphicFramePr>
        </xdr:nvGraphicFramePr>
        <xdr:xfrm>
          <a:off x="4495800" y="14058900"/>
          <a:ext cx="9052560" cy="371246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23</xdr:col>
      <xdr:colOff>152400</xdr:colOff>
      <xdr:row>72</xdr:row>
      <xdr:rowOff>139700</xdr:rowOff>
    </xdr:from>
    <xdr:to>
      <xdr:col>38</xdr:col>
      <xdr:colOff>335280</xdr:colOff>
      <xdr:row>94</xdr:row>
      <xdr:rowOff>63500</xdr:rowOff>
    </xdr:to>
    <xdr:grpSp>
      <xdr:nvGrpSpPr>
        <xdr:cNvPr id="58" name="Group 57">
          <a:extLst>
            <a:ext uri="{FF2B5EF4-FFF2-40B4-BE49-F238E27FC236}">
              <a16:creationId xmlns:a16="http://schemas.microsoft.com/office/drawing/2014/main" id="{B23A47EC-A74B-38E0-95AA-CB1F95CAA590}"/>
            </a:ext>
          </a:extLst>
        </xdr:cNvPr>
        <xdr:cNvGrpSpPr/>
      </xdr:nvGrpSpPr>
      <xdr:grpSpPr>
        <a:xfrm>
          <a:off x="14173200" y="13855700"/>
          <a:ext cx="9326880" cy="4114800"/>
          <a:chOff x="13995400" y="13804900"/>
          <a:chExt cx="9509760" cy="4114800"/>
        </a:xfrm>
        <a:effectLst>
          <a:outerShdw blurRad="50800" dist="38100" dir="2700000" algn="tl" rotWithShape="0">
            <a:prstClr val="black">
              <a:alpha val="40000"/>
            </a:prstClr>
          </a:outerShdw>
        </a:effectLst>
      </xdr:grpSpPr>
      <xdr:sp macro="" textlink="">
        <xdr:nvSpPr>
          <xdr:cNvPr id="34" name="Rectangle: Rounded Corners 33">
            <a:extLst>
              <a:ext uri="{FF2B5EF4-FFF2-40B4-BE49-F238E27FC236}">
                <a16:creationId xmlns:a16="http://schemas.microsoft.com/office/drawing/2014/main" id="{6973FC6D-CCD9-4BA5-94C7-222F4416F442}"/>
              </a:ext>
            </a:extLst>
          </xdr:cNvPr>
          <xdr:cNvSpPr/>
        </xdr:nvSpPr>
        <xdr:spPr>
          <a:xfrm>
            <a:off x="13995400" y="13804900"/>
            <a:ext cx="9509760" cy="411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0" name="Chart 29">
            <a:extLst>
              <a:ext uri="{FF2B5EF4-FFF2-40B4-BE49-F238E27FC236}">
                <a16:creationId xmlns:a16="http://schemas.microsoft.com/office/drawing/2014/main" id="{B5D13768-11BA-4C67-9BA4-CAD8FDA57532}"/>
              </a:ext>
            </a:extLst>
          </xdr:cNvPr>
          <xdr:cNvGraphicFramePr>
            <a:graphicFrameLocks/>
          </xdr:cNvGraphicFramePr>
        </xdr:nvGraphicFramePr>
        <xdr:xfrm>
          <a:off x="14224000" y="14006068"/>
          <a:ext cx="9052560" cy="371246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7</xdr:col>
      <xdr:colOff>203200</xdr:colOff>
      <xdr:row>95</xdr:row>
      <xdr:rowOff>127000</xdr:rowOff>
    </xdr:from>
    <xdr:to>
      <xdr:col>22</xdr:col>
      <xdr:colOff>386080</xdr:colOff>
      <xdr:row>117</xdr:row>
      <xdr:rowOff>50800</xdr:rowOff>
    </xdr:to>
    <xdr:grpSp>
      <xdr:nvGrpSpPr>
        <xdr:cNvPr id="59" name="Group 58">
          <a:extLst>
            <a:ext uri="{FF2B5EF4-FFF2-40B4-BE49-F238E27FC236}">
              <a16:creationId xmlns:a16="http://schemas.microsoft.com/office/drawing/2014/main" id="{0F1F3BA8-0BB8-ADB0-2807-2C596E400639}"/>
            </a:ext>
          </a:extLst>
        </xdr:cNvPr>
        <xdr:cNvGrpSpPr/>
      </xdr:nvGrpSpPr>
      <xdr:grpSpPr>
        <a:xfrm>
          <a:off x="4470400" y="18224500"/>
          <a:ext cx="9326880" cy="4114800"/>
          <a:chOff x="4292600" y="18173700"/>
          <a:chExt cx="9509760" cy="4114800"/>
        </a:xfrm>
        <a:effectLst>
          <a:outerShdw blurRad="50800" dist="38100" dir="2700000" algn="tl" rotWithShape="0">
            <a:prstClr val="black">
              <a:alpha val="40000"/>
            </a:prstClr>
          </a:outerShdw>
        </a:effectLst>
      </xdr:grpSpPr>
      <xdr:sp macro="" textlink="">
        <xdr:nvSpPr>
          <xdr:cNvPr id="41" name="Rectangle: Rounded Corners 40">
            <a:extLst>
              <a:ext uri="{FF2B5EF4-FFF2-40B4-BE49-F238E27FC236}">
                <a16:creationId xmlns:a16="http://schemas.microsoft.com/office/drawing/2014/main" id="{31D4C492-FDF5-44FF-867A-B883D10ACF0E}"/>
              </a:ext>
            </a:extLst>
          </xdr:cNvPr>
          <xdr:cNvSpPr/>
        </xdr:nvSpPr>
        <xdr:spPr>
          <a:xfrm>
            <a:off x="4292600" y="18173700"/>
            <a:ext cx="9509760" cy="411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a:extLst>
              <a:ext uri="{FF2B5EF4-FFF2-40B4-BE49-F238E27FC236}">
                <a16:creationId xmlns:a16="http://schemas.microsoft.com/office/drawing/2014/main" id="{A632A8CF-A928-43DE-805E-BDA321E0D8E8}"/>
              </a:ext>
            </a:extLst>
          </xdr:cNvPr>
          <xdr:cNvGraphicFramePr>
            <a:graphicFrameLocks/>
          </xdr:cNvGraphicFramePr>
        </xdr:nvGraphicFramePr>
        <xdr:xfrm>
          <a:off x="4521200" y="18374868"/>
          <a:ext cx="9052560" cy="371246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23</xdr:col>
      <xdr:colOff>152400</xdr:colOff>
      <xdr:row>95</xdr:row>
      <xdr:rowOff>127000</xdr:rowOff>
    </xdr:from>
    <xdr:to>
      <xdr:col>38</xdr:col>
      <xdr:colOff>335280</xdr:colOff>
      <xdr:row>117</xdr:row>
      <xdr:rowOff>50800</xdr:rowOff>
    </xdr:to>
    <xdr:grpSp>
      <xdr:nvGrpSpPr>
        <xdr:cNvPr id="60" name="Group 59">
          <a:extLst>
            <a:ext uri="{FF2B5EF4-FFF2-40B4-BE49-F238E27FC236}">
              <a16:creationId xmlns:a16="http://schemas.microsoft.com/office/drawing/2014/main" id="{9E9191B6-9777-5F83-7853-66C4E0F6C139}"/>
            </a:ext>
          </a:extLst>
        </xdr:cNvPr>
        <xdr:cNvGrpSpPr/>
      </xdr:nvGrpSpPr>
      <xdr:grpSpPr>
        <a:xfrm>
          <a:off x="14173200" y="18224500"/>
          <a:ext cx="9326880" cy="4114800"/>
          <a:chOff x="13995400" y="18173700"/>
          <a:chExt cx="9509760" cy="4114800"/>
        </a:xfrm>
        <a:effectLst>
          <a:outerShdw blurRad="50800" dist="38100" dir="2700000" algn="tl" rotWithShape="0">
            <a:prstClr val="black">
              <a:alpha val="40000"/>
            </a:prstClr>
          </a:outerShdw>
        </a:effectLst>
      </xdr:grpSpPr>
      <xdr:sp macro="" textlink="">
        <xdr:nvSpPr>
          <xdr:cNvPr id="47" name="Rectangle: Rounded Corners 46">
            <a:extLst>
              <a:ext uri="{FF2B5EF4-FFF2-40B4-BE49-F238E27FC236}">
                <a16:creationId xmlns:a16="http://schemas.microsoft.com/office/drawing/2014/main" id="{D601E389-BA39-4928-B205-05A8E88D8828}"/>
              </a:ext>
            </a:extLst>
          </xdr:cNvPr>
          <xdr:cNvSpPr/>
        </xdr:nvSpPr>
        <xdr:spPr>
          <a:xfrm>
            <a:off x="13995400" y="18173700"/>
            <a:ext cx="9509760" cy="411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3D0B97CF-15BB-4429-A105-D6CC9C359A72}"/>
              </a:ext>
            </a:extLst>
          </xdr:cNvPr>
          <xdr:cNvGraphicFramePr>
            <a:graphicFrameLocks/>
          </xdr:cNvGraphicFramePr>
        </xdr:nvGraphicFramePr>
        <xdr:xfrm>
          <a:off x="14224000" y="18374868"/>
          <a:ext cx="9052560" cy="3712464"/>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eryar Khan" refreshedDate="46297.455957175924" createdVersion="8" refreshedVersion="8" minRefreshableVersion="3" recordCount="2500" xr:uid="{B2CEF83A-4EC1-4F78-8F78-B81DD2916895}">
  <cacheSource type="worksheet">
    <worksheetSource ref="A1:P2501" sheet="Clean Financial Data"/>
  </cacheSource>
  <cacheFields count="16">
    <cacheField name="Transaction ID" numFmtId="0">
      <sharedItems/>
    </cacheField>
    <cacheField name="Transaction Date" numFmtId="165">
      <sharedItems containsSemiMixedTypes="0" containsNonDate="0" containsDate="1" containsString="0" minDate="2025-01-01T00:00:00" maxDate="2026-07-01T00:00:00"/>
    </cacheField>
    <cacheField name="Transaction Type" numFmtId="0">
      <sharedItems count="2">
        <s v="Expense"/>
        <s v="Revenue"/>
      </sharedItems>
    </cacheField>
    <cacheField name="Department" numFmtId="0">
      <sharedItems count="8">
        <s v="Finance"/>
        <s v="Administration"/>
        <s v="Operations"/>
        <s v="Sales"/>
        <s v="Marketing"/>
        <s v="Hr"/>
        <s v="It"/>
        <s v="Unknown"/>
      </sharedItems>
    </cacheField>
    <cacheField name="Category" numFmtId="0">
      <sharedItems count="15">
        <s v="Equipment &amp; Maintenance"/>
        <s v="Office Supplies"/>
        <s v="Subscription Revenue"/>
        <s v="Product Sales"/>
        <s v="Travel &amp; Transport"/>
        <s v="Rent &amp; Facilities"/>
        <s v="Salaries &amp; Benefits"/>
        <s v="Software &amp; Subscriptions"/>
        <s v="Professional Services"/>
        <s v="Marketing &amp; Advertising"/>
        <s v="Logistics &amp; Shipping"/>
        <s v="Utilities"/>
        <s v="Service Revenue"/>
        <s v="Other Income"/>
        <s v="Unknown"/>
      </sharedItems>
    </cacheField>
    <cacheField name="Business Segment" numFmtId="0">
      <sharedItems count="5">
        <s v="Services"/>
        <s v="Corporate"/>
        <s v="Wholesale"/>
        <s v="Online"/>
        <s v="Retail"/>
      </sharedItems>
    </cacheField>
    <cacheField name="Location" numFmtId="0">
      <sharedItems/>
    </cacheField>
    <cacheField name="Vendor" numFmtId="0">
      <sharedItems/>
    </cacheField>
    <cacheField name="Payment Method" numFmtId="0">
      <sharedItems count="6">
        <s v="Cash"/>
        <s v="Bank Transfer"/>
        <s v="Online Payment"/>
        <s v="Debit Card"/>
        <s v="Credit Card"/>
        <s v="Unknown"/>
      </sharedItems>
    </cacheField>
    <cacheField name="Budget Amount" numFmtId="164">
      <sharedItems containsSemiMixedTypes="0" containsString="0" containsNumber="1" minValue="0" maxValue="20000"/>
    </cacheField>
    <cacheField name="Actual Amount" numFmtId="164">
      <sharedItems containsSemiMixedTypes="0" containsString="0" containsNumber="1" minValue="0" maxValue="24971.65"/>
    </cacheField>
    <cacheField name="Variance" numFmtId="164">
      <sharedItems containsSemiMixedTypes="0" containsString="0" containsNumber="1" minValue="-17136.259999999998" maxValue="23003.05"/>
    </cacheField>
    <cacheField name="Variance %" numFmtId="10">
      <sharedItems containsSemiMixedTypes="0" containsString="0" containsNumber="1" minValue="-1" maxValue="2.7718767718767721"/>
    </cacheField>
    <cacheField name="Budget Status" numFmtId="0">
      <sharedItems count="3">
        <s v="Under Budget"/>
        <s v="Over Budget"/>
        <s v="No Budget"/>
      </sharedItems>
    </cacheField>
    <cacheField name="Net Amount" numFmtId="44">
      <sharedItems containsSemiMixedTypes="0" containsString="0" containsNumber="1" minValue="-17976.080000000002" maxValue="24971.65"/>
    </cacheField>
    <cacheField name="Transaction Month" numFmtId="166">
      <sharedItems containsSemiMixedTypes="0" containsNonDate="0" containsDate="1" containsString="0" minDate="2025-01-01T00:00:00" maxDate="2026-06-02T00:00:00" count="18">
        <d v="2025-01-01T00:00:00"/>
        <d v="2025-02-01T00:00:00"/>
        <d v="2025-03-01T00:00:00"/>
        <d v="2025-04-01T00:00:00"/>
        <d v="2025-05-01T00:00:00"/>
        <d v="2025-06-01T00:00:00"/>
        <d v="2025-07-01T00:00:00"/>
        <d v="2025-08-01T00:00:00"/>
        <d v="2025-09-01T00:00:00"/>
        <d v="2025-10-01T00:00:00"/>
        <d v="2025-11-01T00:00:00"/>
        <d v="2025-12-01T00:00:00"/>
        <d v="2026-01-01T00:00:00"/>
        <d v="2026-06-01T00:00:00"/>
        <d v="2026-03-01T00:00:00"/>
        <d v="2026-04-01T00:00:00"/>
        <d v="2026-05-01T00:00:00"/>
        <d v="2026-02-01T00:00:00"/>
      </sharedItems>
    </cacheField>
  </cacheFields>
  <extLst>
    <ext xmlns:x14="http://schemas.microsoft.com/office/spreadsheetml/2009/9/main" uri="{725AE2AE-9491-48be-B2B4-4EB974FC3084}">
      <x14:pivotCacheDefinition pivotCacheId="117184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FIN-00001"/>
    <d v="2025-01-31T00:00:00"/>
    <x v="0"/>
    <x v="0"/>
    <x v="0"/>
    <x v="0"/>
    <s v="Faisalabad"/>
    <s v="Softworks"/>
    <x v="0"/>
    <n v="6208"/>
    <n v="795.11"/>
    <n v="-5412.89"/>
    <n v="-0.87192171391752582"/>
    <x v="0"/>
    <n v="-795.11"/>
    <x v="0"/>
  </r>
  <r>
    <s v="FIN-00002"/>
    <d v="2025-02-02T00:00:00"/>
    <x v="0"/>
    <x v="1"/>
    <x v="1"/>
    <x v="1"/>
    <s v="Lahore"/>
    <s v="Officepro"/>
    <x v="1"/>
    <n v="3000"/>
    <n v="1176.76"/>
    <n v="-1823.24"/>
    <n v="-0.60774666666666666"/>
    <x v="0"/>
    <n v="-1176.76"/>
    <x v="1"/>
  </r>
  <r>
    <s v="FIN-00003"/>
    <d v="2025-03-15T00:00:00"/>
    <x v="1"/>
    <x v="2"/>
    <x v="2"/>
    <x v="2"/>
    <s v="Peshawar"/>
    <s v="Shipfast"/>
    <x v="2"/>
    <n v="4850"/>
    <n v="6088.89"/>
    <n v="1238.8900000000003"/>
    <n v="0.25544123711340211"/>
    <x v="1"/>
    <n v="6088.89"/>
    <x v="2"/>
  </r>
  <r>
    <s v="FIN-00004"/>
    <d v="2025-04-20T00:00:00"/>
    <x v="1"/>
    <x v="3"/>
    <x v="3"/>
    <x v="3"/>
    <s v="Faisalabad"/>
    <s v="Softworks"/>
    <x v="2"/>
    <n v="11547.62"/>
    <n v="4195.5200000000004"/>
    <n v="-7352.1"/>
    <n v="-0.63667664852151351"/>
    <x v="0"/>
    <n v="4195.5200000000004"/>
    <x v="3"/>
  </r>
  <r>
    <s v="FIN-00005"/>
    <d v="2025-05-05T00:00:00"/>
    <x v="0"/>
    <x v="4"/>
    <x v="4"/>
    <x v="3"/>
    <s v="Karachi"/>
    <s v="Powergrid"/>
    <x v="3"/>
    <n v="4666.67"/>
    <n v="524.33000000000004"/>
    <n v="-4142.34"/>
    <n v="-0.88764365168310599"/>
    <x v="0"/>
    <n v="-524.33000000000004"/>
    <x v="4"/>
  </r>
  <r>
    <s v="FIN-00006"/>
    <d v="2025-06-06T00:00:00"/>
    <x v="0"/>
    <x v="2"/>
    <x v="5"/>
    <x v="1"/>
    <s v="Karachi"/>
    <s v="Buildcare"/>
    <x v="1"/>
    <n v="6500"/>
    <n v="10406.469999999999"/>
    <n v="3906.4699999999993"/>
    <n v="0.60099538461538449"/>
    <x v="1"/>
    <n v="-10406.469999999999"/>
    <x v="5"/>
  </r>
  <r>
    <s v="FIN-00007"/>
    <d v="2025-07-17T00:00:00"/>
    <x v="1"/>
    <x v="3"/>
    <x v="3"/>
    <x v="3"/>
    <s v="Islamabad"/>
    <s v="Markethub"/>
    <x v="0"/>
    <n v="9615.3799999999992"/>
    <n v="19758.34"/>
    <n v="10142.960000000001"/>
    <n v="1.0548683463368065"/>
    <x v="1"/>
    <n v="19758.34"/>
    <x v="6"/>
  </r>
  <r>
    <s v="FIN-00008"/>
    <d v="2025-08-18T00:00:00"/>
    <x v="0"/>
    <x v="4"/>
    <x v="6"/>
    <x v="3"/>
    <s v="Lahore"/>
    <s v="Buildcare"/>
    <x v="0"/>
    <n v="7826.09"/>
    <n v="12296.53"/>
    <n v="4470.4400000000005"/>
    <n v="0.57122266674674071"/>
    <x v="1"/>
    <n v="-12296.53"/>
    <x v="7"/>
  </r>
  <r>
    <s v="FIN-00009"/>
    <d v="2025-09-09T00:00:00"/>
    <x v="0"/>
    <x v="2"/>
    <x v="7"/>
    <x v="2"/>
    <s v="Karachi"/>
    <s v="Peoplefirst"/>
    <x v="4"/>
    <n v="7350"/>
    <n v="251.01"/>
    <n v="-7098.99"/>
    <n v="-0.96584897959183669"/>
    <x v="0"/>
    <n v="-251.01"/>
    <x v="8"/>
  </r>
  <r>
    <s v="FIN-00010"/>
    <d v="2025-10-10T00:00:00"/>
    <x v="1"/>
    <x v="3"/>
    <x v="3"/>
    <x v="3"/>
    <s v="Lahore"/>
    <s v="Unknown"/>
    <x v="0"/>
    <n v="10000"/>
    <n v="7622.41"/>
    <n v="-2377.59"/>
    <n v="-0.23775900000000003"/>
    <x v="0"/>
    <n v="7622.41"/>
    <x v="9"/>
  </r>
  <r>
    <s v="FIN-00011"/>
    <d v="2025-11-21T00:00:00"/>
    <x v="0"/>
    <x v="4"/>
    <x v="8"/>
    <x v="4"/>
    <s v="Islamabad"/>
    <s v="Peoplefirst"/>
    <x v="4"/>
    <n v="6000"/>
    <n v="0"/>
    <n v="-6000"/>
    <n v="-1"/>
    <x v="0"/>
    <n v="0"/>
    <x v="10"/>
  </r>
  <r>
    <s v="FIN-00012"/>
    <d v="2025-12-12T00:00:00"/>
    <x v="0"/>
    <x v="0"/>
    <x v="6"/>
    <x v="2"/>
    <s v="Karachi"/>
    <s v="Adsphere"/>
    <x v="3"/>
    <n v="6715.38"/>
    <n v="8473.89"/>
    <n v="1758.5099999999993"/>
    <n v="0.26186306657255426"/>
    <x v="1"/>
    <n v="-8473.89"/>
    <x v="11"/>
  </r>
  <r>
    <s v="FIN-00013"/>
    <d v="2025-11-28T00:00:00"/>
    <x v="1"/>
    <x v="1"/>
    <x v="3"/>
    <x v="3"/>
    <s v="Karachi"/>
    <s v="Travellink"/>
    <x v="2"/>
    <n v="13125"/>
    <n v="22751.08"/>
    <n v="9626.0800000000017"/>
    <n v="0.7334156190476192"/>
    <x v="1"/>
    <n v="22751.08"/>
    <x v="10"/>
  </r>
  <r>
    <s v="FIN-00014"/>
    <d v="2025-05-24T00:00:00"/>
    <x v="0"/>
    <x v="2"/>
    <x v="4"/>
    <x v="0"/>
    <s v="Lahore"/>
    <s v="Softworks"/>
    <x v="1"/>
    <n v="4000"/>
    <n v="409.66"/>
    <n v="-3590.34"/>
    <n v="-0.89758500000000008"/>
    <x v="0"/>
    <n v="-409.66"/>
    <x v="4"/>
  </r>
  <r>
    <s v="FIN-00015"/>
    <d v="2026-01-30T00:00:00"/>
    <x v="0"/>
    <x v="1"/>
    <x v="6"/>
    <x v="1"/>
    <s v="Lahore"/>
    <s v="Powergrid"/>
    <x v="3"/>
    <n v="6715.38"/>
    <n v="13846.54"/>
    <n v="7131.1600000000008"/>
    <n v="1.0619145900902109"/>
    <x v="1"/>
    <n v="-13846.54"/>
    <x v="12"/>
  </r>
  <r>
    <s v="FIN-00016"/>
    <d v="2025-03-18T00:00:00"/>
    <x v="0"/>
    <x v="5"/>
    <x v="6"/>
    <x v="3"/>
    <s v="Karachi"/>
    <s v="Shipfast"/>
    <x v="1"/>
    <n v="6000"/>
    <n v="1515.76"/>
    <n v="-4484.24"/>
    <n v="-0.74737333333333333"/>
    <x v="0"/>
    <n v="-1515.76"/>
    <x v="2"/>
  </r>
  <r>
    <s v="FIN-00017"/>
    <d v="2026-01-06T00:00:00"/>
    <x v="0"/>
    <x v="1"/>
    <x v="6"/>
    <x v="2"/>
    <s v="Lahore"/>
    <s v="Officepro"/>
    <x v="1"/>
    <n v="6715.38"/>
    <n v="10794.25"/>
    <n v="4078.87"/>
    <n v="0.60739228457659877"/>
    <x v="1"/>
    <n v="-10794.25"/>
    <x v="12"/>
  </r>
  <r>
    <s v="FIN-00018"/>
    <d v="2025-03-24T00:00:00"/>
    <x v="0"/>
    <x v="4"/>
    <x v="8"/>
    <x v="3"/>
    <s v="Peshawar"/>
    <s v="Urban Facilities"/>
    <x v="3"/>
    <n v="3000"/>
    <n v="4149.9399999999996"/>
    <n v="1149.9399999999996"/>
    <n v="0.38331333333333317"/>
    <x v="1"/>
    <n v="-4149.9399999999996"/>
    <x v="2"/>
  </r>
  <r>
    <s v="FIN-00019"/>
    <d v="2025-10-24T00:00:00"/>
    <x v="1"/>
    <x v="4"/>
    <x v="3"/>
    <x v="4"/>
    <s v="Faisalabad"/>
    <s v="Legalworks"/>
    <x v="2"/>
    <n v="8928.57"/>
    <n v="11197.22"/>
    <n v="2268.6499999999996"/>
    <n v="0.2540888406542145"/>
    <x v="1"/>
    <n v="11197.22"/>
    <x v="9"/>
  </r>
  <r>
    <s v="FIN-00020"/>
    <d v="2025-10-24T00:00:00"/>
    <x v="0"/>
    <x v="0"/>
    <x v="6"/>
    <x v="3"/>
    <s v="Islamabad"/>
    <s v="Adsphere"/>
    <x v="0"/>
    <n v="7826.09"/>
    <n v="5637.22"/>
    <n v="-2188.87"/>
    <n v="-0.27968883567656389"/>
    <x v="0"/>
    <n v="-5637.22"/>
    <x v="9"/>
  </r>
  <r>
    <s v="FIN-00021"/>
    <d v="2025-06-25T00:00:00"/>
    <x v="0"/>
    <x v="3"/>
    <x v="6"/>
    <x v="2"/>
    <s v="Faisalabad"/>
    <s v="Officepro"/>
    <x v="2"/>
    <n v="6428.57"/>
    <n v="10343.459999999999"/>
    <n v="3914.8899999999994"/>
    <n v="0.60898302421844974"/>
    <x v="1"/>
    <n v="-10343.459999999999"/>
    <x v="5"/>
  </r>
  <r>
    <s v="FIN-00022"/>
    <d v="2026-06-10T00:00:00"/>
    <x v="0"/>
    <x v="5"/>
    <x v="9"/>
    <x v="0"/>
    <s v="Karachi"/>
    <s v="Powergrid"/>
    <x v="1"/>
    <n v="3666.67"/>
    <n v="2526.9"/>
    <n v="-1139.77"/>
    <n v="-0.31084608104901723"/>
    <x v="0"/>
    <n v="-2526.9"/>
    <x v="13"/>
  </r>
  <r>
    <s v="FIN-00023"/>
    <d v="2025-06-13T00:00:00"/>
    <x v="0"/>
    <x v="0"/>
    <x v="0"/>
    <x v="0"/>
    <s v="Lahore"/>
    <s v="Buildcare"/>
    <x v="4"/>
    <n v="4571.43"/>
    <n v="6251.93"/>
    <n v="1680.5"/>
    <n v="0.36760926012210621"/>
    <x v="1"/>
    <n v="-6251.93"/>
    <x v="5"/>
  </r>
  <r>
    <s v="FIN-00024"/>
    <d v="2025-01-13T00:00:00"/>
    <x v="0"/>
    <x v="4"/>
    <x v="1"/>
    <x v="4"/>
    <s v="Peshawar"/>
    <s v="Softworks"/>
    <x v="1"/>
    <n v="1746"/>
    <n v="1356.88"/>
    <n v="-389.11999999999989"/>
    <n v="-0.22286368843069868"/>
    <x v="0"/>
    <n v="-1356.88"/>
    <x v="0"/>
  </r>
  <r>
    <s v="FIN-00025"/>
    <d v="2025-01-18T00:00:00"/>
    <x v="0"/>
    <x v="4"/>
    <x v="6"/>
    <x v="0"/>
    <s v="Karachi"/>
    <s v="Officepro"/>
    <x v="4"/>
    <n v="7591.3"/>
    <n v="11109.38"/>
    <n v="3518.079999999999"/>
    <n v="0.46343577516367407"/>
    <x v="1"/>
    <n v="-11109.38"/>
    <x v="0"/>
  </r>
  <r>
    <s v="FIN-00026"/>
    <d v="2026-06-29T00:00:00"/>
    <x v="0"/>
    <x v="4"/>
    <x v="7"/>
    <x v="4"/>
    <s v="Karachi"/>
    <s v="Softworks"/>
    <x v="3"/>
    <n v="5000"/>
    <n v="168.29"/>
    <n v="-4831.71"/>
    <n v="-0.96634200000000003"/>
    <x v="0"/>
    <n v="-168.29"/>
    <x v="13"/>
  </r>
  <r>
    <s v="FIN-00027"/>
    <d v="2026-06-14T00:00:00"/>
    <x v="0"/>
    <x v="6"/>
    <x v="5"/>
    <x v="1"/>
    <s v="Islamabad"/>
    <s v="Officepro"/>
    <x v="0"/>
    <n v="5416.67"/>
    <n v="4397.87"/>
    <n v="-1018.8000000000002"/>
    <n v="-0.18808603810089966"/>
    <x v="0"/>
    <n v="-4397.87"/>
    <x v="13"/>
  </r>
  <r>
    <s v="FIN-00028"/>
    <d v="2026-03-27T00:00:00"/>
    <x v="1"/>
    <x v="3"/>
    <x v="2"/>
    <x v="3"/>
    <s v="Islamabad"/>
    <s v="Officepro"/>
    <x v="2"/>
    <n v="10000"/>
    <n v="2477.4899999999998"/>
    <n v="-7522.51"/>
    <n v="-0.752251"/>
    <x v="0"/>
    <n v="2477.4899999999998"/>
    <x v="14"/>
  </r>
  <r>
    <s v="FIN-00029"/>
    <d v="2025-10-12T00:00:00"/>
    <x v="0"/>
    <x v="6"/>
    <x v="6"/>
    <x v="4"/>
    <s v="Karachi"/>
    <s v="Powergrid"/>
    <x v="4"/>
    <n v="7826.09"/>
    <n v="11704.37"/>
    <n v="3878.2800000000007"/>
    <n v="0.49555780728307502"/>
    <x v="1"/>
    <n v="-11704.37"/>
    <x v="9"/>
  </r>
  <r>
    <s v="FIN-00030"/>
    <d v="2025-01-04T00:00:00"/>
    <x v="0"/>
    <x v="1"/>
    <x v="10"/>
    <x v="1"/>
    <s v="Karachi"/>
    <s v="Urban Facilities"/>
    <x v="1"/>
    <n v="5542.86"/>
    <n v="2884.18"/>
    <n v="-2658.68"/>
    <n v="-0.47965851563994039"/>
    <x v="0"/>
    <n v="-2884.18"/>
    <x v="0"/>
  </r>
  <r>
    <s v="FIN-00031"/>
    <d v="2025-06-07T00:00:00"/>
    <x v="0"/>
    <x v="6"/>
    <x v="6"/>
    <x v="0"/>
    <s v="Islamabad"/>
    <s v="Dataserve"/>
    <x v="4"/>
    <n v="6428.57"/>
    <n v="11223.47"/>
    <n v="4794.8999999999996"/>
    <n v="0.74587349908299982"/>
    <x v="1"/>
    <n v="-11223.47"/>
    <x v="5"/>
  </r>
  <r>
    <s v="FIN-00032"/>
    <d v="2025-03-06T00:00:00"/>
    <x v="0"/>
    <x v="1"/>
    <x v="11"/>
    <x v="4"/>
    <s v="Karachi"/>
    <s v="Unknown"/>
    <x v="0"/>
    <n v="3142.86"/>
    <n v="1924.81"/>
    <n v="-1218.0500000000002"/>
    <n v="-0.38756101130817155"/>
    <x v="0"/>
    <n v="-1924.81"/>
    <x v="2"/>
  </r>
  <r>
    <s v="FIN-00033"/>
    <d v="2026-04-05T00:00:00"/>
    <x v="1"/>
    <x v="4"/>
    <x v="3"/>
    <x v="1"/>
    <s v="Karachi"/>
    <s v="Dataserve"/>
    <x v="1"/>
    <n v="8333.33"/>
    <n v="3995.86"/>
    <n v="-4337.4699999999993"/>
    <n v="-0.52049660819864318"/>
    <x v="0"/>
    <n v="3995.86"/>
    <x v="15"/>
  </r>
  <r>
    <s v="FIN-00034"/>
    <d v="2026-05-15T00:00:00"/>
    <x v="1"/>
    <x v="3"/>
    <x v="3"/>
    <x v="4"/>
    <s v="Karachi"/>
    <s v="Prime Supplies"/>
    <x v="1"/>
    <n v="10869.57"/>
    <n v="3241.06"/>
    <n v="-7628.51"/>
    <n v="-0.70182261119805112"/>
    <x v="0"/>
    <n v="3241.06"/>
    <x v="16"/>
  </r>
  <r>
    <s v="FIN-00035"/>
    <d v="2026-03-30T00:00:00"/>
    <x v="0"/>
    <x v="2"/>
    <x v="5"/>
    <x v="3"/>
    <s v="Multan"/>
    <s v="Techsource"/>
    <x v="2"/>
    <n v="6500"/>
    <n v="5520.92"/>
    <n v="-979.07999999999993"/>
    <n v="-0.1506276923076923"/>
    <x v="0"/>
    <n v="-5520.92"/>
    <x v="14"/>
  </r>
  <r>
    <s v="FIN-00036"/>
    <d v="2025-10-20T00:00:00"/>
    <x v="1"/>
    <x v="3"/>
    <x v="3"/>
    <x v="2"/>
    <s v="Karachi"/>
    <s v="Techsource"/>
    <x v="4"/>
    <n v="8928.57"/>
    <n v="14452.32"/>
    <n v="5523.75"/>
    <n v="0.6186600989856158"/>
    <x v="1"/>
    <n v="14452.32"/>
    <x v="9"/>
  </r>
  <r>
    <s v="FIN-00037"/>
    <d v="2026-05-21T00:00:00"/>
    <x v="1"/>
    <x v="3"/>
    <x v="2"/>
    <x v="4"/>
    <s v="Multan"/>
    <s v="Legalworks"/>
    <x v="2"/>
    <n v="6153.85"/>
    <n v="7406.25"/>
    <n v="1252.3999999999996"/>
    <n v="0.20351487280320443"/>
    <x v="1"/>
    <n v="7406.25"/>
    <x v="16"/>
  </r>
  <r>
    <s v="FIN-00038"/>
    <d v="2025-05-11T00:00:00"/>
    <x v="0"/>
    <x v="6"/>
    <x v="8"/>
    <x v="4"/>
    <s v="Lahore"/>
    <s v="Urban Facilities"/>
    <x v="4"/>
    <n v="2307.69"/>
    <n v="6342.47"/>
    <n v="4034.78"/>
    <n v="1.7484064150730818"/>
    <x v="1"/>
    <n v="-6342.47"/>
    <x v="4"/>
  </r>
  <r>
    <s v="FIN-00039"/>
    <d v="2026-06-12T00:00:00"/>
    <x v="0"/>
    <x v="6"/>
    <x v="1"/>
    <x v="4"/>
    <s v="Lahore"/>
    <s v="Dataserve"/>
    <x v="4"/>
    <n v="3000"/>
    <n v="516.30999999999995"/>
    <n v="-2483.69"/>
    <n v="-0.82789666666666673"/>
    <x v="0"/>
    <n v="-516.30999999999995"/>
    <x v="13"/>
  </r>
  <r>
    <s v="FIN-00040"/>
    <d v="2025-11-26T00:00:00"/>
    <x v="0"/>
    <x v="2"/>
    <x v="1"/>
    <x v="3"/>
    <s v="Karachi"/>
    <s v="Cloudnet"/>
    <x v="2"/>
    <n v="1890"/>
    <n v="714.06"/>
    <n v="-1175.94"/>
    <n v="-0.62219047619047618"/>
    <x v="0"/>
    <n v="-714.06"/>
    <x v="10"/>
  </r>
  <r>
    <s v="FIN-00041"/>
    <d v="2026-01-02T00:00:00"/>
    <x v="0"/>
    <x v="6"/>
    <x v="9"/>
    <x v="3"/>
    <s v="Faisalabad"/>
    <s v="Prime Supplies"/>
    <x v="3"/>
    <n v="7621.43"/>
    <n v="7682.48"/>
    <n v="61.049999999999272"/>
    <n v="8.0103077768869189E-3"/>
    <x v="1"/>
    <n v="-7682.48"/>
    <x v="12"/>
  </r>
  <r>
    <s v="FIN-00042"/>
    <d v="2026-02-23T00:00:00"/>
    <x v="1"/>
    <x v="3"/>
    <x v="2"/>
    <x v="0"/>
    <s v="Karachi"/>
    <s v="Peoplefirst"/>
    <x v="3"/>
    <n v="12933.33"/>
    <n v="5588.91"/>
    <n v="-7344.42"/>
    <n v="-0.56786767213084333"/>
    <x v="0"/>
    <n v="5588.91"/>
    <x v="17"/>
  </r>
  <r>
    <s v="FIN-00043"/>
    <d v="2025-12-14T00:00:00"/>
    <x v="0"/>
    <x v="1"/>
    <x v="6"/>
    <x v="0"/>
    <s v="Faisalabad"/>
    <s v="Officepro"/>
    <x v="3"/>
    <n v="7875"/>
    <n v="3163.42"/>
    <n v="-4711.58"/>
    <n v="-0.59829587301587306"/>
    <x v="0"/>
    <n v="-3163.42"/>
    <x v="11"/>
  </r>
  <r>
    <s v="FIN-00044"/>
    <d v="2025-09-01T00:00:00"/>
    <x v="0"/>
    <x v="2"/>
    <x v="10"/>
    <x v="4"/>
    <s v="Islamabad"/>
    <s v="Softworks"/>
    <x v="1"/>
    <n v="5000"/>
    <n v="3601.94"/>
    <n v="-1398.06"/>
    <n v="-0.27961199999999997"/>
    <x v="0"/>
    <n v="-3601.94"/>
    <x v="8"/>
  </r>
  <r>
    <s v="FIN-00045"/>
    <d v="2025-03-12T00:00:00"/>
    <x v="0"/>
    <x v="6"/>
    <x v="4"/>
    <x v="1"/>
    <s v="Lahore"/>
    <s v="Shipfast"/>
    <x v="3"/>
    <n v="4666.67"/>
    <n v="2692.62"/>
    <n v="-1974.0500000000002"/>
    <n v="-0.42301041213541996"/>
    <x v="0"/>
    <n v="-2692.62"/>
    <x v="2"/>
  </r>
  <r>
    <s v="FIN-00046"/>
    <d v="2025-03-17T00:00:00"/>
    <x v="1"/>
    <x v="3"/>
    <x v="3"/>
    <x v="2"/>
    <s v="Faisalabad"/>
    <s v="Prime Supplies"/>
    <x v="3"/>
    <n v="8064.52"/>
    <n v="16583.439999999999"/>
    <n v="8518.9199999999983"/>
    <n v="1.0563455729541247"/>
    <x v="1"/>
    <n v="16583.439999999999"/>
    <x v="2"/>
  </r>
  <r>
    <s v="FIN-00047"/>
    <d v="2026-02-03T00:00:00"/>
    <x v="0"/>
    <x v="2"/>
    <x v="8"/>
    <x v="2"/>
    <s v="Karachi"/>
    <s v="Travellink"/>
    <x v="1"/>
    <n v="2910"/>
    <n v="3231.44"/>
    <n v="321.44000000000005"/>
    <n v="0.11046048109965638"/>
    <x v="1"/>
    <n v="-3231.44"/>
    <x v="17"/>
  </r>
  <r>
    <s v="FIN-00048"/>
    <d v="2025-02-17T00:00:00"/>
    <x v="0"/>
    <x v="0"/>
    <x v="1"/>
    <x v="0"/>
    <s v="Faisalabad"/>
    <s v="Urban Facilities"/>
    <x v="4"/>
    <n v="1940"/>
    <n v="1017.74"/>
    <n v="-922.26"/>
    <n v="-0.47539175257731958"/>
    <x v="0"/>
    <n v="-1017.74"/>
    <x v="1"/>
  </r>
  <r>
    <s v="FIN-00049"/>
    <d v="2025-03-18T00:00:00"/>
    <x v="0"/>
    <x v="1"/>
    <x v="5"/>
    <x v="1"/>
    <s v="Islamabad"/>
    <s v="Travellink"/>
    <x v="1"/>
    <n v="5000"/>
    <n v="3625.55"/>
    <n v="-1374.4499999999998"/>
    <n v="-0.27488999999999997"/>
    <x v="0"/>
    <n v="-3625.55"/>
    <x v="2"/>
  </r>
  <r>
    <s v="FIN-00050"/>
    <d v="2025-09-19T00:00:00"/>
    <x v="0"/>
    <x v="5"/>
    <x v="6"/>
    <x v="2"/>
    <s v="Lahore"/>
    <s v="Shipfast"/>
    <x v="4"/>
    <n v="7500"/>
    <n v="14996.87"/>
    <n v="7496.8700000000008"/>
    <n v="0.99958266666666673"/>
    <x v="1"/>
    <n v="-14996.87"/>
    <x v="8"/>
  </r>
  <r>
    <s v="FIN-00051"/>
    <d v="2025-01-07T00:00:00"/>
    <x v="0"/>
    <x v="4"/>
    <x v="8"/>
    <x v="0"/>
    <s v="Karachi"/>
    <s v="Powergrid"/>
    <x v="2"/>
    <n v="3637.5"/>
    <n v="7977.76"/>
    <n v="4340.26"/>
    <n v="1.1931986254295532"/>
    <x v="1"/>
    <n v="-7977.76"/>
    <x v="0"/>
  </r>
  <r>
    <s v="FIN-00052"/>
    <d v="2025-01-24T00:00:00"/>
    <x v="0"/>
    <x v="0"/>
    <x v="5"/>
    <x v="0"/>
    <s v="Karachi"/>
    <s v="Officepro"/>
    <x v="1"/>
    <n v="12610"/>
    <n v="3359.19"/>
    <n v="-9250.81"/>
    <n v="-0.73360904044409192"/>
    <x v="0"/>
    <n v="-3359.19"/>
    <x v="0"/>
  </r>
  <r>
    <s v="FIN-00053"/>
    <d v="2025-09-05T00:00:00"/>
    <x v="0"/>
    <x v="1"/>
    <x v="6"/>
    <x v="4"/>
    <s v="Karachi"/>
    <s v="Adsphere"/>
    <x v="1"/>
    <n v="7500"/>
    <n v="12087.83"/>
    <n v="4587.83"/>
    <n v="0.61171066666666662"/>
    <x v="1"/>
    <n v="-12087.83"/>
    <x v="8"/>
  </r>
  <r>
    <s v="FIN-00054"/>
    <d v="2026-03-24T00:00:00"/>
    <x v="0"/>
    <x v="1"/>
    <x v="6"/>
    <x v="1"/>
    <s v="Peshawar"/>
    <s v="Unknown"/>
    <x v="0"/>
    <n v="7200"/>
    <n v="1784.39"/>
    <n v="-5415.61"/>
    <n v="-0.75216805555555555"/>
    <x v="0"/>
    <n v="-1784.39"/>
    <x v="14"/>
  </r>
  <r>
    <s v="FIN-00055"/>
    <d v="2026-04-07T00:00:00"/>
    <x v="0"/>
    <x v="2"/>
    <x v="6"/>
    <x v="3"/>
    <s v="Faisalabad"/>
    <s v="Markethub"/>
    <x v="3"/>
    <n v="8571.43"/>
    <n v="2948.69"/>
    <n v="-5622.74"/>
    <n v="-0.655986224002296"/>
    <x v="0"/>
    <n v="-2948.69"/>
    <x v="15"/>
  </r>
  <r>
    <s v="FIN-00056"/>
    <d v="2025-02-16T00:00:00"/>
    <x v="1"/>
    <x v="3"/>
    <x v="2"/>
    <x v="3"/>
    <s v="Peshawar"/>
    <s v="Dataserve"/>
    <x v="3"/>
    <n v="4850"/>
    <n v="2238.9899999999998"/>
    <n v="-2611.0100000000002"/>
    <n v="-0.53835257731958763"/>
    <x v="0"/>
    <n v="2238.9899999999998"/>
    <x v="1"/>
  </r>
  <r>
    <s v="FIN-00057"/>
    <d v="2025-10-06T00:00:00"/>
    <x v="0"/>
    <x v="1"/>
    <x v="6"/>
    <x v="4"/>
    <s v="Karachi"/>
    <s v="Techsource"/>
    <x v="1"/>
    <n v="7826.09"/>
    <n v="13004.75"/>
    <n v="5178.66"/>
    <n v="0.66171740933211853"/>
    <x v="1"/>
    <n v="-13004.75"/>
    <x v="9"/>
  </r>
  <r>
    <s v="FIN-00058"/>
    <d v="2025-07-25T00:00:00"/>
    <x v="0"/>
    <x v="6"/>
    <x v="8"/>
    <x v="4"/>
    <s v="Peshawar"/>
    <s v="Urban Facilities"/>
    <x v="4"/>
    <n v="6000"/>
    <n v="4793.1000000000004"/>
    <n v="-1206.8999999999996"/>
    <n v="-0.20114999999999994"/>
    <x v="0"/>
    <n v="-4793.1000000000004"/>
    <x v="6"/>
  </r>
  <r>
    <s v="FIN-00059"/>
    <d v="2025-08-17T00:00:00"/>
    <x v="0"/>
    <x v="1"/>
    <x v="11"/>
    <x v="3"/>
    <s v="Karachi"/>
    <s v="Shipfast"/>
    <x v="4"/>
    <n v="3666.67"/>
    <n v="764.07"/>
    <n v="-2902.6"/>
    <n v="-0.79161746216594342"/>
    <x v="0"/>
    <n v="-764.07"/>
    <x v="7"/>
  </r>
  <r>
    <s v="FIN-00060"/>
    <d v="2025-03-12T00:00:00"/>
    <x v="1"/>
    <x v="3"/>
    <x v="3"/>
    <x v="3"/>
    <s v="Islamabad"/>
    <s v="Officepro"/>
    <x v="4"/>
    <n v="8064.52"/>
    <n v="10926.42"/>
    <n v="2861.8999999999996"/>
    <n v="0.35487542965979368"/>
    <x v="1"/>
    <n v="10926.42"/>
    <x v="2"/>
  </r>
  <r>
    <s v="FIN-00061"/>
    <d v="2025-03-25T00:00:00"/>
    <x v="1"/>
    <x v="3"/>
    <x v="12"/>
    <x v="2"/>
    <s v="Lahore"/>
    <s v="Buildcare"/>
    <x v="1"/>
    <n v="9090.91"/>
    <n v="1131.05"/>
    <n v="-7959.86"/>
    <n v="-0.87558451244154878"/>
    <x v="0"/>
    <n v="1131.05"/>
    <x v="2"/>
  </r>
  <r>
    <s v="FIN-00062"/>
    <d v="2025-02-22T00:00:00"/>
    <x v="0"/>
    <x v="6"/>
    <x v="5"/>
    <x v="2"/>
    <s v="Faisalabad"/>
    <s v="Shipfast"/>
    <x v="3"/>
    <n v="10508.33"/>
    <n v="8698.11"/>
    <n v="-1810.2199999999993"/>
    <n v="-0.1722652410040415"/>
    <x v="0"/>
    <n v="-8698.11"/>
    <x v="1"/>
  </r>
  <r>
    <s v="FIN-00063"/>
    <d v="2025-04-18T00:00:00"/>
    <x v="0"/>
    <x v="5"/>
    <x v="1"/>
    <x v="0"/>
    <s v="Peshawar"/>
    <s v="Buildcare"/>
    <x v="4"/>
    <n v="2250"/>
    <n v="1339.23"/>
    <n v="-910.77"/>
    <n v="-0.40478666666666668"/>
    <x v="0"/>
    <n v="-1339.23"/>
    <x v="3"/>
  </r>
  <r>
    <s v="FIN-00064"/>
    <d v="2026-02-05T00:00:00"/>
    <x v="0"/>
    <x v="7"/>
    <x v="9"/>
    <x v="4"/>
    <s v="Karachi"/>
    <s v="Legalworks"/>
    <x v="2"/>
    <n v="4850"/>
    <n v="4599.03"/>
    <n v="-250.97000000000025"/>
    <n v="-5.1746391752577371E-2"/>
    <x v="0"/>
    <n v="-4599.03"/>
    <x v="17"/>
  </r>
  <r>
    <s v="FIN-00065"/>
    <d v="2026-03-25T00:00:00"/>
    <x v="1"/>
    <x v="3"/>
    <x v="3"/>
    <x v="1"/>
    <s v="Karachi"/>
    <s v="Techsource"/>
    <x v="2"/>
    <n v="11363.64"/>
    <n v="8121.78"/>
    <n v="-3241.8599999999997"/>
    <n v="-0.28528358870925158"/>
    <x v="0"/>
    <n v="8121.78"/>
    <x v="14"/>
  </r>
  <r>
    <s v="FIN-00066"/>
    <d v="2026-01-21T00:00:00"/>
    <x v="0"/>
    <x v="6"/>
    <x v="6"/>
    <x v="2"/>
    <s v="Peshawar"/>
    <s v="Dataserve"/>
    <x v="2"/>
    <n v="6715.38"/>
    <n v="2858.37"/>
    <n v="-3857.01"/>
    <n v="-0.57435469027813768"/>
    <x v="0"/>
    <n v="-2858.37"/>
    <x v="12"/>
  </r>
  <r>
    <s v="FIN-00067"/>
    <d v="2025-09-03T00:00:00"/>
    <x v="1"/>
    <x v="5"/>
    <x v="12"/>
    <x v="3"/>
    <s v="Karachi"/>
    <s v="Softworks"/>
    <x v="1"/>
    <n v="7142.86"/>
    <n v="7287.23"/>
    <n v="144.36999999999989"/>
    <n v="2.0211791915283221E-2"/>
    <x v="1"/>
    <n v="7287.23"/>
    <x v="8"/>
  </r>
  <r>
    <s v="FIN-00068"/>
    <d v="2026-02-18T00:00:00"/>
    <x v="1"/>
    <x v="0"/>
    <x v="3"/>
    <x v="3"/>
    <s v="Faisalabad"/>
    <s v="Legalworks"/>
    <x v="2"/>
    <n v="12125"/>
    <n v="24732.67"/>
    <n v="12607.669999999998"/>
    <n v="1.0398078350515463"/>
    <x v="1"/>
    <n v="24732.67"/>
    <x v="17"/>
  </r>
  <r>
    <s v="FIN-00069"/>
    <d v="2025-12-22T00:00:00"/>
    <x v="0"/>
    <x v="4"/>
    <x v="1"/>
    <x v="2"/>
    <s v="Lahore"/>
    <s v="Adsphere"/>
    <x v="1"/>
    <n v="2100"/>
    <n v="1371.83"/>
    <n v="-728.17000000000007"/>
    <n v="-0.34674761904761908"/>
    <x v="0"/>
    <n v="-1371.83"/>
    <x v="11"/>
  </r>
  <r>
    <s v="FIN-00070"/>
    <d v="2025-06-17T00:00:00"/>
    <x v="0"/>
    <x v="2"/>
    <x v="6"/>
    <x v="3"/>
    <s v="Lahore"/>
    <s v="Adsphere"/>
    <x v="4"/>
    <n v="6428.57"/>
    <n v="5823.42"/>
    <n v="-605.14999999999964"/>
    <n v="-9.4134465363214473E-2"/>
    <x v="0"/>
    <n v="-5823.42"/>
    <x v="5"/>
  </r>
  <r>
    <s v="FIN-00071"/>
    <d v="2025-01-08T00:00:00"/>
    <x v="1"/>
    <x v="2"/>
    <x v="2"/>
    <x v="3"/>
    <s v="Faisalabad"/>
    <s v="Officepro"/>
    <x v="1"/>
    <n v="11085.71"/>
    <n v="5228.28"/>
    <n v="-5857.4299999999994"/>
    <n v="-0.52837662179508571"/>
    <x v="0"/>
    <n v="5228.28"/>
    <x v="0"/>
  </r>
  <r>
    <s v="FIN-00072"/>
    <d v="2026-01-31T00:00:00"/>
    <x v="0"/>
    <x v="1"/>
    <x v="9"/>
    <x v="1"/>
    <s v="Multan"/>
    <s v="Travellink"/>
    <x v="4"/>
    <n v="7621.43"/>
    <n v="4498.38"/>
    <n v="-3123.05"/>
    <n v="-0.40977218186088438"/>
    <x v="0"/>
    <n v="-4498.38"/>
    <x v="12"/>
  </r>
  <r>
    <s v="FIN-00073"/>
    <d v="2025-08-24T00:00:00"/>
    <x v="0"/>
    <x v="2"/>
    <x v="0"/>
    <x v="3"/>
    <s v="Karachi"/>
    <s v="Prime Supplies"/>
    <x v="4"/>
    <n v="2285.71"/>
    <n v="3566.9"/>
    <n v="1281.19"/>
    <n v="0.56052167597814251"/>
    <x v="1"/>
    <n v="-3566.9"/>
    <x v="7"/>
  </r>
  <r>
    <s v="FIN-00074"/>
    <d v="2026-06-30T00:00:00"/>
    <x v="0"/>
    <x v="2"/>
    <x v="6"/>
    <x v="4"/>
    <s v="Peshawar"/>
    <s v="Prime Supplies"/>
    <x v="4"/>
    <n v="8571.43"/>
    <n v="4095.57"/>
    <n v="-4475.8600000000006"/>
    <n v="-0.52218357963607009"/>
    <x v="0"/>
    <n v="-4095.57"/>
    <x v="13"/>
  </r>
  <r>
    <s v="FIN-00075"/>
    <d v="2025-08-18T00:00:00"/>
    <x v="0"/>
    <x v="2"/>
    <x v="6"/>
    <x v="3"/>
    <s v="Peshawar"/>
    <s v="Powergrid"/>
    <x v="3"/>
    <n v="8181.82"/>
    <n v="12892.18"/>
    <n v="4710.3600000000006"/>
    <n v="0.57571053873099154"/>
    <x v="1"/>
    <n v="-12892.18"/>
    <x v="7"/>
  </r>
  <r>
    <s v="FIN-00076"/>
    <d v="2026-04-25T00:00:00"/>
    <x v="0"/>
    <x v="0"/>
    <x v="0"/>
    <x v="1"/>
    <s v="Multan"/>
    <s v="Legalworks"/>
    <x v="1"/>
    <n v="5333.33"/>
    <n v="6748"/>
    <n v="1414.67"/>
    <n v="0.26525079078174424"/>
    <x v="1"/>
    <n v="-6748"/>
    <x v="15"/>
  </r>
  <r>
    <s v="FIN-00077"/>
    <d v="2025-10-04T00:00:00"/>
    <x v="0"/>
    <x v="0"/>
    <x v="7"/>
    <x v="0"/>
    <s v="Karachi"/>
    <s v="Markethub"/>
    <x v="0"/>
    <n v="3500"/>
    <n v="4852.09"/>
    <n v="1352.0900000000001"/>
    <n v="0.38631142857142864"/>
    <x v="1"/>
    <n v="-4852.09"/>
    <x v="9"/>
  </r>
  <r>
    <s v="FIN-00078"/>
    <d v="2026-06-14T00:00:00"/>
    <x v="1"/>
    <x v="3"/>
    <x v="3"/>
    <x v="3"/>
    <s v="Peshawar"/>
    <s v="Softworks"/>
    <x v="4"/>
    <n v="10000"/>
    <n v="19522.64"/>
    <n v="9522.64"/>
    <n v="0.95226399999999989"/>
    <x v="1"/>
    <n v="19522.64"/>
    <x v="13"/>
  </r>
  <r>
    <s v="FIN-00079"/>
    <d v="2025-06-27T00:00:00"/>
    <x v="0"/>
    <x v="4"/>
    <x v="8"/>
    <x v="1"/>
    <s v="Peshawar"/>
    <s v="Urban Facilities"/>
    <x v="2"/>
    <n v="5000"/>
    <n v="4665.96"/>
    <n v="-334.03999999999996"/>
    <n v="-6.6807999999999992E-2"/>
    <x v="0"/>
    <n v="-4665.96"/>
    <x v="5"/>
  </r>
  <r>
    <s v="FIN-00080"/>
    <d v="2025-05-11T00:00:00"/>
    <x v="0"/>
    <x v="4"/>
    <x v="6"/>
    <x v="1"/>
    <s v="Faisalabad"/>
    <s v="Techsource"/>
    <x v="2"/>
    <n v="7200"/>
    <n v="12415.26"/>
    <n v="5215.26"/>
    <n v="0.72434166666666666"/>
    <x v="1"/>
    <n v="-12415.26"/>
    <x v="4"/>
  </r>
  <r>
    <s v="FIN-00081"/>
    <d v="2026-02-08T00:00:00"/>
    <x v="0"/>
    <x v="2"/>
    <x v="6"/>
    <x v="1"/>
    <s v="Karachi"/>
    <s v="Softworks"/>
    <x v="4"/>
    <n v="9189.4699999999993"/>
    <n v="11496.64"/>
    <n v="2307.17"/>
    <n v="0.2510667100496547"/>
    <x v="1"/>
    <n v="-11496.64"/>
    <x v="17"/>
  </r>
  <r>
    <s v="FIN-00082"/>
    <d v="2025-05-24T00:00:00"/>
    <x v="1"/>
    <x v="1"/>
    <x v="3"/>
    <x v="4"/>
    <s v="Multan"/>
    <s v="Markethub"/>
    <x v="4"/>
    <n v="9615.3799999999992"/>
    <n v="16921.68"/>
    <n v="7306.3000000000011"/>
    <n v="0.75985556473067128"/>
    <x v="1"/>
    <n v="16921.68"/>
    <x v="4"/>
  </r>
  <r>
    <s v="FIN-00083"/>
    <d v="2026-03-02T00:00:00"/>
    <x v="1"/>
    <x v="3"/>
    <x v="12"/>
    <x v="0"/>
    <s v="Karachi"/>
    <s v="Dataserve"/>
    <x v="1"/>
    <n v="10000"/>
    <n v="5309.44"/>
    <n v="-4690.5600000000004"/>
    <n v="-0.46905600000000003"/>
    <x v="0"/>
    <n v="5309.44"/>
    <x v="14"/>
  </r>
  <r>
    <s v="FIN-00084"/>
    <d v="2026-01-04T00:00:00"/>
    <x v="0"/>
    <x v="1"/>
    <x v="8"/>
    <x v="2"/>
    <s v="Karachi"/>
    <s v="Travellink"/>
    <x v="3"/>
    <n v="3637.5"/>
    <n v="2722.72"/>
    <n v="-914.7800000000002"/>
    <n v="-0.25148591065292103"/>
    <x v="0"/>
    <n v="-2722.72"/>
    <x v="12"/>
  </r>
  <r>
    <s v="FIN-00085"/>
    <d v="2025-04-12T00:00:00"/>
    <x v="0"/>
    <x v="2"/>
    <x v="11"/>
    <x v="3"/>
    <s v="Karachi"/>
    <s v="Urban Facilities"/>
    <x v="4"/>
    <n v="2750"/>
    <n v="3678.14"/>
    <n v="928.13999999999987"/>
    <n v="0.3375054545454545"/>
    <x v="1"/>
    <n v="-3678.14"/>
    <x v="3"/>
  </r>
  <r>
    <s v="FIN-00086"/>
    <d v="2025-02-15T00:00:00"/>
    <x v="1"/>
    <x v="3"/>
    <x v="3"/>
    <x v="2"/>
    <s v="Lahore"/>
    <s v="Officepro"/>
    <x v="2"/>
    <n v="13472.22"/>
    <n v="16009.69"/>
    <n v="2537.4700000000012"/>
    <n v="0.188348319727558"/>
    <x v="1"/>
    <n v="16009.69"/>
    <x v="1"/>
  </r>
  <r>
    <s v="FIN-00087"/>
    <d v="2026-06-10T00:00:00"/>
    <x v="0"/>
    <x v="1"/>
    <x v="9"/>
    <x v="2"/>
    <s v="Multan"/>
    <s v="Softworks"/>
    <x v="4"/>
    <n v="3666.67"/>
    <n v="2345.34"/>
    <n v="-1321.33"/>
    <n v="-0.36036239967054573"/>
    <x v="0"/>
    <n v="-2345.34"/>
    <x v="13"/>
  </r>
  <r>
    <s v="FIN-00088"/>
    <d v="2026-06-22T00:00:00"/>
    <x v="0"/>
    <x v="2"/>
    <x v="11"/>
    <x v="2"/>
    <s v="Karachi"/>
    <s v="Softworks"/>
    <x v="2"/>
    <n v="3142.86"/>
    <n v="1117.21"/>
    <n v="-2025.65"/>
    <n v="-0.64452441406871452"/>
    <x v="0"/>
    <n v="-1117.21"/>
    <x v="13"/>
  </r>
  <r>
    <s v="FIN-00089"/>
    <d v="2025-01-01T00:00:00"/>
    <x v="0"/>
    <x v="1"/>
    <x v="8"/>
    <x v="3"/>
    <s v="Peshawar"/>
    <s v="Powergrid"/>
    <x v="3"/>
    <n v="3637.5"/>
    <n v="3787.9"/>
    <n v="150.40000000000009"/>
    <n v="4.1347079037800709E-2"/>
    <x v="1"/>
    <n v="-3787.9"/>
    <x v="0"/>
  </r>
  <r>
    <s v="FIN-00090"/>
    <d v="2025-05-20T00:00:00"/>
    <x v="0"/>
    <x v="4"/>
    <x v="8"/>
    <x v="4"/>
    <s v="Islamabad"/>
    <s v="Dataserve"/>
    <x v="2"/>
    <n v="2307.69"/>
    <n v="4716.28"/>
    <n v="2408.5899999999997"/>
    <n v="1.0437233770567103"/>
    <x v="1"/>
    <n v="-4716.28"/>
    <x v="4"/>
  </r>
  <r>
    <s v="FIN-00091"/>
    <d v="2026-03-02T00:00:00"/>
    <x v="0"/>
    <x v="1"/>
    <x v="6"/>
    <x v="4"/>
    <s v="Karachi"/>
    <s v="Legalworks"/>
    <x v="1"/>
    <n v="7200"/>
    <n v="2571.65"/>
    <n v="-4628.3500000000004"/>
    <n v="-0.64282638888888899"/>
    <x v="0"/>
    <n v="-2571.65"/>
    <x v="14"/>
  </r>
  <r>
    <s v="FIN-00092"/>
    <d v="2026-06-22T00:00:00"/>
    <x v="0"/>
    <x v="3"/>
    <x v="9"/>
    <x v="2"/>
    <s v="Karachi"/>
    <s v="Buildcare"/>
    <x v="3"/>
    <n v="3666.67"/>
    <n v="1270.92"/>
    <n v="-2395.75"/>
    <n v="-0.65338576964930029"/>
    <x v="0"/>
    <n v="-1270.92"/>
    <x v="13"/>
  </r>
  <r>
    <s v="FIN-00093"/>
    <d v="2025-09-03T00:00:00"/>
    <x v="1"/>
    <x v="3"/>
    <x v="3"/>
    <x v="4"/>
    <s v="Multan"/>
    <s v="Cloudnet"/>
    <x v="1"/>
    <n v="11904.76"/>
    <n v="440.85"/>
    <n v="-11463.91"/>
    <n v="-0.96296859407497504"/>
    <x v="0"/>
    <n v="440.85"/>
    <x v="8"/>
  </r>
  <r>
    <s v="FIN-00094"/>
    <d v="2025-03-02T00:00:00"/>
    <x v="0"/>
    <x v="5"/>
    <x v="9"/>
    <x v="1"/>
    <s v="Karachi"/>
    <s v="Legalworks"/>
    <x v="4"/>
    <n v="3928.57"/>
    <n v="7091.06"/>
    <n v="3162.4900000000002"/>
    <n v="0.80499774727190809"/>
    <x v="1"/>
    <n v="-7091.06"/>
    <x v="2"/>
  </r>
  <r>
    <s v="FIN-00095"/>
    <d v="2025-11-23T00:00:00"/>
    <x v="0"/>
    <x v="2"/>
    <x v="5"/>
    <x v="0"/>
    <s v="Karachi"/>
    <s v="Cloudnet"/>
    <x v="4"/>
    <n v="17062.5"/>
    <n v="5641.99"/>
    <n v="-11420.51"/>
    <n v="-0.6693339194139194"/>
    <x v="0"/>
    <n v="-5641.99"/>
    <x v="10"/>
  </r>
  <r>
    <s v="FIN-00096"/>
    <d v="2026-04-17T00:00:00"/>
    <x v="1"/>
    <x v="3"/>
    <x v="3"/>
    <x v="4"/>
    <s v="Karachi"/>
    <s v="Markethub"/>
    <x v="1"/>
    <n v="0"/>
    <n v="23003.05"/>
    <n v="23003.05"/>
    <n v="0"/>
    <x v="2"/>
    <n v="23003.05"/>
    <x v="15"/>
  </r>
  <r>
    <s v="FIN-00097"/>
    <d v="2025-03-25T00:00:00"/>
    <x v="0"/>
    <x v="6"/>
    <x v="6"/>
    <x v="1"/>
    <s v="Karachi"/>
    <s v="Officepro"/>
    <x v="2"/>
    <n v="6000"/>
    <n v="10951.36"/>
    <n v="4951.3600000000006"/>
    <n v="0.82522666666666677"/>
    <x v="1"/>
    <n v="-10951.36"/>
    <x v="2"/>
  </r>
  <r>
    <s v="FIN-00098"/>
    <d v="2025-10-19T00:00:00"/>
    <x v="1"/>
    <x v="0"/>
    <x v="2"/>
    <x v="0"/>
    <s v="Lahore"/>
    <s v="Peoplefirst"/>
    <x v="3"/>
    <n v="4705.88"/>
    <n v="2108.6799999999998"/>
    <n v="-2597.2000000000003"/>
    <n v="-0.55190527595263805"/>
    <x v="0"/>
    <n v="2108.6799999999998"/>
    <x v="9"/>
  </r>
  <r>
    <s v="FIN-00099"/>
    <d v="2026-05-12T00:00:00"/>
    <x v="0"/>
    <x v="2"/>
    <x v="8"/>
    <x v="3"/>
    <s v="Karachi"/>
    <s v="Urban Facilities"/>
    <x v="4"/>
    <n v="2727.27"/>
    <n v="6494.1"/>
    <n v="3766.8300000000004"/>
    <n v="1.3811723811723813"/>
    <x v="1"/>
    <n v="-6494.1"/>
    <x v="16"/>
  </r>
  <r>
    <s v="FIN-00100"/>
    <d v="2025-12-14T00:00:00"/>
    <x v="1"/>
    <x v="3"/>
    <x v="3"/>
    <x v="4"/>
    <s v="Islamabad"/>
    <s v="Powergrid"/>
    <x v="3"/>
    <n v="15441.18"/>
    <n v="868.24"/>
    <n v="-14572.94"/>
    <n v="-0.94377113666183543"/>
    <x v="0"/>
    <n v="868.24"/>
    <x v="11"/>
  </r>
  <r>
    <s v="FIN-00101"/>
    <d v="2025-06-14T00:00:00"/>
    <x v="1"/>
    <x v="4"/>
    <x v="2"/>
    <x v="4"/>
    <s v="Islamabad"/>
    <s v="Softworks"/>
    <x v="1"/>
    <n v="5333.33"/>
    <n v="1095.6099999999999"/>
    <n v="-4237.72"/>
    <n v="-0.79457299660812297"/>
    <x v="0"/>
    <n v="1095.6099999999999"/>
    <x v="5"/>
  </r>
  <r>
    <s v="FIN-00102"/>
    <d v="2026-03-10T00:00:00"/>
    <x v="0"/>
    <x v="3"/>
    <x v="6"/>
    <x v="3"/>
    <s v="Karachi"/>
    <s v="Legalworks"/>
    <x v="2"/>
    <n v="7200"/>
    <n v="17881.05"/>
    <n v="10681.05"/>
    <n v="1.4834791666666665"/>
    <x v="1"/>
    <n v="-17881.05"/>
    <x v="14"/>
  </r>
  <r>
    <s v="FIN-00103"/>
    <d v="2025-02-19T00:00:00"/>
    <x v="0"/>
    <x v="7"/>
    <x v="11"/>
    <x v="3"/>
    <s v="Karachi"/>
    <s v="Prime Supplies"/>
    <x v="3"/>
    <n v="5335"/>
    <n v="391.97"/>
    <n v="-4943.03"/>
    <n v="-0.92652858481724454"/>
    <x v="0"/>
    <n v="-391.97"/>
    <x v="1"/>
  </r>
  <r>
    <s v="FIN-00104"/>
    <d v="2026-06-18T00:00:00"/>
    <x v="1"/>
    <x v="3"/>
    <x v="12"/>
    <x v="4"/>
    <s v="Islamabad"/>
    <s v="Dataserve"/>
    <x v="3"/>
    <n v="4761.8999999999996"/>
    <n v="15793.05"/>
    <n v="11031.15"/>
    <n v="2.3165438165438168"/>
    <x v="1"/>
    <n v="15793.05"/>
    <x v="13"/>
  </r>
  <r>
    <s v="FIN-00105"/>
    <d v="2025-10-14T00:00:00"/>
    <x v="0"/>
    <x v="6"/>
    <x v="5"/>
    <x v="0"/>
    <s v="Karachi"/>
    <s v="Travellink"/>
    <x v="4"/>
    <n v="9285.7099999999991"/>
    <n v="9705.01"/>
    <n v="419.30000000000109"/>
    <n v="4.5155405456341099E-2"/>
    <x v="1"/>
    <n v="-9705.01"/>
    <x v="9"/>
  </r>
  <r>
    <s v="FIN-00106"/>
    <d v="2026-05-30T00:00:00"/>
    <x v="0"/>
    <x v="5"/>
    <x v="7"/>
    <x v="0"/>
    <s v="Karachi"/>
    <s v="Techsource"/>
    <x v="3"/>
    <n v="2692.31"/>
    <n v="560.95000000000005"/>
    <n v="-2131.3599999999997"/>
    <n v="-0.79164732144515293"/>
    <x v="0"/>
    <n v="-560.95000000000005"/>
    <x v="16"/>
  </r>
  <r>
    <s v="FIN-00107"/>
    <d v="2025-09-13T00:00:00"/>
    <x v="0"/>
    <x v="4"/>
    <x v="6"/>
    <x v="0"/>
    <s v="Karachi"/>
    <s v="Adsphere"/>
    <x v="4"/>
    <n v="7500"/>
    <n v="15574.51"/>
    <n v="8074.51"/>
    <n v="1.0766013333333333"/>
    <x v="1"/>
    <n v="-15574.51"/>
    <x v="8"/>
  </r>
  <r>
    <s v="FIN-00108"/>
    <d v="2026-04-26T00:00:00"/>
    <x v="0"/>
    <x v="5"/>
    <x v="1"/>
    <x v="1"/>
    <s v="Faisalabad"/>
    <s v="Softworks"/>
    <x v="3"/>
    <n v="2250"/>
    <n v="1348"/>
    <n v="-902"/>
    <n v="-0.40088888888888891"/>
    <x v="0"/>
    <n v="-1348"/>
    <x v="15"/>
  </r>
  <r>
    <s v="FIN-00109"/>
    <d v="2025-08-31T00:00:00"/>
    <x v="0"/>
    <x v="1"/>
    <x v="0"/>
    <x v="4"/>
    <s v="Faisalabad"/>
    <s v="Officepro"/>
    <x v="1"/>
    <n v="2285.71"/>
    <n v="834.06"/>
    <n v="-1451.65"/>
    <n v="-0.6350980658088734"/>
    <x v="0"/>
    <n v="-834.06"/>
    <x v="7"/>
  </r>
  <r>
    <s v="FIN-00110"/>
    <d v="2025-04-25T00:00:00"/>
    <x v="0"/>
    <x v="1"/>
    <x v="5"/>
    <x v="2"/>
    <s v="Islamabad"/>
    <s v="Urban Facilities"/>
    <x v="3"/>
    <n v="5416.67"/>
    <n v="6248.98"/>
    <n v="832.30999999999949"/>
    <n v="0.153657136210993"/>
    <x v="1"/>
    <n v="-6248.98"/>
    <x v="3"/>
  </r>
  <r>
    <s v="FIN-00111"/>
    <d v="2025-07-30T00:00:00"/>
    <x v="0"/>
    <x v="5"/>
    <x v="10"/>
    <x v="2"/>
    <s v="Karachi"/>
    <s v="Buildcare"/>
    <x v="1"/>
    <n v="3333.33"/>
    <n v="1300.94"/>
    <n v="-2032.3899999999999"/>
    <n v="-0.60971760971760969"/>
    <x v="0"/>
    <n v="-1300.94"/>
    <x v="6"/>
  </r>
  <r>
    <s v="FIN-00112"/>
    <d v="2025-07-01T00:00:00"/>
    <x v="0"/>
    <x v="1"/>
    <x v="9"/>
    <x v="4"/>
    <s v="Faisalabad"/>
    <s v="Adsphere"/>
    <x v="2"/>
    <n v="3437.5"/>
    <n v="2419.29"/>
    <n v="-1018.21"/>
    <n v="-0.29620654545454544"/>
    <x v="0"/>
    <n v="-2419.29"/>
    <x v="6"/>
  </r>
  <r>
    <s v="FIN-00113"/>
    <d v="2025-07-07T00:00:00"/>
    <x v="1"/>
    <x v="4"/>
    <x v="3"/>
    <x v="4"/>
    <s v="Karachi"/>
    <s v="Powergrid"/>
    <x v="4"/>
    <n v="12500"/>
    <n v="11923.05"/>
    <n v="-576.95000000000073"/>
    <n v="-4.6156000000000058E-2"/>
    <x v="0"/>
    <n v="11923.05"/>
    <x v="6"/>
  </r>
  <r>
    <s v="FIN-00114"/>
    <d v="2025-02-19T00:00:00"/>
    <x v="0"/>
    <x v="4"/>
    <x v="4"/>
    <x v="2"/>
    <s v="Faisalabad"/>
    <s v="Urban Facilities"/>
    <x v="2"/>
    <n v="6790"/>
    <n v="0"/>
    <n v="-6790"/>
    <n v="-1"/>
    <x v="0"/>
    <n v="0"/>
    <x v="1"/>
  </r>
  <r>
    <s v="FIN-00115"/>
    <d v="2026-02-26T00:00:00"/>
    <x v="0"/>
    <x v="1"/>
    <x v="10"/>
    <x v="4"/>
    <s v="Karachi"/>
    <s v="Prime Supplies"/>
    <x v="3"/>
    <n v="9700"/>
    <n v="570.16"/>
    <n v="-9129.84"/>
    <n v="-0.94122061855670103"/>
    <x v="0"/>
    <n v="-570.16"/>
    <x v="17"/>
  </r>
  <r>
    <s v="FIN-00116"/>
    <d v="2025-08-21T00:00:00"/>
    <x v="0"/>
    <x v="6"/>
    <x v="11"/>
    <x v="4"/>
    <s v="Karachi"/>
    <s v="Officepro"/>
    <x v="2"/>
    <n v="3666.67"/>
    <n v="828.18"/>
    <n v="-2838.4900000000002"/>
    <n v="-0.77413293260642491"/>
    <x v="0"/>
    <n v="-828.18"/>
    <x v="7"/>
  </r>
  <r>
    <s v="FIN-00117"/>
    <d v="2025-07-24T00:00:00"/>
    <x v="0"/>
    <x v="2"/>
    <x v="9"/>
    <x v="1"/>
    <s v="Faisalabad"/>
    <s v="Shipfast"/>
    <x v="1"/>
    <n v="3437.5"/>
    <n v="3822.24"/>
    <n v="384.73999999999978"/>
    <n v="0.11192436363636357"/>
    <x v="1"/>
    <n v="-3822.24"/>
    <x v="6"/>
  </r>
  <r>
    <s v="FIN-00118"/>
    <d v="2025-11-26T00:00:00"/>
    <x v="1"/>
    <x v="3"/>
    <x v="2"/>
    <x v="1"/>
    <s v="Karachi"/>
    <s v="Urban Facilities"/>
    <x v="4"/>
    <n v="8400"/>
    <n v="2189.86"/>
    <n v="-6210.1399999999994"/>
    <n v="-0.73930238095238088"/>
    <x v="0"/>
    <n v="2189.86"/>
    <x v="10"/>
  </r>
  <r>
    <s v="FIN-00119"/>
    <d v="2025-02-03T00:00:00"/>
    <x v="1"/>
    <x v="0"/>
    <x v="12"/>
    <x v="2"/>
    <s v="Lahore"/>
    <s v="Buildcare"/>
    <x v="1"/>
    <n v="13857.14"/>
    <n v="15805.06"/>
    <n v="1947.92"/>
    <n v="0.14057157537558257"/>
    <x v="1"/>
    <n v="15805.06"/>
    <x v="1"/>
  </r>
  <r>
    <s v="FIN-00120"/>
    <d v="2025-07-01T00:00:00"/>
    <x v="1"/>
    <x v="0"/>
    <x v="13"/>
    <x v="3"/>
    <s v="Lahore"/>
    <s v="Cloudnet"/>
    <x v="4"/>
    <n v="4000"/>
    <n v="3909.06"/>
    <n v="-90.940000000000055"/>
    <n v="-2.2735000000000012E-2"/>
    <x v="0"/>
    <n v="3909.06"/>
    <x v="6"/>
  </r>
  <r>
    <s v="FIN-00121"/>
    <d v="2025-08-03T00:00:00"/>
    <x v="0"/>
    <x v="4"/>
    <x v="6"/>
    <x v="3"/>
    <s v="Peshawar"/>
    <s v="Shipfast"/>
    <x v="1"/>
    <n v="8181.82"/>
    <n v="17178.7"/>
    <n v="8996.880000000001"/>
    <n v="1.0996184223070173"/>
    <x v="1"/>
    <n v="-17178.7"/>
    <x v="7"/>
  </r>
  <r>
    <s v="FIN-00122"/>
    <d v="2025-07-23T00:00:00"/>
    <x v="1"/>
    <x v="3"/>
    <x v="3"/>
    <x v="0"/>
    <s v="Karachi"/>
    <s v="Shipfast"/>
    <x v="3"/>
    <n v="12500"/>
    <n v="3326.25"/>
    <n v="-9173.75"/>
    <n v="-0.7339"/>
    <x v="0"/>
    <n v="3326.25"/>
    <x v="6"/>
  </r>
  <r>
    <s v="FIN-00123"/>
    <d v="2025-02-09T00:00:00"/>
    <x v="0"/>
    <x v="4"/>
    <x v="7"/>
    <x v="1"/>
    <s v="Faisalabad"/>
    <s v="Buildcare"/>
    <x v="4"/>
    <n v="11316.67"/>
    <n v="4944.16"/>
    <n v="-6372.51"/>
    <n v="-0.5631082288341005"/>
    <x v="0"/>
    <n v="-4944.16"/>
    <x v="1"/>
  </r>
  <r>
    <s v="FIN-00124"/>
    <d v="2026-04-04T00:00:00"/>
    <x v="0"/>
    <x v="3"/>
    <x v="9"/>
    <x v="1"/>
    <s v="Islamabad"/>
    <s v="Adsphere"/>
    <x v="0"/>
    <n v="9166.67"/>
    <n v="3278.91"/>
    <n v="-5887.76"/>
    <n v="-0.64230085734514275"/>
    <x v="0"/>
    <n v="-3278.91"/>
    <x v="15"/>
  </r>
  <r>
    <s v="FIN-00125"/>
    <d v="2025-12-14T00:00:00"/>
    <x v="1"/>
    <x v="3"/>
    <x v="2"/>
    <x v="4"/>
    <s v="Peshawar"/>
    <s v="Softworks"/>
    <x v="1"/>
    <n v="9333.33"/>
    <n v="5148.21"/>
    <n v="-4185.12"/>
    <n v="-0.44840587443066943"/>
    <x v="0"/>
    <n v="5148.21"/>
    <x v="11"/>
  </r>
  <r>
    <s v="FIN-00126"/>
    <d v="2026-04-25T00:00:00"/>
    <x v="0"/>
    <x v="4"/>
    <x v="6"/>
    <x v="2"/>
    <s v="Peshawar"/>
    <s v="Techsource"/>
    <x v="4"/>
    <n v="8571.43"/>
    <n v="11675.26"/>
    <n v="3103.83"/>
    <n v="0.36211343964776005"/>
    <x v="1"/>
    <n v="-11675.26"/>
    <x v="15"/>
  </r>
  <r>
    <s v="FIN-00127"/>
    <d v="2025-08-15T00:00:00"/>
    <x v="0"/>
    <x v="6"/>
    <x v="11"/>
    <x v="0"/>
    <s v="Karachi"/>
    <s v="Markethub"/>
    <x v="1"/>
    <n v="3666.67"/>
    <n v="1996.58"/>
    <n v="-1670.0900000000001"/>
    <n v="-0.45547867683756654"/>
    <x v="0"/>
    <n v="-1996.58"/>
    <x v="7"/>
  </r>
  <r>
    <s v="FIN-00128"/>
    <d v="2025-02-19T00:00:00"/>
    <x v="0"/>
    <x v="5"/>
    <x v="6"/>
    <x v="1"/>
    <s v="Peshawar"/>
    <s v="Markethub"/>
    <x v="3"/>
    <n v="11640"/>
    <n v="16150.79"/>
    <n v="4510.7900000000009"/>
    <n v="0.38752491408934714"/>
    <x v="1"/>
    <n v="-16150.79"/>
    <x v="1"/>
  </r>
  <r>
    <s v="FIN-00129"/>
    <d v="2026-02-15T00:00:00"/>
    <x v="1"/>
    <x v="3"/>
    <x v="13"/>
    <x v="2"/>
    <s v="Lahore"/>
    <s v="Peoplefirst"/>
    <x v="0"/>
    <n v="3880"/>
    <n v="3718.7"/>
    <n v="-161.30000000000018"/>
    <n v="-4.1572164948453658E-2"/>
    <x v="0"/>
    <n v="3718.7"/>
    <x v="17"/>
  </r>
  <r>
    <s v="FIN-00130"/>
    <d v="2025-11-18T00:00:00"/>
    <x v="0"/>
    <x v="6"/>
    <x v="1"/>
    <x v="2"/>
    <s v="Lahore"/>
    <s v="Legalworks"/>
    <x v="1"/>
    <n v="1890"/>
    <n v="649.13"/>
    <n v="-1240.8699999999999"/>
    <n v="-0.65654497354497354"/>
    <x v="0"/>
    <n v="-649.13"/>
    <x v="10"/>
  </r>
  <r>
    <s v="FIN-00131"/>
    <d v="2026-03-28T00:00:00"/>
    <x v="0"/>
    <x v="0"/>
    <x v="11"/>
    <x v="2"/>
    <s v="Karachi"/>
    <s v="Officepro"/>
    <x v="0"/>
    <n v="1833.33"/>
    <n v="275.11"/>
    <n v="-1558.2199999999998"/>
    <n v="-0.84993972716314026"/>
    <x v="0"/>
    <n v="-275.11"/>
    <x v="14"/>
  </r>
  <r>
    <s v="FIN-00132"/>
    <d v="2026-05-29T00:00:00"/>
    <x v="1"/>
    <x v="3"/>
    <x v="12"/>
    <x v="4"/>
    <s v="Karachi"/>
    <s v="Dataserve"/>
    <x v="3"/>
    <n v="5882.35"/>
    <n v="5315.17"/>
    <n v="-567.18000000000029"/>
    <n v="-9.6420648210324145E-2"/>
    <x v="0"/>
    <n v="5315.17"/>
    <x v="16"/>
  </r>
  <r>
    <s v="FIN-00133"/>
    <d v="2026-05-15T00:00:00"/>
    <x v="1"/>
    <x v="5"/>
    <x v="12"/>
    <x v="3"/>
    <s v="Karachi"/>
    <s v="Prime Supplies"/>
    <x v="3"/>
    <n v="5882.35"/>
    <n v="17176.14"/>
    <n v="11293.789999999999"/>
    <n v="1.9199452599726297"/>
    <x v="1"/>
    <n v="17176.14"/>
    <x v="16"/>
  </r>
  <r>
    <s v="FIN-00134"/>
    <d v="2025-02-05T00:00:00"/>
    <x v="0"/>
    <x v="0"/>
    <x v="1"/>
    <x v="2"/>
    <s v="Multan"/>
    <s v="Powergrid"/>
    <x v="3"/>
    <n v="1940"/>
    <n v="90.65"/>
    <n v="-1849.35"/>
    <n v="-0.95327319587628856"/>
    <x v="0"/>
    <n v="-90.65"/>
    <x v="1"/>
  </r>
  <r>
    <s v="FIN-00135"/>
    <d v="2025-07-17T00:00:00"/>
    <x v="0"/>
    <x v="2"/>
    <x v="0"/>
    <x v="3"/>
    <s v="Islamabad"/>
    <s v="Buildcare"/>
    <x v="4"/>
    <n v="4000"/>
    <n v="3880.16"/>
    <n v="-119.84000000000015"/>
    <n v="-2.9960000000000035E-2"/>
    <x v="0"/>
    <n v="-3880.16"/>
    <x v="6"/>
  </r>
  <r>
    <s v="FIN-00136"/>
    <d v="2026-03-18T00:00:00"/>
    <x v="0"/>
    <x v="1"/>
    <x v="10"/>
    <x v="1"/>
    <s v="Faisalabad"/>
    <s v="Cloudnet"/>
    <x v="0"/>
    <n v="5000"/>
    <n v="5872.5"/>
    <n v="872.5"/>
    <n v="0.17449999999999999"/>
    <x v="1"/>
    <n v="-5872.5"/>
    <x v="14"/>
  </r>
  <r>
    <s v="FIN-00137"/>
    <d v="2025-02-27T00:00:00"/>
    <x v="0"/>
    <x v="6"/>
    <x v="6"/>
    <x v="4"/>
    <s v="Lahore"/>
    <s v="Legalworks"/>
    <x v="4"/>
    <n v="11640"/>
    <n v="5776.31"/>
    <n v="-5863.69"/>
    <n v="-0.50375343642611681"/>
    <x v="0"/>
    <n v="-5776.31"/>
    <x v="1"/>
  </r>
  <r>
    <s v="FIN-00138"/>
    <d v="2025-06-06T00:00:00"/>
    <x v="0"/>
    <x v="4"/>
    <x v="0"/>
    <x v="2"/>
    <s v="Faisalabad"/>
    <s v="Cloudnet"/>
    <x v="2"/>
    <n v="4571.43"/>
    <n v="201.42"/>
    <n v="-4370.01"/>
    <n v="-0.95593938876894102"/>
    <x v="0"/>
    <n v="-201.42"/>
    <x v="5"/>
  </r>
  <r>
    <s v="FIN-00139"/>
    <d v="2025-05-09T00:00:00"/>
    <x v="0"/>
    <x v="2"/>
    <x v="6"/>
    <x v="4"/>
    <s v="Karachi"/>
    <s v="Adsphere"/>
    <x v="4"/>
    <n v="7200"/>
    <n v="17976.080000000002"/>
    <n v="10776.080000000002"/>
    <n v="1.496677777777778"/>
    <x v="1"/>
    <n v="-17976.080000000002"/>
    <x v="4"/>
  </r>
  <r>
    <s v="FIN-00140"/>
    <d v="2025-08-07T00:00:00"/>
    <x v="0"/>
    <x v="4"/>
    <x v="10"/>
    <x v="1"/>
    <s v="Karachi"/>
    <s v="Peoplefirst"/>
    <x v="2"/>
    <n v="5714.29"/>
    <n v="957.29"/>
    <n v="-4757"/>
    <n v="-0.83247437564421822"/>
    <x v="0"/>
    <n v="-957.29"/>
    <x v="7"/>
  </r>
  <r>
    <s v="FIN-00141"/>
    <d v="2025-05-03T00:00:00"/>
    <x v="1"/>
    <x v="3"/>
    <x v="2"/>
    <x v="3"/>
    <s v="Lahore"/>
    <s v="Peoplefirst"/>
    <x v="3"/>
    <n v="10000"/>
    <n v="3445.61"/>
    <n v="-6554.3899999999994"/>
    <n v="-0.65543899999999999"/>
    <x v="0"/>
    <n v="3445.61"/>
    <x v="4"/>
  </r>
  <r>
    <s v="FIN-00142"/>
    <d v="2026-03-11T00:00:00"/>
    <x v="0"/>
    <x v="5"/>
    <x v="10"/>
    <x v="1"/>
    <s v="Peshawar"/>
    <s v="Peoplefirst"/>
    <x v="4"/>
    <n v="5000"/>
    <n v="706.91"/>
    <n v="-4293.09"/>
    <n v="-0.85861799999999999"/>
    <x v="0"/>
    <n v="-706.91"/>
    <x v="14"/>
  </r>
  <r>
    <s v="FIN-00143"/>
    <d v="2025-06-12T00:00:00"/>
    <x v="0"/>
    <x v="0"/>
    <x v="6"/>
    <x v="1"/>
    <s v="Faisalabad"/>
    <s v="Buildcare"/>
    <x v="2"/>
    <n v="6428.57"/>
    <n v="6877.41"/>
    <n v="448.84000000000015"/>
    <n v="6.9819571071015815E-2"/>
    <x v="1"/>
    <n v="-6877.41"/>
    <x v="5"/>
  </r>
  <r>
    <s v="FIN-00144"/>
    <d v="2026-05-27T00:00:00"/>
    <x v="1"/>
    <x v="6"/>
    <x v="2"/>
    <x v="0"/>
    <s v="Karachi"/>
    <s v="Buildcare"/>
    <x v="2"/>
    <n v="6153.85"/>
    <n v="3980.93"/>
    <n v="-2172.9200000000005"/>
    <n v="-0.35309927931295049"/>
    <x v="0"/>
    <n v="3980.93"/>
    <x v="16"/>
  </r>
  <r>
    <s v="FIN-00145"/>
    <d v="2026-05-15T00:00:00"/>
    <x v="1"/>
    <x v="3"/>
    <x v="12"/>
    <x v="4"/>
    <s v="Lahore"/>
    <s v="Officepro"/>
    <x v="0"/>
    <n v="5882.35"/>
    <n v="1424.12"/>
    <n v="-4458.2300000000005"/>
    <n v="-0.75789947894973952"/>
    <x v="0"/>
    <n v="1424.12"/>
    <x v="16"/>
  </r>
  <r>
    <s v="FIN-00146"/>
    <d v="2025-02-23T00:00:00"/>
    <x v="0"/>
    <x v="4"/>
    <x v="8"/>
    <x v="0"/>
    <s v="Faisalabad"/>
    <s v="Techsource"/>
    <x v="3"/>
    <n v="7275"/>
    <n v="1601.48"/>
    <n v="-5673.52"/>
    <n v="-0.77986529209622002"/>
    <x v="0"/>
    <n v="-1601.48"/>
    <x v="1"/>
  </r>
  <r>
    <s v="FIN-00147"/>
    <d v="2025-09-06T00:00:00"/>
    <x v="1"/>
    <x v="6"/>
    <x v="3"/>
    <x v="1"/>
    <s v="Lahore"/>
    <s v="Dataserve"/>
    <x v="0"/>
    <n v="11904.76"/>
    <n v="6733.32"/>
    <n v="-5171.4400000000005"/>
    <n v="-0.43440102950416476"/>
    <x v="0"/>
    <n v="6733.32"/>
    <x v="8"/>
  </r>
  <r>
    <s v="FIN-00148"/>
    <d v="2026-01-26T00:00:00"/>
    <x v="0"/>
    <x v="2"/>
    <x v="6"/>
    <x v="4"/>
    <s v="Karachi"/>
    <s v="Buildcare"/>
    <x v="1"/>
    <n v="6715.38"/>
    <n v="13725.64"/>
    <n v="7010.2599999999993"/>
    <n v="1.0439111412905895"/>
    <x v="1"/>
    <n v="-13725.64"/>
    <x v="12"/>
  </r>
  <r>
    <s v="FIN-00149"/>
    <d v="2025-03-30T00:00:00"/>
    <x v="0"/>
    <x v="1"/>
    <x v="1"/>
    <x v="3"/>
    <s v="Lahore"/>
    <s v="Adsphere"/>
    <x v="4"/>
    <n v="3000"/>
    <n v="290.12"/>
    <n v="-2709.88"/>
    <n v="-0.90329333333333339"/>
    <x v="0"/>
    <n v="-290.12"/>
    <x v="2"/>
  </r>
  <r>
    <s v="FIN-00150"/>
    <d v="2025-04-11T00:00:00"/>
    <x v="0"/>
    <x v="4"/>
    <x v="0"/>
    <x v="3"/>
    <s v="Karachi"/>
    <s v="Prime Supplies"/>
    <x v="0"/>
    <n v="5333.33"/>
    <n v="1662.47"/>
    <n v="-3670.8599999999997"/>
    <n v="-0.68828668017917505"/>
    <x v="0"/>
    <n v="-1662.47"/>
    <x v="3"/>
  </r>
  <r>
    <s v="FIN-00151"/>
    <d v="2025-01-04T00:00:00"/>
    <x v="0"/>
    <x v="0"/>
    <x v="8"/>
    <x v="4"/>
    <s v="Islamabad"/>
    <s v="Shipfast"/>
    <x v="4"/>
    <n v="3637.5"/>
    <n v="699.33"/>
    <n v="-2938.17"/>
    <n v="-0.80774432989690725"/>
    <x v="0"/>
    <n v="-699.33"/>
    <x v="0"/>
  </r>
  <r>
    <s v="FIN-00152"/>
    <d v="2025-12-05T00:00:00"/>
    <x v="0"/>
    <x v="1"/>
    <x v="5"/>
    <x v="2"/>
    <s v="Karachi"/>
    <s v="Cloudnet"/>
    <x v="4"/>
    <n v="5250"/>
    <n v="7831.62"/>
    <n v="2581.62"/>
    <n v="0.49173714285714282"/>
    <x v="1"/>
    <n v="-7831.62"/>
    <x v="11"/>
  </r>
  <r>
    <s v="FIN-00153"/>
    <d v="2025-03-30T00:00:00"/>
    <x v="0"/>
    <x v="4"/>
    <x v="5"/>
    <x v="4"/>
    <s v="Multan"/>
    <s v="Powergrid"/>
    <x v="3"/>
    <n v="5000"/>
    <n v="2510.14"/>
    <n v="-2489.86"/>
    <n v="-0.49797200000000003"/>
    <x v="0"/>
    <n v="-2510.14"/>
    <x v="2"/>
  </r>
  <r>
    <s v="FIN-00154"/>
    <d v="2026-03-01T00:00:00"/>
    <x v="0"/>
    <x v="5"/>
    <x v="4"/>
    <x v="4"/>
    <s v="Karachi"/>
    <s v="Adsphere"/>
    <x v="3"/>
    <n v="4000"/>
    <n v="3279.55"/>
    <n v="-720.44999999999982"/>
    <n v="-0.18011249999999995"/>
    <x v="0"/>
    <n v="-3279.55"/>
    <x v="14"/>
  </r>
  <r>
    <s v="FIN-00155"/>
    <d v="2025-09-11T00:00:00"/>
    <x v="0"/>
    <x v="4"/>
    <x v="6"/>
    <x v="2"/>
    <s v="Karachi"/>
    <s v="Adsphere"/>
    <x v="1"/>
    <n v="7500"/>
    <n v="4360.1400000000003"/>
    <n v="-3139.8599999999997"/>
    <n v="-0.41864799999999996"/>
    <x v="0"/>
    <n v="-4360.1400000000003"/>
    <x v="8"/>
  </r>
  <r>
    <s v="FIN-00156"/>
    <d v="2025-12-22T00:00:00"/>
    <x v="1"/>
    <x v="3"/>
    <x v="3"/>
    <x v="4"/>
    <s v="Islamabad"/>
    <s v="Dataserve"/>
    <x v="1"/>
    <n v="15441.18"/>
    <n v="9191.2900000000009"/>
    <n v="-6249.8899999999994"/>
    <n v="-0.40475468843702356"/>
    <x v="0"/>
    <n v="9191.2900000000009"/>
    <x v="11"/>
  </r>
  <r>
    <s v="FIN-00157"/>
    <d v="2026-03-14T00:00:00"/>
    <x v="0"/>
    <x v="4"/>
    <x v="6"/>
    <x v="3"/>
    <s v="Karachi"/>
    <s v="Prime Supplies"/>
    <x v="2"/>
    <n v="7200"/>
    <n v="2783.61"/>
    <n v="-4416.3899999999994"/>
    <n v="-0.61338749999999997"/>
    <x v="0"/>
    <n v="-2783.61"/>
    <x v="14"/>
  </r>
  <r>
    <s v="FIN-00158"/>
    <d v="2026-06-10T00:00:00"/>
    <x v="0"/>
    <x v="1"/>
    <x v="7"/>
    <x v="2"/>
    <s v="Karachi"/>
    <s v="Softworks"/>
    <x v="2"/>
    <n v="5000"/>
    <n v="316.45999999999998"/>
    <n v="-4683.54"/>
    <n v="-0.93670799999999999"/>
    <x v="0"/>
    <n v="-316.45999999999998"/>
    <x v="13"/>
  </r>
  <r>
    <s v="FIN-00159"/>
    <d v="2025-02-17T00:00:00"/>
    <x v="0"/>
    <x v="1"/>
    <x v="6"/>
    <x v="3"/>
    <s v="Peshawar"/>
    <s v="Shipfast"/>
    <x v="4"/>
    <n v="11640"/>
    <n v="9376.6"/>
    <n v="-2263.3999999999996"/>
    <n v="-0.19445017182130581"/>
    <x v="0"/>
    <n v="-9376.6"/>
    <x v="1"/>
  </r>
  <r>
    <s v="FIN-00160"/>
    <d v="2026-03-16T00:00:00"/>
    <x v="0"/>
    <x v="7"/>
    <x v="6"/>
    <x v="4"/>
    <s v="Multan"/>
    <s v="Travellink"/>
    <x v="3"/>
    <n v="7200"/>
    <n v="4123.18"/>
    <n v="-3076.8199999999997"/>
    <n v="-0.42733611111111108"/>
    <x v="0"/>
    <n v="-4123.18"/>
    <x v="14"/>
  </r>
  <r>
    <s v="FIN-00161"/>
    <d v="2025-11-12T00:00:00"/>
    <x v="0"/>
    <x v="6"/>
    <x v="4"/>
    <x v="0"/>
    <s v="Karachi"/>
    <s v="Travellink"/>
    <x v="4"/>
    <n v="4900"/>
    <n v="3249.55"/>
    <n v="-1650.4499999999998"/>
    <n v="-0.33682653061224488"/>
    <x v="0"/>
    <n v="-3249.55"/>
    <x v="10"/>
  </r>
  <r>
    <s v="FIN-00162"/>
    <d v="2025-05-28T00:00:00"/>
    <x v="0"/>
    <x v="0"/>
    <x v="4"/>
    <x v="2"/>
    <s v="Karachi"/>
    <s v="Buildcare"/>
    <x v="4"/>
    <n v="4000"/>
    <n v="1976.04"/>
    <n v="-2023.96"/>
    <n v="-0.50599000000000005"/>
    <x v="0"/>
    <n v="-1976.04"/>
    <x v="4"/>
  </r>
  <r>
    <s v="FIN-00163"/>
    <d v="2025-10-18T00:00:00"/>
    <x v="1"/>
    <x v="3"/>
    <x v="12"/>
    <x v="3"/>
    <s v="Faisalabad"/>
    <s v="Officepro"/>
    <x v="1"/>
    <n v="7692.31"/>
    <n v="4254.43"/>
    <n v="-3437.88"/>
    <n v="-0.44692426592272022"/>
    <x v="0"/>
    <n v="4254.43"/>
    <x v="9"/>
  </r>
  <r>
    <s v="FIN-00164"/>
    <d v="2025-10-15T00:00:00"/>
    <x v="0"/>
    <x v="0"/>
    <x v="11"/>
    <x v="0"/>
    <s v="Karachi"/>
    <s v="Dataserve"/>
    <x v="2"/>
    <n v="5500"/>
    <n v="399.79"/>
    <n v="-5100.21"/>
    <n v="-0.92731090909090907"/>
    <x v="0"/>
    <n v="-399.79"/>
    <x v="9"/>
  </r>
  <r>
    <s v="FIN-00165"/>
    <d v="2026-05-19T00:00:00"/>
    <x v="1"/>
    <x v="2"/>
    <x v="3"/>
    <x v="4"/>
    <s v="Faisalabad"/>
    <s v="Shipfast"/>
    <x v="2"/>
    <n v="10869.57"/>
    <n v="14241.63"/>
    <n v="3372.0599999999995"/>
    <n v="0.3102293834990712"/>
    <x v="1"/>
    <n v="14241.63"/>
    <x v="16"/>
  </r>
  <r>
    <s v="FIN-00166"/>
    <d v="2025-05-11T00:00:00"/>
    <x v="0"/>
    <x v="1"/>
    <x v="6"/>
    <x v="0"/>
    <s v="Karachi"/>
    <s v="Legalworks"/>
    <x v="3"/>
    <n v="7200"/>
    <n v="6488.32"/>
    <n v="-711.68000000000029"/>
    <n v="-9.8844444444444485E-2"/>
    <x v="0"/>
    <n v="-6488.32"/>
    <x v="4"/>
  </r>
  <r>
    <s v="FIN-00167"/>
    <d v="2025-02-01T00:00:00"/>
    <x v="1"/>
    <x v="4"/>
    <x v="2"/>
    <x v="0"/>
    <s v="Peshawar"/>
    <s v="Powergrid"/>
    <x v="2"/>
    <n v="4850"/>
    <n v="4338.25"/>
    <n v="-511.75"/>
    <n v="-0.10551546391752577"/>
    <x v="0"/>
    <n v="4338.25"/>
    <x v="1"/>
  </r>
  <r>
    <s v="FIN-00168"/>
    <d v="2026-04-10T00:00:00"/>
    <x v="0"/>
    <x v="2"/>
    <x v="0"/>
    <x v="1"/>
    <s v="Lahore"/>
    <s v="Adsphere"/>
    <x v="3"/>
    <n v="5333.33"/>
    <n v="842.58"/>
    <n v="-4490.75"/>
    <n v="-0.84201615126009455"/>
    <x v="0"/>
    <n v="-842.58"/>
    <x v="15"/>
  </r>
  <r>
    <s v="FIN-00169"/>
    <d v="2025-12-15T00:00:00"/>
    <x v="0"/>
    <x v="2"/>
    <x v="1"/>
    <x v="4"/>
    <s v="Faisalabad"/>
    <s v="Urban Facilities"/>
    <x v="2"/>
    <n v="2100"/>
    <n v="780.83"/>
    <n v="-1319.17"/>
    <n v="-0.62817619047619055"/>
    <x v="0"/>
    <n v="-780.83"/>
    <x v="11"/>
  </r>
  <r>
    <s v="FIN-00170"/>
    <d v="2025-02-07T00:00:00"/>
    <x v="1"/>
    <x v="3"/>
    <x v="2"/>
    <x v="3"/>
    <s v="Islamabad"/>
    <s v="Powergrid"/>
    <x v="1"/>
    <n v="4850"/>
    <n v="4211.6099999999997"/>
    <n v="-638.39000000000033"/>
    <n v="-0.13162680412371142"/>
    <x v="0"/>
    <n v="4211.6099999999997"/>
    <x v="1"/>
  </r>
  <r>
    <s v="FIN-00171"/>
    <d v="2025-12-09T00:00:00"/>
    <x v="0"/>
    <x v="3"/>
    <x v="11"/>
    <x v="3"/>
    <s v="Karachi"/>
    <s v="Markethub"/>
    <x v="1"/>
    <n v="3300"/>
    <n v="1954.56"/>
    <n v="-1345.44"/>
    <n v="-0.40770909090909091"/>
    <x v="0"/>
    <n v="-1954.56"/>
    <x v="11"/>
  </r>
  <r>
    <s v="FIN-00172"/>
    <d v="2025-11-10T00:00:00"/>
    <x v="1"/>
    <x v="1"/>
    <x v="3"/>
    <x v="1"/>
    <s v="Peshawar"/>
    <s v="Adsphere"/>
    <x v="1"/>
    <n v="13125"/>
    <n v="10362.85"/>
    <n v="-2762.1499999999996"/>
    <n v="-0.21044952380952378"/>
    <x v="0"/>
    <n v="10362.85"/>
    <x v="10"/>
  </r>
  <r>
    <s v="FIN-00173"/>
    <d v="2025-11-15T00:00:00"/>
    <x v="0"/>
    <x v="5"/>
    <x v="11"/>
    <x v="4"/>
    <s v="Lahore"/>
    <s v="Peoplefirst"/>
    <x v="2"/>
    <n v="2310"/>
    <n v="1838.09"/>
    <n v="-471.91000000000008"/>
    <n v="-0.20429004329004333"/>
    <x v="0"/>
    <n v="-1838.09"/>
    <x v="10"/>
  </r>
  <r>
    <s v="FIN-00174"/>
    <d v="2025-09-19T00:00:00"/>
    <x v="1"/>
    <x v="3"/>
    <x v="12"/>
    <x v="4"/>
    <s v="Peshawar"/>
    <s v="Urban Facilities"/>
    <x v="2"/>
    <n v="7142.86"/>
    <n v="16302.31"/>
    <n v="9159.4500000000007"/>
    <n v="1.2823224870710053"/>
    <x v="1"/>
    <n v="16302.31"/>
    <x v="8"/>
  </r>
  <r>
    <s v="FIN-00175"/>
    <d v="2026-05-13T00:00:00"/>
    <x v="1"/>
    <x v="3"/>
    <x v="2"/>
    <x v="0"/>
    <s v="Lahore"/>
    <s v="Officepro"/>
    <x v="4"/>
    <n v="6153.85"/>
    <n v="4325.7"/>
    <n v="-1828.1500000000005"/>
    <n v="-0.29707418932863172"/>
    <x v="0"/>
    <n v="4325.7"/>
    <x v="16"/>
  </r>
  <r>
    <s v="FIN-00176"/>
    <d v="2026-03-09T00:00:00"/>
    <x v="1"/>
    <x v="3"/>
    <x v="13"/>
    <x v="2"/>
    <s v="Peshawar"/>
    <s v="Buildcare"/>
    <x v="1"/>
    <n v="10000"/>
    <n v="1027.8800000000001"/>
    <n v="-8972.119999999999"/>
    <n v="-0.8972119999999999"/>
    <x v="0"/>
    <n v="1027.8800000000001"/>
    <x v="14"/>
  </r>
  <r>
    <s v="FIN-00177"/>
    <d v="2026-01-03T00:00:00"/>
    <x v="0"/>
    <x v="1"/>
    <x v="0"/>
    <x v="0"/>
    <s v="Karachi"/>
    <s v="Prime Supplies"/>
    <x v="2"/>
    <n v="3104"/>
    <n v="5918.76"/>
    <n v="2814.76"/>
    <n v="0.90681701030927842"/>
    <x v="1"/>
    <n v="-5918.76"/>
    <x v="12"/>
  </r>
  <r>
    <s v="FIN-00178"/>
    <d v="2025-06-13T00:00:00"/>
    <x v="0"/>
    <x v="1"/>
    <x v="0"/>
    <x v="3"/>
    <s v="Lahore"/>
    <s v="Shipfast"/>
    <x v="4"/>
    <n v="4571.43"/>
    <n v="4978.1400000000003"/>
    <n v="406.71000000000004"/>
    <n v="8.896778469756729E-2"/>
    <x v="1"/>
    <n v="-4978.1400000000003"/>
    <x v="5"/>
  </r>
  <r>
    <s v="FIN-00179"/>
    <d v="2025-06-02T00:00:00"/>
    <x v="0"/>
    <x v="4"/>
    <x v="6"/>
    <x v="2"/>
    <s v="Peshawar"/>
    <s v="Travellink"/>
    <x v="3"/>
    <n v="6428.57"/>
    <n v="14213.76"/>
    <n v="7785.1900000000005"/>
    <n v="1.2110298246732945"/>
    <x v="1"/>
    <n v="-14213.76"/>
    <x v="5"/>
  </r>
  <r>
    <s v="FIN-00180"/>
    <d v="2025-02-17T00:00:00"/>
    <x v="1"/>
    <x v="1"/>
    <x v="3"/>
    <x v="3"/>
    <s v="Peshawar"/>
    <s v="Techsource"/>
    <x v="2"/>
    <n v="13472.22"/>
    <n v="5780.12"/>
    <n v="-7692.0999999999995"/>
    <n v="-0.57096009417898463"/>
    <x v="0"/>
    <n v="5780.12"/>
    <x v="1"/>
  </r>
  <r>
    <s v="FIN-00181"/>
    <d v="2025-01-23T00:00:00"/>
    <x v="1"/>
    <x v="3"/>
    <x v="3"/>
    <x v="3"/>
    <s v="Multan"/>
    <s v="Cloudnet"/>
    <x v="3"/>
    <n v="11022.73"/>
    <n v="5200.0600000000004"/>
    <n v="-5822.6699999999992"/>
    <n v="-0.52824209610504835"/>
    <x v="0"/>
    <n v="5200.0600000000004"/>
    <x v="0"/>
  </r>
  <r>
    <s v="FIN-00182"/>
    <d v="2025-12-27T00:00:00"/>
    <x v="1"/>
    <x v="2"/>
    <x v="2"/>
    <x v="0"/>
    <s v="Karachi"/>
    <s v="Peoplefirst"/>
    <x v="1"/>
    <n v="9333.33"/>
    <n v="6926.68"/>
    <n v="-2406.6499999999996"/>
    <n v="-0.25785544923408898"/>
    <x v="0"/>
    <n v="6926.68"/>
    <x v="11"/>
  </r>
  <r>
    <s v="FIN-00183"/>
    <d v="2025-09-15T00:00:00"/>
    <x v="0"/>
    <x v="2"/>
    <x v="10"/>
    <x v="3"/>
    <s v="Karachi"/>
    <s v="Cloudnet"/>
    <x v="4"/>
    <n v="5000"/>
    <n v="4659.0200000000004"/>
    <n v="-340.97999999999956"/>
    <n v="-6.8195999999999909E-2"/>
    <x v="0"/>
    <n v="-4659.0200000000004"/>
    <x v="8"/>
  </r>
  <r>
    <s v="FIN-00184"/>
    <d v="2025-04-12T00:00:00"/>
    <x v="0"/>
    <x v="2"/>
    <x v="4"/>
    <x v="4"/>
    <s v="Peshawar"/>
    <s v="Peoplefirst"/>
    <x v="1"/>
    <n v="9333.33"/>
    <n v="2548.92"/>
    <n v="-6784.41"/>
    <n v="-0.72690133103618959"/>
    <x v="0"/>
    <n v="-2548.92"/>
    <x v="3"/>
  </r>
  <r>
    <s v="FIN-00185"/>
    <d v="2026-03-25T00:00:00"/>
    <x v="0"/>
    <x v="5"/>
    <x v="7"/>
    <x v="0"/>
    <s v="Lahore"/>
    <s v="Officepro"/>
    <x v="4"/>
    <n v="3181.82"/>
    <n v="2239.67"/>
    <n v="-942.15000000000009"/>
    <n v="-0.29610411651193341"/>
    <x v="0"/>
    <n v="-2239.67"/>
    <x v="14"/>
  </r>
  <r>
    <s v="FIN-00186"/>
    <d v="2026-05-19T00:00:00"/>
    <x v="1"/>
    <x v="3"/>
    <x v="12"/>
    <x v="4"/>
    <s v="Peshawar"/>
    <s v="Buildcare"/>
    <x v="4"/>
    <n v="5882.35"/>
    <n v="11658.16"/>
    <n v="5775.8099999999995"/>
    <n v="0.9818881909440953"/>
    <x v="1"/>
    <n v="11658.16"/>
    <x v="16"/>
  </r>
  <r>
    <s v="FIN-00187"/>
    <d v="2025-09-27T00:00:00"/>
    <x v="0"/>
    <x v="1"/>
    <x v="6"/>
    <x v="1"/>
    <s v="Lahore"/>
    <s v="Prime Supplies"/>
    <x v="3"/>
    <n v="7500"/>
    <n v="11948.76"/>
    <n v="4448.76"/>
    <n v="0.59316800000000003"/>
    <x v="1"/>
    <n v="-11948.76"/>
    <x v="8"/>
  </r>
  <r>
    <s v="FIN-00188"/>
    <d v="2025-04-16T00:00:00"/>
    <x v="0"/>
    <x v="0"/>
    <x v="9"/>
    <x v="0"/>
    <s v="Karachi"/>
    <s v="Dataserve"/>
    <x v="4"/>
    <n v="6111.11"/>
    <n v="6145.13"/>
    <n v="34.020000000000437"/>
    <n v="5.5669101030746361E-3"/>
    <x v="1"/>
    <n v="-6145.13"/>
    <x v="3"/>
  </r>
  <r>
    <s v="FIN-00189"/>
    <d v="2025-12-10T00:00:00"/>
    <x v="0"/>
    <x v="5"/>
    <x v="5"/>
    <x v="1"/>
    <s v="Karachi"/>
    <s v="Dataserve"/>
    <x v="1"/>
    <n v="5250"/>
    <n v="4547.2"/>
    <n v="-702.80000000000018"/>
    <n v="-0.13386666666666669"/>
    <x v="0"/>
    <n v="-4547.2"/>
    <x v="11"/>
  </r>
  <r>
    <s v="FIN-00190"/>
    <d v="2025-07-24T00:00:00"/>
    <x v="0"/>
    <x v="2"/>
    <x v="0"/>
    <x v="0"/>
    <s v="Karachi"/>
    <s v="Peoplefirst"/>
    <x v="1"/>
    <n v="4000"/>
    <n v="908.46"/>
    <n v="-3091.54"/>
    <n v="-0.77288500000000004"/>
    <x v="0"/>
    <n v="-908.46"/>
    <x v="6"/>
  </r>
  <r>
    <s v="FIN-00191"/>
    <d v="2025-08-04T00:00:00"/>
    <x v="0"/>
    <x v="1"/>
    <x v="0"/>
    <x v="4"/>
    <s v="Karachi"/>
    <s v="Powergrid"/>
    <x v="4"/>
    <n v="2285.71"/>
    <n v="5000.88"/>
    <n v="2715.17"/>
    <n v="1.1878891022920668"/>
    <x v="1"/>
    <n v="-5000.88"/>
    <x v="7"/>
  </r>
  <r>
    <s v="FIN-00192"/>
    <d v="2026-03-15T00:00:00"/>
    <x v="1"/>
    <x v="3"/>
    <x v="3"/>
    <x v="3"/>
    <s v="Karachi"/>
    <s v="Adsphere"/>
    <x v="4"/>
    <n v="11363.64"/>
    <n v="13935.9"/>
    <n v="2572.2600000000002"/>
    <n v="0.22635880756518162"/>
    <x v="1"/>
    <n v="13935.9"/>
    <x v="14"/>
  </r>
  <r>
    <s v="FIN-00193"/>
    <d v="2025-05-12T00:00:00"/>
    <x v="0"/>
    <x v="5"/>
    <x v="8"/>
    <x v="4"/>
    <s v="Karachi"/>
    <s v="Softworks"/>
    <x v="1"/>
    <n v="2307.69"/>
    <n v="6654.18"/>
    <n v="4346.49"/>
    <n v="1.8834808834808834"/>
    <x v="1"/>
    <n v="-6654.18"/>
    <x v="4"/>
  </r>
  <r>
    <s v="FIN-00194"/>
    <d v="2025-05-07T00:00:00"/>
    <x v="0"/>
    <x v="1"/>
    <x v="6"/>
    <x v="4"/>
    <s v="Karachi"/>
    <s v="Legalworks"/>
    <x v="4"/>
    <n v="0"/>
    <n v="6198.16"/>
    <n v="6198.16"/>
    <n v="0"/>
    <x v="2"/>
    <n v="-6198.16"/>
    <x v="4"/>
  </r>
  <r>
    <s v="FIN-00195"/>
    <d v="2026-01-18T00:00:00"/>
    <x v="0"/>
    <x v="1"/>
    <x v="6"/>
    <x v="3"/>
    <s v="Islamabad"/>
    <s v="Powergrid"/>
    <x v="2"/>
    <n v="6715.38"/>
    <n v="16796.060000000001"/>
    <n v="10080.68"/>
    <n v="1.5011332195646412"/>
    <x v="1"/>
    <n v="-16796.060000000001"/>
    <x v="12"/>
  </r>
  <r>
    <s v="FIN-00196"/>
    <d v="2025-12-07T00:00:00"/>
    <x v="0"/>
    <x v="1"/>
    <x v="0"/>
    <x v="3"/>
    <s v="Karachi"/>
    <s v="Urban Facilities"/>
    <x v="1"/>
    <n v="4800"/>
    <n v="5571.44"/>
    <n v="771.4399999999996"/>
    <n v="0.16071666666666659"/>
    <x v="1"/>
    <n v="-5571.44"/>
    <x v="11"/>
  </r>
  <r>
    <s v="FIN-00197"/>
    <d v="2025-11-14T00:00:00"/>
    <x v="0"/>
    <x v="6"/>
    <x v="1"/>
    <x v="1"/>
    <s v="Karachi"/>
    <s v="Legalworks"/>
    <x v="1"/>
    <n v="1890"/>
    <n v="1016.28"/>
    <n v="-873.72"/>
    <n v="-0.4622857142857143"/>
    <x v="0"/>
    <n v="-1016.28"/>
    <x v="10"/>
  </r>
  <r>
    <s v="FIN-00198"/>
    <d v="2025-04-18T00:00:00"/>
    <x v="0"/>
    <x v="1"/>
    <x v="10"/>
    <x v="2"/>
    <s v="Karachi"/>
    <s v="Softworks"/>
    <x v="1"/>
    <n v="5714.29"/>
    <n v="5355.91"/>
    <n v="-358.38000000000011"/>
    <n v="-6.2716452962660291E-2"/>
    <x v="0"/>
    <n v="-5355.91"/>
    <x v="3"/>
  </r>
  <r>
    <s v="FIN-00199"/>
    <d v="2026-03-25T00:00:00"/>
    <x v="0"/>
    <x v="6"/>
    <x v="9"/>
    <x v="4"/>
    <s v="Karachi"/>
    <s v="Peoplefirst"/>
    <x v="1"/>
    <n v="5000"/>
    <n v="2877.81"/>
    <n v="-2122.19"/>
    <n v="-0.42443800000000004"/>
    <x v="0"/>
    <n v="-2877.81"/>
    <x v="14"/>
  </r>
  <r>
    <s v="FIN-00200"/>
    <d v="2025-12-10T00:00:00"/>
    <x v="0"/>
    <x v="0"/>
    <x v="0"/>
    <x v="4"/>
    <s v="Faisalabad"/>
    <s v="Urban Facilities"/>
    <x v="1"/>
    <n v="4800"/>
    <n v="1464.66"/>
    <n v="-3335.34"/>
    <n v="-0.69486250000000005"/>
    <x v="0"/>
    <n v="-1464.66"/>
    <x v="11"/>
  </r>
  <r>
    <s v="FIN-00201"/>
    <d v="2026-05-19T00:00:00"/>
    <x v="1"/>
    <x v="0"/>
    <x v="12"/>
    <x v="4"/>
    <s v="Peshawar"/>
    <s v="Prime Supplies"/>
    <x v="1"/>
    <n v="5882.35"/>
    <n v="4616.99"/>
    <n v="-1265.3600000000006"/>
    <n v="-0.21511130755565386"/>
    <x v="0"/>
    <n v="4616.99"/>
    <x v="16"/>
  </r>
  <r>
    <s v="FIN-00202"/>
    <d v="2025-01-03T00:00:00"/>
    <x v="0"/>
    <x v="1"/>
    <x v="9"/>
    <x v="2"/>
    <s v="Faisalabad"/>
    <s v="Buildcare"/>
    <x v="1"/>
    <n v="3810.71"/>
    <n v="7015.09"/>
    <n v="3204.38"/>
    <n v="0.8408879185243695"/>
    <x v="1"/>
    <n v="-7015.09"/>
    <x v="0"/>
  </r>
  <r>
    <s v="FIN-00203"/>
    <d v="2026-01-05T00:00:00"/>
    <x v="0"/>
    <x v="3"/>
    <x v="10"/>
    <x v="3"/>
    <s v="Faisalabad"/>
    <s v="Techsource"/>
    <x v="1"/>
    <n v="4850"/>
    <n v="1366.79"/>
    <n v="-3483.21"/>
    <n v="-0.71818762886597942"/>
    <x v="0"/>
    <n v="-1366.79"/>
    <x v="12"/>
  </r>
  <r>
    <s v="FIN-00204"/>
    <d v="2025-03-18T00:00:00"/>
    <x v="0"/>
    <x v="4"/>
    <x v="1"/>
    <x v="2"/>
    <s v="Lahore"/>
    <s v="Travellink"/>
    <x v="2"/>
    <n v="3000"/>
    <n v="392.12"/>
    <n v="-2607.88"/>
    <n v="-0.86929333333333336"/>
    <x v="0"/>
    <n v="-392.12"/>
    <x v="2"/>
  </r>
  <r>
    <s v="FIN-00205"/>
    <d v="2025-10-15T00:00:00"/>
    <x v="0"/>
    <x v="5"/>
    <x v="10"/>
    <x v="0"/>
    <s v="Karachi"/>
    <s v="Peoplefirst"/>
    <x v="0"/>
    <n v="3333.33"/>
    <n v="2509.62"/>
    <n v="-823.71"/>
    <n v="-0.24711324711324714"/>
    <x v="0"/>
    <n v="-2509.62"/>
    <x v="9"/>
  </r>
  <r>
    <s v="FIN-00206"/>
    <d v="2025-02-17T00:00:00"/>
    <x v="1"/>
    <x v="3"/>
    <x v="3"/>
    <x v="3"/>
    <s v="Karachi"/>
    <s v="Softworks"/>
    <x v="2"/>
    <n v="13472.22"/>
    <n v="4960.2299999999996"/>
    <n v="-8511.99"/>
    <n v="-0.6318179186503784"/>
    <x v="0"/>
    <n v="4960.2299999999996"/>
    <x v="1"/>
  </r>
  <r>
    <s v="FIN-00207"/>
    <d v="2025-04-26T00:00:00"/>
    <x v="0"/>
    <x v="2"/>
    <x v="9"/>
    <x v="4"/>
    <s v="Peshawar"/>
    <s v="Prime Supplies"/>
    <x v="4"/>
    <n v="6111.11"/>
    <n v="2516.14"/>
    <n v="-3594.97"/>
    <n v="-0.58826792513962278"/>
    <x v="0"/>
    <n v="-2516.14"/>
    <x v="3"/>
  </r>
  <r>
    <s v="FIN-00208"/>
    <d v="2026-05-23T00:00:00"/>
    <x v="0"/>
    <x v="3"/>
    <x v="1"/>
    <x v="3"/>
    <s v="Faisalabad"/>
    <s v="Cloudnet"/>
    <x v="1"/>
    <n v="6000"/>
    <n v="333.4"/>
    <n v="-5666.6"/>
    <n v="-0.94443333333333335"/>
    <x v="0"/>
    <n v="-333.4"/>
    <x v="16"/>
  </r>
  <r>
    <s v="FIN-00209"/>
    <d v="2025-08-03T00:00:00"/>
    <x v="0"/>
    <x v="2"/>
    <x v="0"/>
    <x v="0"/>
    <s v="Karachi"/>
    <s v="Prime Supplies"/>
    <x v="3"/>
    <n v="2285.71"/>
    <n v="496.17"/>
    <n v="-1789.54"/>
    <n v="-0.78292521798478365"/>
    <x v="0"/>
    <n v="-496.17"/>
    <x v="7"/>
  </r>
  <r>
    <s v="FIN-00210"/>
    <d v="2025-10-21T00:00:00"/>
    <x v="1"/>
    <x v="1"/>
    <x v="2"/>
    <x v="2"/>
    <s v="Multan"/>
    <s v="Softworks"/>
    <x v="4"/>
    <n v="4705.88"/>
    <n v="5854.16"/>
    <n v="1148.2799999999997"/>
    <n v="0.24400962200481094"/>
    <x v="1"/>
    <n v="5854.16"/>
    <x v="9"/>
  </r>
  <r>
    <s v="FIN-00211"/>
    <d v="2026-06-22T00:00:00"/>
    <x v="0"/>
    <x v="2"/>
    <x v="5"/>
    <x v="4"/>
    <s v="Lahore"/>
    <s v="Softworks"/>
    <x v="4"/>
    <n v="5416.67"/>
    <n v="3619.52"/>
    <n v="-1797.15"/>
    <n v="-0.33178133428840967"/>
    <x v="0"/>
    <n v="-3619.52"/>
    <x v="13"/>
  </r>
  <r>
    <s v="FIN-00212"/>
    <d v="2025-10-03T00:00:00"/>
    <x v="0"/>
    <x v="1"/>
    <x v="8"/>
    <x v="1"/>
    <s v="Islamabad"/>
    <s v="Shipfast"/>
    <x v="4"/>
    <n v="5000"/>
    <n v="2350.44"/>
    <n v="-2649.56"/>
    <n v="-0.52991199999999994"/>
    <x v="0"/>
    <n v="-2350.44"/>
    <x v="9"/>
  </r>
  <r>
    <s v="FIN-00213"/>
    <d v="2026-03-12T00:00:00"/>
    <x v="0"/>
    <x v="0"/>
    <x v="10"/>
    <x v="0"/>
    <s v="Karachi"/>
    <s v="Adsphere"/>
    <x v="3"/>
    <n v="5000"/>
    <n v="5519.48"/>
    <n v="519.47999999999956"/>
    <n v="0.10389599999999992"/>
    <x v="1"/>
    <n v="-5519.48"/>
    <x v="14"/>
  </r>
  <r>
    <s v="FIN-00214"/>
    <d v="2025-12-26T00:00:00"/>
    <x v="0"/>
    <x v="5"/>
    <x v="6"/>
    <x v="2"/>
    <s v="Faisalabad"/>
    <s v="Legalworks"/>
    <x v="4"/>
    <n v="7875"/>
    <n v="15859.27"/>
    <n v="7984.27"/>
    <n v="1.0138755555555556"/>
    <x v="1"/>
    <n v="-15859.27"/>
    <x v="11"/>
  </r>
  <r>
    <s v="FIN-00215"/>
    <d v="2025-11-30T00:00:00"/>
    <x v="0"/>
    <x v="1"/>
    <x v="9"/>
    <x v="3"/>
    <s v="Islamabad"/>
    <s v="Urban Facilities"/>
    <x v="2"/>
    <n v="11550"/>
    <n v="3230.65"/>
    <n v="-8319.35"/>
    <n v="-0.72029004329004331"/>
    <x v="0"/>
    <n v="-3230.65"/>
    <x v="10"/>
  </r>
  <r>
    <s v="FIN-00216"/>
    <d v="2026-06-02T00:00:00"/>
    <x v="1"/>
    <x v="4"/>
    <x v="12"/>
    <x v="4"/>
    <s v="Karachi"/>
    <s v="Techsource"/>
    <x v="2"/>
    <n v="4761.8999999999996"/>
    <n v="9173.09"/>
    <n v="4411.1900000000005"/>
    <n v="0.92635082635082655"/>
    <x v="1"/>
    <n v="9173.09"/>
    <x v="13"/>
  </r>
  <r>
    <s v="FIN-00217"/>
    <d v="2026-02-14T00:00:00"/>
    <x v="0"/>
    <x v="3"/>
    <x v="10"/>
    <x v="4"/>
    <s v="Multan"/>
    <s v="Techsource"/>
    <x v="0"/>
    <n v="9700"/>
    <n v="4535.78"/>
    <n v="-5164.22"/>
    <n v="-0.53239381443298972"/>
    <x v="0"/>
    <n v="-4535.78"/>
    <x v="17"/>
  </r>
  <r>
    <s v="FIN-00218"/>
    <d v="2026-02-06T00:00:00"/>
    <x v="1"/>
    <x v="6"/>
    <x v="12"/>
    <x v="4"/>
    <s v="Karachi"/>
    <s v="Prime Supplies"/>
    <x v="2"/>
    <n v="8083.33"/>
    <n v="4799.75"/>
    <n v="-3283.58"/>
    <n v="-0.40621624998608247"/>
    <x v="0"/>
    <n v="4799.75"/>
    <x v="17"/>
  </r>
  <r>
    <s v="FIN-00219"/>
    <d v="2025-08-30T00:00:00"/>
    <x v="0"/>
    <x v="6"/>
    <x v="5"/>
    <x v="2"/>
    <s v="Islamabad"/>
    <s v="Markethub"/>
    <x v="1"/>
    <n v="10833.33"/>
    <n v="7023.27"/>
    <n v="-3810.0599999999995"/>
    <n v="-0.3516979543686013"/>
    <x v="0"/>
    <n v="-7023.27"/>
    <x v="7"/>
  </r>
  <r>
    <s v="FIN-00220"/>
    <d v="2025-01-10T00:00:00"/>
    <x v="0"/>
    <x v="6"/>
    <x v="9"/>
    <x v="0"/>
    <s v="Multan"/>
    <s v="Prime Supplies"/>
    <x v="2"/>
    <n v="3810.71"/>
    <n v="1526.94"/>
    <n v="-2283.77"/>
    <n v="-0.59930301702307442"/>
    <x v="0"/>
    <n v="-1526.94"/>
    <x v="0"/>
  </r>
  <r>
    <s v="FIN-00221"/>
    <d v="2026-03-28T00:00:00"/>
    <x v="1"/>
    <x v="3"/>
    <x v="3"/>
    <x v="4"/>
    <s v="Peshawar"/>
    <s v="Powergrid"/>
    <x v="1"/>
    <n v="11363.64"/>
    <n v="3354.72"/>
    <n v="-8008.92"/>
    <n v="-0.70478473446888501"/>
    <x v="0"/>
    <n v="3354.72"/>
    <x v="14"/>
  </r>
  <r>
    <s v="FIN-00222"/>
    <d v="2025-01-17T00:00:00"/>
    <x v="0"/>
    <x v="1"/>
    <x v="7"/>
    <x v="0"/>
    <s v="Islamabad"/>
    <s v="Officepro"/>
    <x v="4"/>
    <n v="5658.33"/>
    <n v="3191.47"/>
    <n v="-2466.86"/>
    <n v="-0.43596962354617003"/>
    <x v="0"/>
    <n v="-3191.47"/>
    <x v="0"/>
  </r>
  <r>
    <s v="FIN-00223"/>
    <d v="2026-05-28T00:00:00"/>
    <x v="0"/>
    <x v="5"/>
    <x v="9"/>
    <x v="1"/>
    <s v="Karachi"/>
    <s v="Markethub"/>
    <x v="1"/>
    <n v="7857.14"/>
    <n v="1776.51"/>
    <n v="-6080.63"/>
    <n v="-0.7738986450540527"/>
    <x v="0"/>
    <n v="-1776.51"/>
    <x v="16"/>
  </r>
  <r>
    <s v="FIN-00224"/>
    <d v="2026-02-17T00:00:00"/>
    <x v="0"/>
    <x v="0"/>
    <x v="9"/>
    <x v="4"/>
    <s v="Faisalabad"/>
    <s v="Cloudnet"/>
    <x v="4"/>
    <n v="4850"/>
    <n v="7750.76"/>
    <n v="2900.76"/>
    <n v="0.5980948453608248"/>
    <x v="1"/>
    <n v="-7750.76"/>
    <x v="17"/>
  </r>
  <r>
    <s v="FIN-00225"/>
    <d v="2026-02-15T00:00:00"/>
    <x v="0"/>
    <x v="2"/>
    <x v="0"/>
    <x v="2"/>
    <s v="Lahore"/>
    <s v="Cloudnet"/>
    <x v="3"/>
    <n v="5173.33"/>
    <n v="4046.51"/>
    <n v="-1126.8199999999997"/>
    <n v="-0.21781328467350811"/>
    <x v="0"/>
    <n v="-4046.51"/>
    <x v="17"/>
  </r>
  <r>
    <s v="FIN-00226"/>
    <d v="2025-09-01T00:00:00"/>
    <x v="0"/>
    <x v="0"/>
    <x v="6"/>
    <x v="3"/>
    <s v="Karachi"/>
    <s v="Peoplefirst"/>
    <x v="4"/>
    <n v="7500"/>
    <n v="12405.71"/>
    <n v="4905.7099999999991"/>
    <n v="0.6540946666666666"/>
    <x v="1"/>
    <n v="-12405.71"/>
    <x v="8"/>
  </r>
  <r>
    <s v="FIN-00227"/>
    <d v="2025-01-29T00:00:00"/>
    <x v="1"/>
    <x v="3"/>
    <x v="3"/>
    <x v="4"/>
    <s v="Faisalabad"/>
    <s v="Buildcare"/>
    <x v="3"/>
    <n v="11022.73"/>
    <n v="18675.5"/>
    <n v="7652.77"/>
    <n v="0.69427174574719697"/>
    <x v="1"/>
    <n v="18675.5"/>
    <x v="0"/>
  </r>
  <r>
    <s v="FIN-00228"/>
    <d v="2025-01-21T00:00:00"/>
    <x v="0"/>
    <x v="6"/>
    <x v="4"/>
    <x v="3"/>
    <s v="Lahore"/>
    <s v="Softworks"/>
    <x v="3"/>
    <n v="13580"/>
    <n v="3253.66"/>
    <n v="-10326.34"/>
    <n v="-0.76040795287187046"/>
    <x v="0"/>
    <n v="-3253.66"/>
    <x v="0"/>
  </r>
  <r>
    <s v="FIN-00229"/>
    <d v="2026-06-30T00:00:00"/>
    <x v="1"/>
    <x v="4"/>
    <x v="12"/>
    <x v="3"/>
    <s v="Lahore"/>
    <s v="Softworks"/>
    <x v="2"/>
    <n v="4761.8999999999996"/>
    <n v="16629.490000000002"/>
    <n v="11867.590000000002"/>
    <n v="2.492196392196393"/>
    <x v="1"/>
    <n v="16629.490000000002"/>
    <x v="13"/>
  </r>
  <r>
    <s v="FIN-00230"/>
    <d v="2025-10-08T00:00:00"/>
    <x v="1"/>
    <x v="3"/>
    <x v="3"/>
    <x v="2"/>
    <s v="Faisalabad"/>
    <s v="Buildcare"/>
    <x v="0"/>
    <n v="8928.57"/>
    <n v="413.98"/>
    <n v="-8514.59"/>
    <n v="-0.95363423258147728"/>
    <x v="0"/>
    <n v="413.98"/>
    <x v="9"/>
  </r>
  <r>
    <s v="FIN-00231"/>
    <d v="2026-01-23T00:00:00"/>
    <x v="0"/>
    <x v="1"/>
    <x v="6"/>
    <x v="3"/>
    <s v="Karachi"/>
    <s v="Techsource"/>
    <x v="3"/>
    <n v="6715.38"/>
    <n v="3678.68"/>
    <n v="-3036.7000000000003"/>
    <n v="-0.45220076898105543"/>
    <x v="0"/>
    <n v="-3678.68"/>
    <x v="12"/>
  </r>
  <r>
    <s v="FIN-00232"/>
    <d v="2025-06-18T00:00:00"/>
    <x v="0"/>
    <x v="1"/>
    <x v="6"/>
    <x v="1"/>
    <s v="Multan"/>
    <s v="Buildcare"/>
    <x v="2"/>
    <n v="6428.57"/>
    <n v="9403.61"/>
    <n v="2975.0400000000009"/>
    <n v="0.46278410284091193"/>
    <x v="1"/>
    <n v="-9403.61"/>
    <x v="5"/>
  </r>
  <r>
    <s v="FIN-00233"/>
    <d v="2026-03-17T00:00:00"/>
    <x v="1"/>
    <x v="3"/>
    <x v="3"/>
    <x v="0"/>
    <s v="Peshawar"/>
    <s v="Cloudnet"/>
    <x v="4"/>
    <n v="11363.64"/>
    <n v="14728.14"/>
    <n v="3364.5"/>
    <n v="0.29607590525571031"/>
    <x v="1"/>
    <n v="14728.14"/>
    <x v="14"/>
  </r>
  <r>
    <s v="FIN-00234"/>
    <d v="2025-07-06T00:00:00"/>
    <x v="0"/>
    <x v="2"/>
    <x v="10"/>
    <x v="1"/>
    <s v="Karachi"/>
    <s v="Peoplefirst"/>
    <x v="4"/>
    <n v="3333.33"/>
    <n v="3241.97"/>
    <n v="-91.360000000000127"/>
    <n v="-2.7408027408027447E-2"/>
    <x v="0"/>
    <n v="-3241.97"/>
    <x v="6"/>
  </r>
  <r>
    <s v="FIN-00235"/>
    <d v="2025-05-12T00:00:00"/>
    <x v="0"/>
    <x v="1"/>
    <x v="0"/>
    <x v="2"/>
    <s v="Lahore"/>
    <s v="Urban Facilities"/>
    <x v="3"/>
    <n v="2909.09"/>
    <n v="1993.54"/>
    <n v="-915.55000000000018"/>
    <n v="-0.31472041085012842"/>
    <x v="0"/>
    <n v="-1993.54"/>
    <x v="4"/>
  </r>
  <r>
    <s v="FIN-00236"/>
    <d v="2025-04-06T00:00:00"/>
    <x v="0"/>
    <x v="0"/>
    <x v="1"/>
    <x v="2"/>
    <s v="Karachi"/>
    <s v="Legalworks"/>
    <x v="1"/>
    <n v="2250"/>
    <n v="633.71"/>
    <n v="-1616.29"/>
    <n v="-0.71835111111111105"/>
    <x v="0"/>
    <n v="-633.71"/>
    <x v="3"/>
  </r>
  <r>
    <s v="FIN-00237"/>
    <d v="2025-10-18T00:00:00"/>
    <x v="0"/>
    <x v="1"/>
    <x v="6"/>
    <x v="4"/>
    <s v="Karachi"/>
    <s v="Dataserve"/>
    <x v="1"/>
    <n v="7826.09"/>
    <n v="10328.48"/>
    <n v="2502.3899999999994"/>
    <n v="0.31974970898622418"/>
    <x v="1"/>
    <n v="-10328.48"/>
    <x v="9"/>
  </r>
  <r>
    <s v="FIN-00238"/>
    <d v="2025-05-20T00:00:00"/>
    <x v="1"/>
    <x v="3"/>
    <x v="3"/>
    <x v="4"/>
    <s v="Multan"/>
    <s v="Peoplefirst"/>
    <x v="1"/>
    <n v="9615.3799999999992"/>
    <n v="14710.49"/>
    <n v="5095.1100000000006"/>
    <n v="0.52989169434801342"/>
    <x v="1"/>
    <n v="14710.49"/>
    <x v="4"/>
  </r>
  <r>
    <s v="FIN-00239"/>
    <d v="2025-10-11T00:00:00"/>
    <x v="0"/>
    <x v="4"/>
    <x v="4"/>
    <x v="0"/>
    <s v="Karachi"/>
    <s v="Peoplefirst"/>
    <x v="1"/>
    <n v="3500"/>
    <n v="2825.41"/>
    <n v="-674.59000000000015"/>
    <n v="-0.19274000000000005"/>
    <x v="0"/>
    <n v="-2825.41"/>
    <x v="9"/>
  </r>
  <r>
    <s v="FIN-00240"/>
    <d v="2025-11-21T00:00:00"/>
    <x v="0"/>
    <x v="2"/>
    <x v="6"/>
    <x v="1"/>
    <s v="Lahore"/>
    <s v="Prime Supplies"/>
    <x v="2"/>
    <n v="9947.3700000000008"/>
    <n v="12151.76"/>
    <n v="2204.3899999999994"/>
    <n v="0.221605308739898"/>
    <x v="1"/>
    <n v="-12151.76"/>
    <x v="10"/>
  </r>
  <r>
    <s v="FIN-00241"/>
    <d v="2026-04-21T00:00:00"/>
    <x v="1"/>
    <x v="3"/>
    <x v="3"/>
    <x v="4"/>
    <s v="Karachi"/>
    <s v="Legalworks"/>
    <x v="0"/>
    <n v="8333.33"/>
    <n v="5920.63"/>
    <n v="-2412.6999999999998"/>
    <n v="-0.28952411580964632"/>
    <x v="0"/>
    <n v="5920.63"/>
    <x v="15"/>
  </r>
  <r>
    <s v="FIN-00242"/>
    <d v="2025-07-16T00:00:00"/>
    <x v="0"/>
    <x v="6"/>
    <x v="11"/>
    <x v="1"/>
    <s v="Islamabad"/>
    <s v="Techsource"/>
    <x v="1"/>
    <n v="2750"/>
    <n v="3151.26"/>
    <n v="401.26000000000022"/>
    <n v="0.14591272727272736"/>
    <x v="1"/>
    <n v="-3151.26"/>
    <x v="6"/>
  </r>
  <r>
    <s v="FIN-00243"/>
    <d v="2026-04-18T00:00:00"/>
    <x v="0"/>
    <x v="3"/>
    <x v="6"/>
    <x v="2"/>
    <s v="Karachi"/>
    <s v="Legalworks"/>
    <x v="1"/>
    <n v="8571.43"/>
    <n v="4645.75"/>
    <n v="-3925.6800000000003"/>
    <n v="-0.45799592366734609"/>
    <x v="0"/>
    <n v="-4645.75"/>
    <x v="15"/>
  </r>
  <r>
    <s v="FIN-00244"/>
    <d v="2025-03-18T00:00:00"/>
    <x v="0"/>
    <x v="1"/>
    <x v="6"/>
    <x v="0"/>
    <s v="Peshawar"/>
    <s v="Dataserve"/>
    <x v="1"/>
    <n v="6000"/>
    <n v="1107.21"/>
    <n v="-4892.79"/>
    <n v="-0.815465"/>
    <x v="0"/>
    <n v="-1107.21"/>
    <x v="2"/>
  </r>
  <r>
    <s v="FIN-00245"/>
    <d v="2026-04-22T00:00:00"/>
    <x v="0"/>
    <x v="1"/>
    <x v="0"/>
    <x v="4"/>
    <s v="Multan"/>
    <s v="Softworks"/>
    <x v="3"/>
    <n v="5333.33"/>
    <n v="3919.72"/>
    <n v="-1413.6100000000001"/>
    <n v="-0.26505204065752541"/>
    <x v="0"/>
    <n v="-3919.72"/>
    <x v="15"/>
  </r>
  <r>
    <s v="FIN-00246"/>
    <d v="2026-05-28T00:00:00"/>
    <x v="0"/>
    <x v="4"/>
    <x v="7"/>
    <x v="4"/>
    <s v="Islamabad"/>
    <s v="Peoplefirst"/>
    <x v="2"/>
    <n v="2692.31"/>
    <n v="3724.87"/>
    <n v="1032.56"/>
    <n v="0.38352195698117969"/>
    <x v="1"/>
    <n v="-3724.87"/>
    <x v="16"/>
  </r>
  <r>
    <s v="FIN-00247"/>
    <d v="2025-10-14T00:00:00"/>
    <x v="0"/>
    <x v="1"/>
    <x v="9"/>
    <x v="2"/>
    <s v="Karachi"/>
    <s v="Legalworks"/>
    <x v="1"/>
    <n v="3928.57"/>
    <n v="6678.18"/>
    <n v="2749.61"/>
    <n v="0.69990098178217519"/>
    <x v="1"/>
    <n v="-6678.18"/>
    <x v="9"/>
  </r>
  <r>
    <s v="FIN-00248"/>
    <d v="2026-02-02T00:00:00"/>
    <x v="0"/>
    <x v="2"/>
    <x v="5"/>
    <x v="2"/>
    <s v="Multan"/>
    <s v="Buildcare"/>
    <x v="1"/>
    <n v="6305"/>
    <n v="10665.83"/>
    <n v="4360.83"/>
    <n v="0.69164631245043617"/>
    <x v="1"/>
    <n v="-10665.83"/>
    <x v="17"/>
  </r>
  <r>
    <s v="FIN-00249"/>
    <d v="2025-11-19T00:00:00"/>
    <x v="0"/>
    <x v="0"/>
    <x v="9"/>
    <x v="4"/>
    <s v="Karachi"/>
    <s v="Peoplefirst"/>
    <x v="3"/>
    <n v="11550"/>
    <n v="8889.6200000000008"/>
    <n v="-2660.3799999999992"/>
    <n v="-0.23033593073593067"/>
    <x v="0"/>
    <n v="-8889.6200000000008"/>
    <x v="10"/>
  </r>
  <r>
    <s v="FIN-00250"/>
    <d v="2026-04-14T00:00:00"/>
    <x v="1"/>
    <x v="6"/>
    <x v="3"/>
    <x v="2"/>
    <s v="Multan"/>
    <s v="Travellink"/>
    <x v="4"/>
    <n v="8333.33"/>
    <n v="7414.01"/>
    <n v="-919.31999999999971"/>
    <n v="-0.11031844412737761"/>
    <x v="0"/>
    <n v="7414.01"/>
    <x v="15"/>
  </r>
  <r>
    <s v="FIN-00251"/>
    <d v="2025-06-23T00:00:00"/>
    <x v="0"/>
    <x v="0"/>
    <x v="10"/>
    <x v="0"/>
    <s v="Lahore"/>
    <s v="Dataserve"/>
    <x v="1"/>
    <n v="6666.67"/>
    <n v="828.01"/>
    <n v="-5838.66"/>
    <n v="-0.87579856210071894"/>
    <x v="0"/>
    <n v="-828.01"/>
    <x v="5"/>
  </r>
  <r>
    <s v="FIN-00252"/>
    <d v="2025-05-28T00:00:00"/>
    <x v="0"/>
    <x v="2"/>
    <x v="6"/>
    <x v="2"/>
    <s v="Karachi"/>
    <s v="Adsphere"/>
    <x v="4"/>
    <n v="7200"/>
    <n v="3204.35"/>
    <n v="-3995.65"/>
    <n v="-0.55495138888888895"/>
    <x v="0"/>
    <n v="-3204.35"/>
    <x v="4"/>
  </r>
  <r>
    <s v="FIN-00253"/>
    <d v="2025-05-27T00:00:00"/>
    <x v="1"/>
    <x v="3"/>
    <x v="12"/>
    <x v="4"/>
    <s v="Karachi"/>
    <s v="Powergrid"/>
    <x v="1"/>
    <n v="9090.91"/>
    <n v="11898.36"/>
    <n v="2807.4500000000007"/>
    <n v="0.30881946911805319"/>
    <x v="1"/>
    <n v="11898.36"/>
    <x v="4"/>
  </r>
  <r>
    <s v="FIN-00254"/>
    <d v="2025-07-03T00:00:00"/>
    <x v="0"/>
    <x v="2"/>
    <x v="8"/>
    <x v="3"/>
    <s v="Karachi"/>
    <s v="Buildcare"/>
    <x v="4"/>
    <n v="6000"/>
    <n v="4478.3100000000004"/>
    <n v="-1521.6899999999996"/>
    <n v="-0.25361499999999992"/>
    <x v="0"/>
    <n v="-4478.3100000000004"/>
    <x v="6"/>
  </r>
  <r>
    <s v="FIN-00255"/>
    <d v="2026-02-18T00:00:00"/>
    <x v="0"/>
    <x v="1"/>
    <x v="6"/>
    <x v="4"/>
    <s v="Islamabad"/>
    <s v="Travellink"/>
    <x v="0"/>
    <n v="9189.4699999999993"/>
    <n v="17009.349999999999"/>
    <n v="7819.8799999999992"/>
    <n v="0.85096093681137208"/>
    <x v="1"/>
    <n v="-17009.349999999999"/>
    <x v="17"/>
  </r>
  <r>
    <s v="FIN-00256"/>
    <d v="2026-05-09T00:00:00"/>
    <x v="0"/>
    <x v="1"/>
    <x v="11"/>
    <x v="4"/>
    <s v="Lahore"/>
    <s v="Powergrid"/>
    <x v="3"/>
    <n v="4400"/>
    <n v="3927.82"/>
    <n v="-472.17999999999984"/>
    <n v="-0.10731363636363633"/>
    <x v="0"/>
    <n v="-3927.82"/>
    <x v="16"/>
  </r>
  <r>
    <s v="FIN-00257"/>
    <d v="2025-10-20T00:00:00"/>
    <x v="1"/>
    <x v="3"/>
    <x v="13"/>
    <x v="1"/>
    <s v="Karachi"/>
    <s v="Adsphere"/>
    <x v="4"/>
    <n v="6666.67"/>
    <n v="2317.29"/>
    <n v="-4349.38"/>
    <n v="-0.65240667379666306"/>
    <x v="0"/>
    <n v="2317.29"/>
    <x v="9"/>
  </r>
  <r>
    <s v="FIN-00258"/>
    <d v="2025-03-24T00:00:00"/>
    <x v="0"/>
    <x v="3"/>
    <x v="6"/>
    <x v="4"/>
    <s v="Lahore"/>
    <s v="Urban Facilities"/>
    <x v="1"/>
    <n v="6000"/>
    <n v="17061.169999999998"/>
    <n v="11061.169999999998"/>
    <n v="1.843528333333333"/>
    <x v="1"/>
    <n v="-17061.169999999998"/>
    <x v="2"/>
  </r>
  <r>
    <s v="FIN-00259"/>
    <d v="2025-10-27T00:00:00"/>
    <x v="0"/>
    <x v="1"/>
    <x v="7"/>
    <x v="3"/>
    <s v="Multan"/>
    <s v="Buildcare"/>
    <x v="4"/>
    <n v="3500"/>
    <n v="1368.29"/>
    <n v="-2131.71"/>
    <n v="-0.60906000000000005"/>
    <x v="0"/>
    <n v="-1368.29"/>
    <x v="9"/>
  </r>
  <r>
    <s v="FIN-00260"/>
    <d v="2025-03-12T00:00:00"/>
    <x v="0"/>
    <x v="6"/>
    <x v="1"/>
    <x v="4"/>
    <s v="Karachi"/>
    <s v="Powergrid"/>
    <x v="1"/>
    <n v="3000"/>
    <n v="1758.92"/>
    <n v="-1241.08"/>
    <n v="-0.4136933333333333"/>
    <x v="0"/>
    <n v="-1758.92"/>
    <x v="2"/>
  </r>
  <r>
    <s v="FIN-00261"/>
    <d v="2025-08-09T00:00:00"/>
    <x v="1"/>
    <x v="3"/>
    <x v="12"/>
    <x v="4"/>
    <s v="Karachi"/>
    <s v="Travellink"/>
    <x v="4"/>
    <n v="7142.86"/>
    <n v="12309.22"/>
    <n v="5166.3599999999997"/>
    <n v="0.72329011068395577"/>
    <x v="1"/>
    <n v="12309.22"/>
    <x v="7"/>
  </r>
  <r>
    <s v="FIN-00262"/>
    <d v="2025-06-15T00:00:00"/>
    <x v="0"/>
    <x v="1"/>
    <x v="1"/>
    <x v="4"/>
    <s v="Multan"/>
    <s v="Markethub"/>
    <x v="4"/>
    <n v="2000"/>
    <n v="1050.9100000000001"/>
    <n v="-949.08999999999992"/>
    <n v="-0.47454499999999994"/>
    <x v="0"/>
    <n v="-1050.9100000000001"/>
    <x v="5"/>
  </r>
  <r>
    <s v="FIN-00263"/>
    <d v="2026-02-09T00:00:00"/>
    <x v="0"/>
    <x v="2"/>
    <x v="6"/>
    <x v="4"/>
    <s v="Faisalabad"/>
    <s v="Techsource"/>
    <x v="2"/>
    <n v="9189.4699999999993"/>
    <n v="13650.31"/>
    <n v="4460.84"/>
    <n v="0.48542951878617596"/>
    <x v="1"/>
    <n v="-13650.31"/>
    <x v="17"/>
  </r>
  <r>
    <s v="FIN-00264"/>
    <d v="2025-05-04T00:00:00"/>
    <x v="0"/>
    <x v="1"/>
    <x v="5"/>
    <x v="4"/>
    <s v="Lahore"/>
    <s v="Peoplefirst"/>
    <x v="3"/>
    <n v="4642.8599999999997"/>
    <n v="5744.61"/>
    <n v="1101.75"/>
    <n v="0.23729985396932066"/>
    <x v="1"/>
    <n v="-5744.61"/>
    <x v="4"/>
  </r>
  <r>
    <s v="FIN-00265"/>
    <d v="2026-03-03T00:00:00"/>
    <x v="0"/>
    <x v="1"/>
    <x v="6"/>
    <x v="4"/>
    <s v="Karachi"/>
    <s v="Adsphere"/>
    <x v="1"/>
    <n v="7200"/>
    <n v="5350.68"/>
    <n v="-1849.3199999999997"/>
    <n v="-0.25684999999999997"/>
    <x v="0"/>
    <n v="-5350.68"/>
    <x v="14"/>
  </r>
  <r>
    <s v="FIN-00266"/>
    <d v="2025-07-03T00:00:00"/>
    <x v="1"/>
    <x v="3"/>
    <x v="3"/>
    <x v="2"/>
    <s v="Karachi"/>
    <s v="Powergrid"/>
    <x v="4"/>
    <n v="12500"/>
    <n v="9714.07"/>
    <n v="-2785.9300000000003"/>
    <n v="-0.22287440000000003"/>
    <x v="0"/>
    <n v="9714.07"/>
    <x v="6"/>
  </r>
  <r>
    <s v="FIN-00267"/>
    <d v="2025-06-28T00:00:00"/>
    <x v="1"/>
    <x v="6"/>
    <x v="3"/>
    <x v="0"/>
    <s v="Lahore"/>
    <s v="Officepro"/>
    <x v="3"/>
    <n v="9615.3799999999992"/>
    <n v="24773.919999999998"/>
    <n v="15158.539999999999"/>
    <n v="1.5764889167146801"/>
    <x v="1"/>
    <n v="24773.919999999998"/>
    <x v="5"/>
  </r>
  <r>
    <s v="FIN-00268"/>
    <d v="2026-05-25T00:00:00"/>
    <x v="0"/>
    <x v="1"/>
    <x v="8"/>
    <x v="2"/>
    <s v="Faisalabad"/>
    <s v="Powergrid"/>
    <x v="2"/>
    <n v="2727.27"/>
    <n v="7216.28"/>
    <n v="4489.01"/>
    <n v="1.6459719793053127"/>
    <x v="1"/>
    <n v="-7216.28"/>
    <x v="16"/>
  </r>
  <r>
    <s v="FIN-00269"/>
    <d v="2026-02-22T00:00:00"/>
    <x v="0"/>
    <x v="1"/>
    <x v="14"/>
    <x v="4"/>
    <s v="Islamabad"/>
    <s v="Powergrid"/>
    <x v="1"/>
    <n v="9189.4699999999993"/>
    <n v="14045.56"/>
    <n v="4856.09"/>
    <n v="0.52844070441494451"/>
    <x v="1"/>
    <n v="-14045.56"/>
    <x v="17"/>
  </r>
  <r>
    <s v="FIN-00270"/>
    <d v="2026-01-01T00:00:00"/>
    <x v="0"/>
    <x v="1"/>
    <x v="11"/>
    <x v="4"/>
    <s v="Karachi"/>
    <s v="Softworks"/>
    <x v="1"/>
    <n v="3556.67"/>
    <n v="571.96"/>
    <n v="-2984.71"/>
    <n v="-0.8391866549328445"/>
    <x v="0"/>
    <n v="-571.96"/>
    <x v="12"/>
  </r>
  <r>
    <s v="FIN-00271"/>
    <d v="2025-12-26T00:00:00"/>
    <x v="1"/>
    <x v="3"/>
    <x v="3"/>
    <x v="4"/>
    <s v="Multan"/>
    <s v="Buildcare"/>
    <x v="4"/>
    <n v="15441.18"/>
    <n v="22033.53"/>
    <n v="6592.3499999999985"/>
    <n v="0.42693304527244669"/>
    <x v="1"/>
    <n v="22033.53"/>
    <x v="11"/>
  </r>
  <r>
    <s v="FIN-00272"/>
    <d v="2026-02-18T00:00:00"/>
    <x v="0"/>
    <x v="2"/>
    <x v="1"/>
    <x v="4"/>
    <s v="Karachi"/>
    <s v="Powergrid"/>
    <x v="3"/>
    <n v="2182.5"/>
    <n v="929.69"/>
    <n v="-1252.81"/>
    <n v="-0.57402520045819017"/>
    <x v="0"/>
    <n v="-929.69"/>
    <x v="17"/>
  </r>
  <r>
    <s v="FIN-00273"/>
    <d v="2025-10-28T00:00:00"/>
    <x v="0"/>
    <x v="1"/>
    <x v="9"/>
    <x v="0"/>
    <s v="Faisalabad"/>
    <s v="Buildcare"/>
    <x v="1"/>
    <n v="3928.57"/>
    <n v="7127.08"/>
    <n v="3198.5099999999998"/>
    <n v="0.8141664778787191"/>
    <x v="1"/>
    <n v="-7127.08"/>
    <x v="9"/>
  </r>
  <r>
    <s v="FIN-00274"/>
    <d v="2026-05-21T00:00:00"/>
    <x v="1"/>
    <x v="4"/>
    <x v="2"/>
    <x v="0"/>
    <s v="Karachi"/>
    <s v="Legalworks"/>
    <x v="3"/>
    <n v="6153.85"/>
    <n v="2181.25"/>
    <n v="-3972.6000000000004"/>
    <n v="-0.64554709653306463"/>
    <x v="0"/>
    <n v="2181.25"/>
    <x v="16"/>
  </r>
  <r>
    <s v="FIN-00275"/>
    <d v="2025-07-29T00:00:00"/>
    <x v="1"/>
    <x v="0"/>
    <x v="12"/>
    <x v="3"/>
    <s v="Karachi"/>
    <s v="Markethub"/>
    <x v="3"/>
    <n v="7142.86"/>
    <n v="1681.73"/>
    <n v="-5461.1299999999992"/>
    <n v="-0.76455789417684228"/>
    <x v="0"/>
    <n v="1681.73"/>
    <x v="6"/>
  </r>
  <r>
    <s v="FIN-00276"/>
    <d v="2025-07-26T00:00:00"/>
    <x v="0"/>
    <x v="4"/>
    <x v="0"/>
    <x v="3"/>
    <s v="Islamabad"/>
    <s v="Officepro"/>
    <x v="4"/>
    <n v="4000"/>
    <n v="2364.37"/>
    <n v="-1635.63"/>
    <n v="-0.40890750000000003"/>
    <x v="0"/>
    <n v="-2364.37"/>
    <x v="6"/>
  </r>
  <r>
    <s v="FIN-00277"/>
    <d v="2025-09-15T00:00:00"/>
    <x v="1"/>
    <x v="3"/>
    <x v="13"/>
    <x v="3"/>
    <s v="Peshawar"/>
    <s v="Adsphere"/>
    <x v="1"/>
    <n v="3333.33"/>
    <n v="4375.41"/>
    <n v="1042.08"/>
    <n v="0.31262431262431262"/>
    <x v="1"/>
    <n v="4375.41"/>
    <x v="8"/>
  </r>
  <r>
    <s v="FIN-00278"/>
    <d v="2026-05-06T00:00:00"/>
    <x v="0"/>
    <x v="2"/>
    <x v="10"/>
    <x v="2"/>
    <s v="Karachi"/>
    <s v="Officepro"/>
    <x v="1"/>
    <n v="5714.29"/>
    <n v="2227.71"/>
    <n v="-3486.58"/>
    <n v="-0.61015104238671825"/>
    <x v="0"/>
    <n v="-2227.71"/>
    <x v="16"/>
  </r>
  <r>
    <s v="FIN-00279"/>
    <d v="2025-10-28T00:00:00"/>
    <x v="1"/>
    <x v="3"/>
    <x v="12"/>
    <x v="3"/>
    <s v="Karachi"/>
    <s v="Prime Supplies"/>
    <x v="3"/>
    <n v="7692.31"/>
    <n v="1178.1500000000001"/>
    <n v="-6514.16"/>
    <n v="-0.8468405459478362"/>
    <x v="0"/>
    <n v="1178.1500000000001"/>
    <x v="9"/>
  </r>
  <r>
    <s v="FIN-00280"/>
    <d v="2025-09-01T00:00:00"/>
    <x v="0"/>
    <x v="1"/>
    <x v="5"/>
    <x v="2"/>
    <s v="Karachi"/>
    <s v="Officepro"/>
    <x v="3"/>
    <n v="9285.7099999999991"/>
    <n v="3796.47"/>
    <n v="-5489.24"/>
    <n v="-0.59114919591501358"/>
    <x v="0"/>
    <n v="-3796.47"/>
    <x v="8"/>
  </r>
  <r>
    <s v="FIN-00281"/>
    <d v="2025-09-13T00:00:00"/>
    <x v="1"/>
    <x v="3"/>
    <x v="3"/>
    <x v="4"/>
    <s v="Karachi"/>
    <s v="Powergrid"/>
    <x v="3"/>
    <n v="11904.76"/>
    <n v="9893.66"/>
    <n v="-2011.1000000000004"/>
    <n v="-0.16893242702918834"/>
    <x v="0"/>
    <n v="9893.66"/>
    <x v="8"/>
  </r>
  <r>
    <s v="FIN-00282"/>
    <d v="2025-06-30T00:00:00"/>
    <x v="1"/>
    <x v="6"/>
    <x v="12"/>
    <x v="3"/>
    <s v="Peshawar"/>
    <s v="Travellink"/>
    <x v="4"/>
    <n v="6250"/>
    <n v="7130.19"/>
    <n v="880.1899999999996"/>
    <n v="0.14083039999999994"/>
    <x v="1"/>
    <n v="7130.19"/>
    <x v="5"/>
  </r>
  <r>
    <s v="FIN-00283"/>
    <d v="2025-03-09T00:00:00"/>
    <x v="0"/>
    <x v="5"/>
    <x v="6"/>
    <x v="0"/>
    <s v="Lahore"/>
    <s v="Prime Supplies"/>
    <x v="1"/>
    <n v="6000"/>
    <n v="12811.08"/>
    <n v="6811.08"/>
    <n v="1.1351800000000001"/>
    <x v="1"/>
    <n v="-12811.08"/>
    <x v="2"/>
  </r>
  <r>
    <s v="FIN-00284"/>
    <d v="2025-08-31T00:00:00"/>
    <x v="1"/>
    <x v="4"/>
    <x v="2"/>
    <x v="0"/>
    <s v="Islamabad"/>
    <s v="Shipfast"/>
    <x v="3"/>
    <n v="13333.33"/>
    <n v="5815.11"/>
    <n v="-7518.22"/>
    <n v="-0.56386664096666028"/>
    <x v="0"/>
    <n v="5815.11"/>
    <x v="7"/>
  </r>
  <r>
    <s v="FIN-00285"/>
    <d v="2025-09-01T00:00:00"/>
    <x v="0"/>
    <x v="3"/>
    <x v="0"/>
    <x v="4"/>
    <s v="Multan"/>
    <s v="Softworks"/>
    <x v="3"/>
    <n v="5333.33"/>
    <n v="3959.9"/>
    <n v="-1373.4299999999998"/>
    <n v="-0.25751828594892867"/>
    <x v="0"/>
    <n v="-3959.9"/>
    <x v="8"/>
  </r>
  <r>
    <s v="FIN-00286"/>
    <d v="2025-09-24T00:00:00"/>
    <x v="1"/>
    <x v="5"/>
    <x v="3"/>
    <x v="4"/>
    <s v="Multan"/>
    <s v="Buildcare"/>
    <x v="0"/>
    <n v="11904.76"/>
    <n v="5427.24"/>
    <n v="-6477.52"/>
    <n v="-0.54411176705788278"/>
    <x v="0"/>
    <n v="5427.24"/>
    <x v="8"/>
  </r>
  <r>
    <s v="FIN-00287"/>
    <d v="2025-02-15T00:00:00"/>
    <x v="1"/>
    <x v="5"/>
    <x v="13"/>
    <x v="2"/>
    <s v="Karachi"/>
    <s v="Adsphere"/>
    <x v="1"/>
    <n v="3233.33"/>
    <n v="3091.56"/>
    <n v="-141.76999999999998"/>
    <n v="-4.3846436955089642E-2"/>
    <x v="0"/>
    <n v="3091.56"/>
    <x v="1"/>
  </r>
  <r>
    <s v="FIN-00288"/>
    <d v="2025-02-09T00:00:00"/>
    <x v="1"/>
    <x v="5"/>
    <x v="3"/>
    <x v="1"/>
    <s v="Lahore"/>
    <s v="Markethub"/>
    <x v="4"/>
    <n v="13472.22"/>
    <n v="23742.29"/>
    <n v="10270.070000000002"/>
    <n v="0.76231459996941875"/>
    <x v="1"/>
    <n v="23742.29"/>
    <x v="1"/>
  </r>
  <r>
    <s v="FIN-00289"/>
    <d v="2026-04-22T00:00:00"/>
    <x v="1"/>
    <x v="3"/>
    <x v="12"/>
    <x v="0"/>
    <s v="Peshawar"/>
    <s v="Buildcare"/>
    <x v="1"/>
    <n v="7142.86"/>
    <n v="10967.94"/>
    <n v="3825.0800000000008"/>
    <n v="0.53551098579560585"/>
    <x v="1"/>
    <n v="10967.94"/>
    <x v="15"/>
  </r>
  <r>
    <s v="FIN-00290"/>
    <d v="2025-08-03T00:00:00"/>
    <x v="1"/>
    <x v="3"/>
    <x v="3"/>
    <x v="1"/>
    <s v="Lahore"/>
    <s v="Travellink"/>
    <x v="2"/>
    <n v="10416.67"/>
    <n v="4693.6099999999997"/>
    <n v="-5723.06"/>
    <n v="-0.54941358418765307"/>
    <x v="0"/>
    <n v="4693.6099999999997"/>
    <x v="7"/>
  </r>
  <r>
    <s v="FIN-00291"/>
    <d v="2026-04-06T00:00:00"/>
    <x v="1"/>
    <x v="3"/>
    <x v="3"/>
    <x v="0"/>
    <s v="Karachi"/>
    <s v="Techsource"/>
    <x v="1"/>
    <n v="8333.33"/>
    <n v="6863.15"/>
    <n v="-1470.1800000000003"/>
    <n v="-0.17642167056866825"/>
    <x v="0"/>
    <n v="6863.15"/>
    <x v="15"/>
  </r>
  <r>
    <s v="FIN-00292"/>
    <d v="2025-03-14T00:00:00"/>
    <x v="0"/>
    <x v="2"/>
    <x v="7"/>
    <x v="4"/>
    <s v="Lahore"/>
    <s v="Shipfast"/>
    <x v="3"/>
    <n v="4375"/>
    <n v="4151.1400000000003"/>
    <n v="-223.85999999999967"/>
    <n v="-5.1167999999999922E-2"/>
    <x v="0"/>
    <n v="-4151.1400000000003"/>
    <x v="2"/>
  </r>
  <r>
    <s v="FIN-00293"/>
    <d v="2025-04-25T00:00:00"/>
    <x v="0"/>
    <x v="4"/>
    <x v="7"/>
    <x v="4"/>
    <s v="Islamabad"/>
    <s v="Prime Supplies"/>
    <x v="1"/>
    <n v="4375"/>
    <n v="934.56"/>
    <n v="-3440.44"/>
    <n v="-0.7863862857142857"/>
    <x v="0"/>
    <n v="-934.56"/>
    <x v="3"/>
  </r>
  <r>
    <s v="FIN-00294"/>
    <d v="2025-01-05T00:00:00"/>
    <x v="1"/>
    <x v="0"/>
    <x v="2"/>
    <x v="4"/>
    <s v="Karachi"/>
    <s v="Markethub"/>
    <x v="2"/>
    <n v="11085.71"/>
    <n v="802.54"/>
    <n v="-10283.169999999998"/>
    <n v="-0.92760589984764164"/>
    <x v="0"/>
    <n v="802.54"/>
    <x v="0"/>
  </r>
  <r>
    <s v="FIN-00295"/>
    <d v="2026-02-06T00:00:00"/>
    <x v="0"/>
    <x v="1"/>
    <x v="1"/>
    <x v="3"/>
    <s v="Peshawar"/>
    <s v="Cloudnet"/>
    <x v="1"/>
    <n v="2182.5"/>
    <n v="905.57"/>
    <n v="-1276.9299999999998"/>
    <n v="-0.5850767468499426"/>
    <x v="0"/>
    <n v="-905.57"/>
    <x v="17"/>
  </r>
  <r>
    <s v="FIN-00296"/>
    <d v="2025-11-09T00:00:00"/>
    <x v="1"/>
    <x v="0"/>
    <x v="3"/>
    <x v="3"/>
    <s v="Karachi"/>
    <s v="Dataserve"/>
    <x v="4"/>
    <n v="13125"/>
    <n v="16764.259999999998"/>
    <n v="3639.2599999999984"/>
    <n v="0.27727695238095224"/>
    <x v="1"/>
    <n v="16764.259999999998"/>
    <x v="10"/>
  </r>
  <r>
    <s v="FIN-00297"/>
    <d v="2025-02-03T00:00:00"/>
    <x v="0"/>
    <x v="2"/>
    <x v="4"/>
    <x v="4"/>
    <s v="Karachi"/>
    <s v="Travellink"/>
    <x v="1"/>
    <n v="6790"/>
    <n v="1124.74"/>
    <n v="-5665.26"/>
    <n v="-0.83435346097201768"/>
    <x v="0"/>
    <n v="-1124.74"/>
    <x v="1"/>
  </r>
  <r>
    <s v="FIN-00298"/>
    <d v="2026-03-17T00:00:00"/>
    <x v="0"/>
    <x v="0"/>
    <x v="6"/>
    <x v="4"/>
    <s v="Karachi"/>
    <s v="Prime Supplies"/>
    <x v="1"/>
    <n v="7200"/>
    <n v="15379.86"/>
    <n v="8179.8600000000006"/>
    <n v="1.1360916666666667"/>
    <x v="1"/>
    <n v="-15379.86"/>
    <x v="14"/>
  </r>
  <r>
    <s v="FIN-00299"/>
    <d v="2025-03-03T00:00:00"/>
    <x v="0"/>
    <x v="3"/>
    <x v="10"/>
    <x v="4"/>
    <s v="Lahore"/>
    <s v="Techsource"/>
    <x v="5"/>
    <n v="8000"/>
    <n v="4526.22"/>
    <n v="-3473.7799999999997"/>
    <n v="-0.43422249999999996"/>
    <x v="0"/>
    <n v="-4526.22"/>
    <x v="2"/>
  </r>
  <r>
    <s v="FIN-00300"/>
    <d v="2026-04-07T00:00:00"/>
    <x v="1"/>
    <x v="1"/>
    <x v="12"/>
    <x v="4"/>
    <s v="Karachi"/>
    <s v="Travellink"/>
    <x v="3"/>
    <n v="7142.86"/>
    <n v="5008.3"/>
    <n v="-2134.5599999999995"/>
    <n v="-0.29883828046468774"/>
    <x v="0"/>
    <n v="5008.3"/>
    <x v="15"/>
  </r>
  <r>
    <s v="FIN-00301"/>
    <d v="2025-12-01T00:00:00"/>
    <x v="0"/>
    <x v="1"/>
    <x v="5"/>
    <x v="4"/>
    <s v="Lahore"/>
    <s v="Shipfast"/>
    <x v="1"/>
    <n v="5250"/>
    <n v="10154.84"/>
    <n v="4904.84"/>
    <n v="0.93425523809523814"/>
    <x v="1"/>
    <n v="-10154.84"/>
    <x v="11"/>
  </r>
  <r>
    <s v="FIN-00302"/>
    <d v="2026-04-22T00:00:00"/>
    <x v="0"/>
    <x v="1"/>
    <x v="5"/>
    <x v="3"/>
    <s v="Lahore"/>
    <s v="Powergrid"/>
    <x v="1"/>
    <n v="10833.33"/>
    <n v="6460.67"/>
    <n v="-4372.66"/>
    <n v="-0.40363027804008555"/>
    <x v="0"/>
    <n v="-6460.67"/>
    <x v="15"/>
  </r>
  <r>
    <s v="FIN-00303"/>
    <d v="2025-08-01T00:00:00"/>
    <x v="0"/>
    <x v="1"/>
    <x v="6"/>
    <x v="4"/>
    <s v="Faisalabad"/>
    <s v="Cloudnet"/>
    <x v="1"/>
    <n v="8181.82"/>
    <n v="2930.11"/>
    <n v="-5251.7099999999991"/>
    <n v="-0.64187552402766124"/>
    <x v="0"/>
    <n v="-2930.11"/>
    <x v="7"/>
  </r>
  <r>
    <s v="FIN-00304"/>
    <d v="2025-03-25T00:00:00"/>
    <x v="0"/>
    <x v="0"/>
    <x v="6"/>
    <x v="1"/>
    <s v="Faisalabad"/>
    <s v="Prime Supplies"/>
    <x v="0"/>
    <n v="6000"/>
    <n v="11664.01"/>
    <n v="5664.01"/>
    <n v="0.94400166666666674"/>
    <x v="1"/>
    <n v="-11664.01"/>
    <x v="2"/>
  </r>
  <r>
    <s v="FIN-00305"/>
    <d v="2026-04-26T00:00:00"/>
    <x v="1"/>
    <x v="1"/>
    <x v="12"/>
    <x v="3"/>
    <s v="Lahore"/>
    <s v="Shipfast"/>
    <x v="0"/>
    <n v="7142.86"/>
    <n v="10781.63"/>
    <n v="3638.7699999999995"/>
    <n v="0.5094275962289615"/>
    <x v="1"/>
    <n v="10781.63"/>
    <x v="15"/>
  </r>
  <r>
    <s v="FIN-00306"/>
    <d v="2025-07-27T00:00:00"/>
    <x v="1"/>
    <x v="4"/>
    <x v="3"/>
    <x v="3"/>
    <s v="Karachi"/>
    <s v="Urban Facilities"/>
    <x v="4"/>
    <n v="12500"/>
    <n v="12241.83"/>
    <n v="-258.17000000000007"/>
    <n v="-2.0653600000000005E-2"/>
    <x v="0"/>
    <n v="12241.83"/>
    <x v="6"/>
  </r>
  <r>
    <s v="FIN-00307"/>
    <d v="2026-04-10T00:00:00"/>
    <x v="0"/>
    <x v="0"/>
    <x v="11"/>
    <x v="1"/>
    <s v="Islamabad"/>
    <s v="Shipfast"/>
    <x v="3"/>
    <n v="2750"/>
    <n v="2637.88"/>
    <n v="-112.11999999999989"/>
    <n v="-4.0770909090909052E-2"/>
    <x v="0"/>
    <n v="-2637.88"/>
    <x v="15"/>
  </r>
  <r>
    <s v="FIN-00308"/>
    <d v="2025-01-14T00:00:00"/>
    <x v="1"/>
    <x v="4"/>
    <x v="3"/>
    <x v="3"/>
    <s v="Karachi"/>
    <s v="Peoplefirst"/>
    <x v="3"/>
    <n v="11022.73"/>
    <n v="21875.49"/>
    <n v="10852.760000000002"/>
    <n v="0.98458004505236019"/>
    <x v="1"/>
    <n v="21875.49"/>
    <x v="0"/>
  </r>
  <r>
    <s v="FIN-00309"/>
    <d v="2025-04-10T00:00:00"/>
    <x v="0"/>
    <x v="6"/>
    <x v="8"/>
    <x v="2"/>
    <s v="Lahore"/>
    <s v="Cloudnet"/>
    <x v="2"/>
    <n v="3750"/>
    <n v="4935.22"/>
    <n v="1185.2200000000003"/>
    <n v="0.31605866666666671"/>
    <x v="1"/>
    <n v="-4935.22"/>
    <x v="3"/>
  </r>
  <r>
    <s v="FIN-00310"/>
    <d v="2025-01-20T00:00:00"/>
    <x v="0"/>
    <x v="3"/>
    <x v="1"/>
    <x v="4"/>
    <s v="Karachi"/>
    <s v="Markethub"/>
    <x v="2"/>
    <n v="1746"/>
    <n v="300.26"/>
    <n v="-1445.74"/>
    <n v="-0.82802978235967928"/>
    <x v="0"/>
    <n v="-300.26"/>
    <x v="0"/>
  </r>
  <r>
    <s v="FIN-00311"/>
    <d v="2025-07-28T00:00:00"/>
    <x v="1"/>
    <x v="3"/>
    <x v="3"/>
    <x v="2"/>
    <s v="Faisalabad"/>
    <s v="Legalworks"/>
    <x v="2"/>
    <n v="12500"/>
    <n v="20466.97"/>
    <n v="7966.9700000000012"/>
    <n v="0.63735760000000008"/>
    <x v="1"/>
    <n v="20466.97"/>
    <x v="6"/>
  </r>
  <r>
    <s v="FIN-00312"/>
    <d v="2025-11-10T00:00:00"/>
    <x v="0"/>
    <x v="5"/>
    <x v="10"/>
    <x v="0"/>
    <s v="Multan"/>
    <s v="Officepro"/>
    <x v="4"/>
    <n v="4666.67"/>
    <n v="448.02"/>
    <n v="-4218.6499999999996"/>
    <n v="-0.90399578286015503"/>
    <x v="0"/>
    <n v="-448.02"/>
    <x v="10"/>
  </r>
  <r>
    <s v="FIN-00313"/>
    <d v="2026-06-26T00:00:00"/>
    <x v="1"/>
    <x v="4"/>
    <x v="2"/>
    <x v="3"/>
    <s v="Peshawar"/>
    <s v="Shipfast"/>
    <x v="2"/>
    <n v="7272.73"/>
    <n v="367.63"/>
    <n v="-6905.0999999999995"/>
    <n v="-0.94945089395591475"/>
    <x v="0"/>
    <n v="367.63"/>
    <x v="13"/>
  </r>
  <r>
    <s v="FIN-00314"/>
    <d v="2026-01-27T00:00:00"/>
    <x v="1"/>
    <x v="1"/>
    <x v="13"/>
    <x v="3"/>
    <s v="Lahore"/>
    <s v="Powergrid"/>
    <x v="4"/>
    <n v="19400"/>
    <n v="2708.84"/>
    <n v="-16691.16"/>
    <n v="-0.8603690721649484"/>
    <x v="0"/>
    <n v="2708.84"/>
    <x v="12"/>
  </r>
  <r>
    <s v="FIN-00315"/>
    <d v="2026-04-22T00:00:00"/>
    <x v="1"/>
    <x v="0"/>
    <x v="3"/>
    <x v="4"/>
    <s v="Lahore"/>
    <s v="Officepro"/>
    <x v="1"/>
    <n v="8333.33"/>
    <n v="3987.47"/>
    <n v="-4345.8600000000006"/>
    <n v="-0.52150340860136346"/>
    <x v="0"/>
    <n v="3987.47"/>
    <x v="15"/>
  </r>
  <r>
    <s v="FIN-00316"/>
    <d v="2025-07-11T00:00:00"/>
    <x v="0"/>
    <x v="6"/>
    <x v="1"/>
    <x v="4"/>
    <s v="Multan"/>
    <s v="Adsphere"/>
    <x v="2"/>
    <n v="2250"/>
    <n v="1646.36"/>
    <n v="-603.6400000000001"/>
    <n v="-0.26828444444444449"/>
    <x v="0"/>
    <n v="-1646.36"/>
    <x v="6"/>
  </r>
  <r>
    <s v="FIN-00317"/>
    <d v="2026-06-02T00:00:00"/>
    <x v="0"/>
    <x v="6"/>
    <x v="11"/>
    <x v="4"/>
    <s v="Peshawar"/>
    <s v="Dataserve"/>
    <x v="3"/>
    <n v="3142.86"/>
    <n v="2823.88"/>
    <n v="-318.98"/>
    <n v="-0.10149354409677809"/>
    <x v="0"/>
    <n v="-2823.88"/>
    <x v="13"/>
  </r>
  <r>
    <s v="FIN-00318"/>
    <d v="2025-04-06T00:00:00"/>
    <x v="0"/>
    <x v="5"/>
    <x v="6"/>
    <x v="2"/>
    <s v="Karachi"/>
    <s v="Softworks"/>
    <x v="1"/>
    <n v="13846.15"/>
    <n v="9523.67"/>
    <n v="-4322.4799999999996"/>
    <n v="-0.31217919782755493"/>
    <x v="0"/>
    <n v="-9523.67"/>
    <x v="3"/>
  </r>
  <r>
    <s v="FIN-00319"/>
    <d v="2025-03-17T00:00:00"/>
    <x v="0"/>
    <x v="4"/>
    <x v="10"/>
    <x v="2"/>
    <s v="Lahore"/>
    <s v="Legalworks"/>
    <x v="4"/>
    <n v="8000"/>
    <n v="2020.04"/>
    <n v="-5979.96"/>
    <n v="-0.74749500000000002"/>
    <x v="0"/>
    <n v="-2020.04"/>
    <x v="2"/>
  </r>
  <r>
    <s v="FIN-00320"/>
    <d v="2025-03-01T00:00:00"/>
    <x v="0"/>
    <x v="0"/>
    <x v="9"/>
    <x v="4"/>
    <s v="Lahore"/>
    <s v="Peoplefirst"/>
    <x v="1"/>
    <n v="3928.57"/>
    <n v="517.85"/>
    <n v="-3410.7200000000003"/>
    <n v="-0.86818358843039578"/>
    <x v="0"/>
    <n v="-517.85"/>
    <x v="2"/>
  </r>
  <r>
    <s v="FIN-00321"/>
    <d v="2026-03-22T00:00:00"/>
    <x v="0"/>
    <x v="5"/>
    <x v="5"/>
    <x v="2"/>
    <s v="Karachi"/>
    <s v="Peoplefirst"/>
    <x v="1"/>
    <n v="6500"/>
    <n v="8237.4699999999993"/>
    <n v="1737.4699999999993"/>
    <n v="0.26730307692307681"/>
    <x v="1"/>
    <n v="-8237.4699999999993"/>
    <x v="14"/>
  </r>
  <r>
    <s v="FIN-00322"/>
    <d v="2025-09-08T00:00:00"/>
    <x v="0"/>
    <x v="6"/>
    <x v="6"/>
    <x v="1"/>
    <s v="Lahore"/>
    <s v="Peoplefirst"/>
    <x v="3"/>
    <n v="7500"/>
    <n v="13717.35"/>
    <n v="6217.35"/>
    <n v="0.82898000000000005"/>
    <x v="1"/>
    <n v="-13717.35"/>
    <x v="8"/>
  </r>
  <r>
    <s v="FIN-00323"/>
    <d v="2025-05-23T00:00:00"/>
    <x v="0"/>
    <x v="1"/>
    <x v="6"/>
    <x v="1"/>
    <s v="Karachi"/>
    <s v="Markethub"/>
    <x v="1"/>
    <n v="7200"/>
    <n v="1247.5"/>
    <n v="-5952.5"/>
    <n v="-0.82673611111111112"/>
    <x v="0"/>
    <n v="-1247.5"/>
    <x v="4"/>
  </r>
  <r>
    <s v="FIN-00324"/>
    <d v="2025-07-12T00:00:00"/>
    <x v="0"/>
    <x v="4"/>
    <x v="9"/>
    <x v="2"/>
    <s v="Faisalabad"/>
    <s v="Techsource"/>
    <x v="2"/>
    <n v="3437.5"/>
    <n v="4224.4799999999996"/>
    <n v="786.97999999999956"/>
    <n v="0.22893963636363623"/>
    <x v="1"/>
    <n v="-4224.4799999999996"/>
    <x v="6"/>
  </r>
  <r>
    <s v="FIN-00325"/>
    <d v="2026-03-02T00:00:00"/>
    <x v="1"/>
    <x v="1"/>
    <x v="3"/>
    <x v="2"/>
    <s v="Peshawar"/>
    <s v="Peoplefirst"/>
    <x v="2"/>
    <n v="11363.64"/>
    <n v="2582.87"/>
    <n v="-8780.77"/>
    <n v="-0.77270751273359606"/>
    <x v="0"/>
    <n v="2582.87"/>
    <x v="14"/>
  </r>
  <r>
    <s v="FIN-00326"/>
    <d v="2025-08-27T00:00:00"/>
    <x v="0"/>
    <x v="1"/>
    <x v="4"/>
    <x v="4"/>
    <s v="Islamabad"/>
    <s v="Buildcare"/>
    <x v="1"/>
    <n v="4666.67"/>
    <n v="188.01"/>
    <n v="-4478.66"/>
    <n v="-0.95971217163416311"/>
    <x v="0"/>
    <n v="-188.01"/>
    <x v="7"/>
  </r>
  <r>
    <s v="FIN-00327"/>
    <d v="2026-03-06T00:00:00"/>
    <x v="1"/>
    <x v="0"/>
    <x v="2"/>
    <x v="1"/>
    <s v="Karachi"/>
    <s v="Peoplefirst"/>
    <x v="4"/>
    <n v="10000"/>
    <n v="3993.42"/>
    <n v="-6006.58"/>
    <n v="-0.60065800000000003"/>
    <x v="0"/>
    <n v="3993.42"/>
    <x v="14"/>
  </r>
  <r>
    <s v="FIN-00328"/>
    <d v="2025-06-13T00:00:00"/>
    <x v="0"/>
    <x v="1"/>
    <x v="8"/>
    <x v="0"/>
    <s v="Karachi"/>
    <s v="Adsphere"/>
    <x v="2"/>
    <n v="5000"/>
    <n v="7081.08"/>
    <n v="2081.08"/>
    <n v="0.41621599999999997"/>
    <x v="1"/>
    <n v="-7081.08"/>
    <x v="5"/>
  </r>
  <r>
    <s v="FIN-00329"/>
    <d v="2026-05-07T00:00:00"/>
    <x v="0"/>
    <x v="2"/>
    <x v="7"/>
    <x v="4"/>
    <s v="Karachi"/>
    <s v="Shipfast"/>
    <x v="4"/>
    <n v="2692.31"/>
    <n v="1513.91"/>
    <n v="-1178.3999999999999"/>
    <n v="-0.43769105340766845"/>
    <x v="0"/>
    <n v="-1513.91"/>
    <x v="16"/>
  </r>
  <r>
    <s v="FIN-00330"/>
    <d v="2026-03-31T00:00:00"/>
    <x v="0"/>
    <x v="5"/>
    <x v="7"/>
    <x v="4"/>
    <s v="Faisalabad"/>
    <s v="Prime Supplies"/>
    <x v="1"/>
    <n v="3181.82"/>
    <n v="2375.5700000000002"/>
    <n v="-806.25"/>
    <n v="-0.25339271234702149"/>
    <x v="0"/>
    <n v="-2375.5700000000002"/>
    <x v="14"/>
  </r>
  <r>
    <s v="FIN-00331"/>
    <d v="2026-01-25T00:00:00"/>
    <x v="0"/>
    <x v="1"/>
    <x v="7"/>
    <x v="0"/>
    <s v="Islamabad"/>
    <s v="Markethub"/>
    <x v="2"/>
    <n v="3395"/>
    <n v="1526.15"/>
    <n v="-1868.85"/>
    <n v="-0.55047128129602352"/>
    <x v="0"/>
    <n v="-1526.15"/>
    <x v="12"/>
  </r>
  <r>
    <s v="FIN-00332"/>
    <d v="2025-01-03T00:00:00"/>
    <x v="0"/>
    <x v="5"/>
    <x v="10"/>
    <x v="1"/>
    <s v="Lahore"/>
    <s v="Peoplefirst"/>
    <x v="2"/>
    <n v="5542.86"/>
    <n v="4911.41"/>
    <n v="-631.44999999999982"/>
    <n v="-0.11392133303024068"/>
    <x v="0"/>
    <n v="-4911.41"/>
    <x v="0"/>
  </r>
  <r>
    <s v="FIN-00333"/>
    <d v="2025-04-24T00:00:00"/>
    <x v="0"/>
    <x v="2"/>
    <x v="6"/>
    <x v="2"/>
    <s v="Karachi"/>
    <s v="Travellink"/>
    <x v="1"/>
    <n v="13846.15"/>
    <n v="15259.97"/>
    <n v="1413.8199999999997"/>
    <n v="0.10210925058590292"/>
    <x v="1"/>
    <n v="-15259.97"/>
    <x v="3"/>
  </r>
  <r>
    <s v="FIN-00334"/>
    <d v="2025-04-11T00:00:00"/>
    <x v="0"/>
    <x v="4"/>
    <x v="0"/>
    <x v="3"/>
    <s v="Islamabad"/>
    <s v="Legalworks"/>
    <x v="4"/>
    <n v="5333.33"/>
    <n v="4087.52"/>
    <n v="-1245.81"/>
    <n v="-0.23358952099345062"/>
    <x v="0"/>
    <n v="-4087.52"/>
    <x v="3"/>
  </r>
  <r>
    <s v="FIN-00335"/>
    <d v="2025-06-05T00:00:00"/>
    <x v="0"/>
    <x v="5"/>
    <x v="7"/>
    <x v="1"/>
    <s v="Faisalabad"/>
    <s v="Travellink"/>
    <x v="4"/>
    <n v="4375"/>
    <n v="2413.5100000000002"/>
    <n v="-1961.4899999999998"/>
    <n v="-0.44834057142857137"/>
    <x v="0"/>
    <n v="-2413.5100000000002"/>
    <x v="5"/>
  </r>
  <r>
    <s v="FIN-00336"/>
    <d v="2025-12-24T00:00:00"/>
    <x v="0"/>
    <x v="6"/>
    <x v="6"/>
    <x v="1"/>
    <s v="Karachi"/>
    <s v="Dataserve"/>
    <x v="3"/>
    <n v="7875"/>
    <n v="5707.37"/>
    <n v="-2167.63"/>
    <n v="-0.27525460317460321"/>
    <x v="0"/>
    <n v="-5707.37"/>
    <x v="11"/>
  </r>
  <r>
    <s v="FIN-00337"/>
    <d v="2025-04-04T00:00:00"/>
    <x v="0"/>
    <x v="2"/>
    <x v="10"/>
    <x v="0"/>
    <s v="Multan"/>
    <s v="Cloudnet"/>
    <x v="1"/>
    <n v="5714.29"/>
    <n v="5273.07"/>
    <n v="-441.22000000000025"/>
    <n v="-7.7213442089918483E-2"/>
    <x v="0"/>
    <n v="-5273.07"/>
    <x v="3"/>
  </r>
  <r>
    <s v="FIN-00338"/>
    <d v="2026-03-14T00:00:00"/>
    <x v="1"/>
    <x v="0"/>
    <x v="3"/>
    <x v="3"/>
    <s v="Karachi"/>
    <s v="Dataserve"/>
    <x v="2"/>
    <n v="11363.64"/>
    <n v="17343.3"/>
    <n v="5979.66"/>
    <n v="0.52620991161282826"/>
    <x v="1"/>
    <n v="17343.3"/>
    <x v="14"/>
  </r>
  <r>
    <s v="FIN-00339"/>
    <d v="2025-11-02T00:00:00"/>
    <x v="0"/>
    <x v="2"/>
    <x v="0"/>
    <x v="3"/>
    <s v="Peshawar"/>
    <s v="Markethub"/>
    <x v="1"/>
    <n v="5600"/>
    <n v="1317.18"/>
    <n v="-4282.82"/>
    <n v="-0.76478928571428562"/>
    <x v="0"/>
    <n v="-1317.18"/>
    <x v="10"/>
  </r>
  <r>
    <s v="FIN-00340"/>
    <d v="2025-06-14T00:00:00"/>
    <x v="1"/>
    <x v="3"/>
    <x v="2"/>
    <x v="0"/>
    <s v="Karachi"/>
    <s v="Cloudnet"/>
    <x v="3"/>
    <n v="5333.33"/>
    <n v="4075.11"/>
    <n v="-1258.2199999999998"/>
    <n v="-0.23591639744774837"/>
    <x v="0"/>
    <n v="4075.11"/>
    <x v="5"/>
  </r>
  <r>
    <s v="FIN-00341"/>
    <d v="2025-10-10T00:00:00"/>
    <x v="0"/>
    <x v="5"/>
    <x v="9"/>
    <x v="1"/>
    <s v="Faisalabad"/>
    <s v="Legalworks"/>
    <x v="1"/>
    <n v="3928.57"/>
    <n v="1761.06"/>
    <n v="-2167.5100000000002"/>
    <n v="-0.55173001881091599"/>
    <x v="0"/>
    <n v="-1761.06"/>
    <x v="9"/>
  </r>
  <r>
    <s v="FIN-00342"/>
    <d v="2025-03-29T00:00:00"/>
    <x v="0"/>
    <x v="2"/>
    <x v="6"/>
    <x v="2"/>
    <s v="Karachi"/>
    <s v="Travellink"/>
    <x v="4"/>
    <n v="6000"/>
    <n v="10346.73"/>
    <n v="4346.7299999999996"/>
    <n v="0.72445499999999996"/>
    <x v="1"/>
    <n v="-10346.73"/>
    <x v="2"/>
  </r>
  <r>
    <s v="FIN-00343"/>
    <d v="2026-03-13T00:00:00"/>
    <x v="0"/>
    <x v="6"/>
    <x v="5"/>
    <x v="1"/>
    <s v="Karachi"/>
    <s v="Adsphere"/>
    <x v="0"/>
    <n v="6500"/>
    <n v="3384.54"/>
    <n v="-3115.46"/>
    <n v="-0.47930153846153845"/>
    <x v="0"/>
    <n v="-3384.54"/>
    <x v="14"/>
  </r>
  <r>
    <s v="FIN-00344"/>
    <d v="2026-04-16T00:00:00"/>
    <x v="0"/>
    <x v="4"/>
    <x v="6"/>
    <x v="4"/>
    <s v="Karachi"/>
    <s v="Travellink"/>
    <x v="0"/>
    <n v="8571.43"/>
    <n v="9348.84"/>
    <n v="777.40999999999985"/>
    <n v="9.0697818217030282E-2"/>
    <x v="1"/>
    <n v="-9348.84"/>
    <x v="15"/>
  </r>
  <r>
    <s v="FIN-00345"/>
    <d v="2025-10-18T00:00:00"/>
    <x v="1"/>
    <x v="6"/>
    <x v="2"/>
    <x v="3"/>
    <s v="Islamabad"/>
    <s v="Dataserve"/>
    <x v="4"/>
    <n v="4705.88"/>
    <n v="6970.51"/>
    <n v="2264.63"/>
    <n v="0.48123411561705781"/>
    <x v="1"/>
    <n v="6970.51"/>
    <x v="9"/>
  </r>
  <r>
    <s v="FIN-00346"/>
    <d v="2025-08-27T00:00:00"/>
    <x v="0"/>
    <x v="2"/>
    <x v="6"/>
    <x v="0"/>
    <s v="Lahore"/>
    <s v="Peoplefirst"/>
    <x v="3"/>
    <n v="8181.82"/>
    <n v="2046.23"/>
    <n v="-6135.59"/>
    <n v="-0.74990527779882721"/>
    <x v="0"/>
    <n v="-2046.23"/>
    <x v="7"/>
  </r>
  <r>
    <s v="FIN-00347"/>
    <d v="2025-01-31T00:00:00"/>
    <x v="0"/>
    <x v="1"/>
    <x v="6"/>
    <x v="4"/>
    <s v="Faisalabad"/>
    <s v="Dataserve"/>
    <x v="4"/>
    <n v="7591.3"/>
    <n v="16063.67"/>
    <n v="8472.369999999999"/>
    <n v="1.1160631248929693"/>
    <x v="1"/>
    <n v="-16063.67"/>
    <x v="0"/>
  </r>
  <r>
    <s v="FIN-00348"/>
    <d v="2025-12-25T00:00:00"/>
    <x v="0"/>
    <x v="4"/>
    <x v="9"/>
    <x v="4"/>
    <s v="Islamabad"/>
    <s v="Peoplefirst"/>
    <x v="4"/>
    <n v="4125"/>
    <n v="1317.44"/>
    <n v="-2807.56"/>
    <n v="-0.68062060606060604"/>
    <x v="0"/>
    <n v="-1317.44"/>
    <x v="11"/>
  </r>
  <r>
    <s v="FIN-00349"/>
    <d v="2025-06-21T00:00:00"/>
    <x v="0"/>
    <x v="6"/>
    <x v="5"/>
    <x v="2"/>
    <s v="Faisalabad"/>
    <s v="Cloudnet"/>
    <x v="1"/>
    <n v="8125"/>
    <n v="11382.1"/>
    <n v="3257.1000000000004"/>
    <n v="0.40087384615384619"/>
    <x v="1"/>
    <n v="-11382.1"/>
    <x v="5"/>
  </r>
  <r>
    <s v="FIN-00350"/>
    <d v="2025-09-08T00:00:00"/>
    <x v="0"/>
    <x v="6"/>
    <x v="0"/>
    <x v="2"/>
    <s v="Islamabad"/>
    <s v="Softworks"/>
    <x v="0"/>
    <n v="5333.33"/>
    <n v="4443.3500000000004"/>
    <n v="-889.97999999999956"/>
    <n v="-0.16687135429459635"/>
    <x v="0"/>
    <n v="-4443.3500000000004"/>
    <x v="8"/>
  </r>
  <r>
    <s v="FIN-00351"/>
    <d v="2025-07-03T00:00:00"/>
    <x v="0"/>
    <x v="6"/>
    <x v="6"/>
    <x v="4"/>
    <s v="Karachi"/>
    <s v="Urban Facilities"/>
    <x v="0"/>
    <n v="6923.08"/>
    <n v="2847.22"/>
    <n v="-4075.86"/>
    <n v="-0.58873507167330152"/>
    <x v="0"/>
    <n v="-2847.22"/>
    <x v="6"/>
  </r>
  <r>
    <s v="FIN-00352"/>
    <d v="2026-03-12T00:00:00"/>
    <x v="1"/>
    <x v="0"/>
    <x v="3"/>
    <x v="4"/>
    <s v="Karachi"/>
    <s v="Adsphere"/>
    <x v="3"/>
    <n v="11363.64"/>
    <n v="17460.23"/>
    <n v="6096.59"/>
    <n v="0.53649974832008063"/>
    <x v="1"/>
    <n v="17460.23"/>
    <x v="14"/>
  </r>
  <r>
    <s v="FIN-00353"/>
    <d v="2025-10-12T00:00:00"/>
    <x v="0"/>
    <x v="1"/>
    <x v="4"/>
    <x v="3"/>
    <s v="Karachi"/>
    <s v="Powergrid"/>
    <x v="2"/>
    <n v="3500"/>
    <n v="1064.31"/>
    <n v="-2435.69"/>
    <n v="-0.69591142857142863"/>
    <x v="0"/>
    <n v="-1064.31"/>
    <x v="9"/>
  </r>
  <r>
    <s v="FIN-00354"/>
    <d v="2026-06-16T00:00:00"/>
    <x v="0"/>
    <x v="2"/>
    <x v="4"/>
    <x v="1"/>
    <s v="Karachi"/>
    <s v="Urban Facilities"/>
    <x v="4"/>
    <n v="5600"/>
    <n v="2858.81"/>
    <n v="-2741.19"/>
    <n v="-0.48949821428571427"/>
    <x v="0"/>
    <n v="-2858.81"/>
    <x v="13"/>
  </r>
  <r>
    <s v="FIN-00355"/>
    <d v="2025-10-26T00:00:00"/>
    <x v="0"/>
    <x v="6"/>
    <x v="5"/>
    <x v="4"/>
    <s v="Karachi"/>
    <s v="Buildcare"/>
    <x v="1"/>
    <n v="9285.7099999999991"/>
    <n v="8673.36"/>
    <n v="-612.34999999999854"/>
    <n v="-6.5945415051729878E-2"/>
    <x v="0"/>
    <n v="-8673.36"/>
    <x v="9"/>
  </r>
  <r>
    <s v="FIN-00356"/>
    <d v="2025-04-14T00:00:00"/>
    <x v="0"/>
    <x v="2"/>
    <x v="4"/>
    <x v="3"/>
    <s v="Karachi"/>
    <s v="Softworks"/>
    <x v="1"/>
    <n v="9333.33"/>
    <n v="796.24"/>
    <n v="-8537.09"/>
    <n v="-0.91468854096019325"/>
    <x v="0"/>
    <n v="-796.24"/>
    <x v="3"/>
  </r>
  <r>
    <s v="FIN-00357"/>
    <d v="2025-02-11T00:00:00"/>
    <x v="0"/>
    <x v="5"/>
    <x v="1"/>
    <x v="2"/>
    <s v="Faisalabad"/>
    <s v="Softworks"/>
    <x v="2"/>
    <n v="1940"/>
    <n v="1476.33"/>
    <n v="-463.67000000000007"/>
    <n v="-0.23900515463917529"/>
    <x v="0"/>
    <n v="-1476.33"/>
    <x v="1"/>
  </r>
  <r>
    <s v="FIN-00358"/>
    <d v="2025-09-11T00:00:00"/>
    <x v="0"/>
    <x v="5"/>
    <x v="5"/>
    <x v="3"/>
    <s v="Karachi"/>
    <s v="Peoplefirst"/>
    <x v="1"/>
    <n v="9285.7099999999991"/>
    <n v="6437.06"/>
    <n v="-2848.6499999999987"/>
    <n v="-0.30677783389746172"/>
    <x v="0"/>
    <n v="-6437.06"/>
    <x v="8"/>
  </r>
  <r>
    <s v="FIN-00359"/>
    <d v="2025-08-15T00:00:00"/>
    <x v="1"/>
    <x v="4"/>
    <x v="3"/>
    <x v="4"/>
    <s v="Islamabad"/>
    <s v="Buildcare"/>
    <x v="4"/>
    <n v="10416.67"/>
    <n v="23295.5"/>
    <n v="12878.83"/>
    <n v="1.2363672843624689"/>
    <x v="1"/>
    <n v="23295.5"/>
    <x v="7"/>
  </r>
  <r>
    <s v="FIN-00360"/>
    <d v="2025-01-10T00:00:00"/>
    <x v="1"/>
    <x v="3"/>
    <x v="14"/>
    <x v="2"/>
    <s v="Lahore"/>
    <s v="Techsource"/>
    <x v="1"/>
    <n v="11022.73"/>
    <n v="7154.43"/>
    <n v="-3868.2999999999993"/>
    <n v="-0.350938469870894"/>
    <x v="0"/>
    <n v="7154.43"/>
    <x v="0"/>
  </r>
  <r>
    <s v="FIN-00361"/>
    <d v="2025-03-10T00:00:00"/>
    <x v="1"/>
    <x v="3"/>
    <x v="12"/>
    <x v="4"/>
    <s v="Karachi"/>
    <s v="Adsphere"/>
    <x v="2"/>
    <n v="9090.91"/>
    <n v="10096.959999999999"/>
    <n v="1006.0499999999993"/>
    <n v="0.11066548893345103"/>
    <x v="1"/>
    <n v="10096.959999999999"/>
    <x v="2"/>
  </r>
  <r>
    <s v="FIN-00362"/>
    <d v="2025-08-06T00:00:00"/>
    <x v="1"/>
    <x v="1"/>
    <x v="3"/>
    <x v="3"/>
    <s v="Peshawar"/>
    <s v="Officepro"/>
    <x v="1"/>
    <n v="10416.67"/>
    <n v="15594.44"/>
    <n v="5177.7700000000004"/>
    <n v="0.49706576093895655"/>
    <x v="1"/>
    <n v="15594.44"/>
    <x v="7"/>
  </r>
  <r>
    <s v="FIN-00363"/>
    <d v="2025-08-03T00:00:00"/>
    <x v="1"/>
    <x v="3"/>
    <x v="12"/>
    <x v="0"/>
    <s v="Karachi"/>
    <s v="Urban Facilities"/>
    <x v="2"/>
    <n v="7142.86"/>
    <n v="7219.16"/>
    <n v="76.300000000000182"/>
    <n v="1.0681995727201734E-2"/>
    <x v="1"/>
    <n v="7219.16"/>
    <x v="7"/>
  </r>
  <r>
    <s v="FIN-00364"/>
    <d v="2025-09-21T00:00:00"/>
    <x v="0"/>
    <x v="3"/>
    <x v="10"/>
    <x v="3"/>
    <s v="Islamabad"/>
    <s v="Travellink"/>
    <x v="1"/>
    <n v="5000"/>
    <n v="5548.76"/>
    <n v="548.76000000000022"/>
    <n v="0.10975200000000004"/>
    <x v="1"/>
    <n v="-5548.76"/>
    <x v="8"/>
  </r>
  <r>
    <s v="FIN-00365"/>
    <d v="2025-10-10T00:00:00"/>
    <x v="0"/>
    <x v="4"/>
    <x v="4"/>
    <x v="1"/>
    <s v="Karachi"/>
    <s v="Shipfast"/>
    <x v="3"/>
    <n v="3500"/>
    <n v="0"/>
    <n v="-3500"/>
    <n v="-1"/>
    <x v="0"/>
    <n v="0"/>
    <x v="9"/>
  </r>
  <r>
    <s v="FIN-00366"/>
    <d v="2026-03-01T00:00:00"/>
    <x v="1"/>
    <x v="2"/>
    <x v="3"/>
    <x v="3"/>
    <s v="Islamabad"/>
    <s v="Urban Facilities"/>
    <x v="3"/>
    <n v="11363.64"/>
    <n v="1875.77"/>
    <n v="-9487.869999999999"/>
    <n v="-0.83493229282166626"/>
    <x v="0"/>
    <n v="1875.77"/>
    <x v="14"/>
  </r>
  <r>
    <s v="FIN-00367"/>
    <d v="2025-09-17T00:00:00"/>
    <x v="0"/>
    <x v="2"/>
    <x v="11"/>
    <x v="0"/>
    <s v="Islamabad"/>
    <s v="Travellink"/>
    <x v="4"/>
    <n v="5500"/>
    <n v="2339.92"/>
    <n v="-3160.08"/>
    <n v="-0.57455999999999996"/>
    <x v="0"/>
    <n v="-2339.92"/>
    <x v="8"/>
  </r>
  <r>
    <s v="FIN-00368"/>
    <d v="2026-02-07T00:00:00"/>
    <x v="1"/>
    <x v="3"/>
    <x v="3"/>
    <x v="4"/>
    <s v="Faisalabad"/>
    <s v="Powergrid"/>
    <x v="1"/>
    <n v="12125"/>
    <n v="24671"/>
    <n v="12546"/>
    <n v="1.0347216494845362"/>
    <x v="1"/>
    <n v="24671"/>
    <x v="17"/>
  </r>
  <r>
    <s v="FIN-00369"/>
    <d v="2025-12-29T00:00:00"/>
    <x v="0"/>
    <x v="1"/>
    <x v="9"/>
    <x v="0"/>
    <s v="Karachi"/>
    <s v="Powergrid"/>
    <x v="0"/>
    <n v="4125"/>
    <n v="8631.93"/>
    <n v="4506.93"/>
    <n v="1.092589090909091"/>
    <x v="1"/>
    <n v="-8631.93"/>
    <x v="11"/>
  </r>
  <r>
    <s v="FIN-00370"/>
    <d v="2025-04-13T00:00:00"/>
    <x v="0"/>
    <x v="2"/>
    <x v="7"/>
    <x v="4"/>
    <s v="Karachi"/>
    <s v="Adsphere"/>
    <x v="2"/>
    <n v="4375"/>
    <n v="869.42"/>
    <n v="-3505.58"/>
    <n v="-0.80127542857142853"/>
    <x v="0"/>
    <n v="-869.42"/>
    <x v="3"/>
  </r>
  <r>
    <s v="FIN-00371"/>
    <d v="2025-03-21T00:00:00"/>
    <x v="0"/>
    <x v="6"/>
    <x v="6"/>
    <x v="3"/>
    <s v="Karachi"/>
    <s v="Softworks"/>
    <x v="1"/>
    <n v="6000"/>
    <n v="5222.99"/>
    <n v="-777.01000000000022"/>
    <n v="-0.12950166666666671"/>
    <x v="0"/>
    <n v="-5222.99"/>
    <x v="2"/>
  </r>
  <r>
    <s v="FIN-00372"/>
    <d v="2025-03-28T00:00:00"/>
    <x v="1"/>
    <x v="2"/>
    <x v="3"/>
    <x v="0"/>
    <s v="Lahore"/>
    <s v="Shipfast"/>
    <x v="2"/>
    <n v="8064.52"/>
    <n v="3553.28"/>
    <n v="-4511.24"/>
    <n v="-0.55939349149112405"/>
    <x v="0"/>
    <n v="3553.28"/>
    <x v="2"/>
  </r>
  <r>
    <s v="FIN-00373"/>
    <d v="2025-04-17T00:00:00"/>
    <x v="0"/>
    <x v="1"/>
    <x v="5"/>
    <x v="4"/>
    <s v="Karachi"/>
    <s v="Peoplefirst"/>
    <x v="3"/>
    <n v="5416.67"/>
    <n v="8329.25"/>
    <n v="2912.58"/>
    <n v="0.53770674602661783"/>
    <x v="1"/>
    <n v="-8329.25"/>
    <x v="3"/>
  </r>
  <r>
    <s v="FIN-00374"/>
    <d v="2025-04-16T00:00:00"/>
    <x v="1"/>
    <x v="4"/>
    <x v="3"/>
    <x v="3"/>
    <s v="Faisalabad"/>
    <s v="Techsource"/>
    <x v="2"/>
    <n v="11363.64"/>
    <n v="4344.32"/>
    <n v="-7019.32"/>
    <n v="-0.6176999623360121"/>
    <x v="0"/>
    <n v="4344.32"/>
    <x v="3"/>
  </r>
  <r>
    <s v="FIN-00375"/>
    <d v="2025-03-18T00:00:00"/>
    <x v="0"/>
    <x v="5"/>
    <x v="7"/>
    <x v="4"/>
    <s v="Peshawar"/>
    <s v="Powergrid"/>
    <x v="1"/>
    <n v="4375"/>
    <n v="3310.06"/>
    <n v="-1064.94"/>
    <n v="-0.24341485714285716"/>
    <x v="0"/>
    <n v="-3310.06"/>
    <x v="2"/>
  </r>
  <r>
    <s v="FIN-00376"/>
    <d v="2025-12-05T00:00:00"/>
    <x v="0"/>
    <x v="0"/>
    <x v="6"/>
    <x v="1"/>
    <s v="Lahore"/>
    <s v="Dataserve"/>
    <x v="1"/>
    <n v="7875"/>
    <n v="2253.0700000000002"/>
    <n v="-5621.93"/>
    <n v="-0.71389587301587309"/>
    <x v="0"/>
    <n v="-2253.0700000000002"/>
    <x v="11"/>
  </r>
  <r>
    <s v="FIN-00377"/>
    <d v="2025-07-01T00:00:00"/>
    <x v="0"/>
    <x v="1"/>
    <x v="9"/>
    <x v="3"/>
    <s v="Karachi"/>
    <s v="Officepro"/>
    <x v="3"/>
    <n v="3437.5"/>
    <n v="6930.04"/>
    <n v="3492.54"/>
    <n v="1.0160116363636365"/>
    <x v="1"/>
    <n v="-6930.04"/>
    <x v="6"/>
  </r>
  <r>
    <s v="FIN-00378"/>
    <d v="2026-02-25T00:00:00"/>
    <x v="1"/>
    <x v="3"/>
    <x v="3"/>
    <x v="1"/>
    <s v="Lahore"/>
    <s v="Urban Facilities"/>
    <x v="3"/>
    <n v="12125"/>
    <n v="10073.950000000001"/>
    <n v="-2051.0499999999993"/>
    <n v="-0.16915876288659787"/>
    <x v="0"/>
    <n v="10073.950000000001"/>
    <x v="17"/>
  </r>
  <r>
    <s v="FIN-00379"/>
    <d v="2025-04-06T00:00:00"/>
    <x v="1"/>
    <x v="0"/>
    <x v="3"/>
    <x v="2"/>
    <s v="Faisalabad"/>
    <s v="Powergrid"/>
    <x v="1"/>
    <n v="11363.64"/>
    <n v="15219.46"/>
    <n v="3855.8199999999997"/>
    <n v="0.33931205142014353"/>
    <x v="1"/>
    <n v="15219.46"/>
    <x v="3"/>
  </r>
  <r>
    <s v="FIN-00380"/>
    <d v="2025-07-23T00:00:00"/>
    <x v="1"/>
    <x v="5"/>
    <x v="13"/>
    <x v="4"/>
    <s v="Karachi"/>
    <s v="Cloudnet"/>
    <x v="3"/>
    <n v="4000"/>
    <n v="3127.15"/>
    <n v="-872.84999999999991"/>
    <n v="-0.21821249999999998"/>
    <x v="0"/>
    <n v="3127.15"/>
    <x v="6"/>
  </r>
  <r>
    <s v="FIN-00381"/>
    <d v="2026-05-06T00:00:00"/>
    <x v="0"/>
    <x v="5"/>
    <x v="8"/>
    <x v="0"/>
    <s v="Lahore"/>
    <s v="Travellink"/>
    <x v="3"/>
    <n v="2727.27"/>
    <n v="6121.36"/>
    <n v="3394.0899999999997"/>
    <n v="1.2445009111675778"/>
    <x v="1"/>
    <n v="-6121.36"/>
    <x v="16"/>
  </r>
  <r>
    <s v="FIN-00382"/>
    <d v="2026-01-07T00:00:00"/>
    <x v="1"/>
    <x v="3"/>
    <x v="2"/>
    <x v="1"/>
    <s v="Islamabad"/>
    <s v="Prime Supplies"/>
    <x v="4"/>
    <n v="8622.2199999999993"/>
    <n v="5222.74"/>
    <n v="-3399.4799999999996"/>
    <n v="-0.39426968924476524"/>
    <x v="0"/>
    <n v="5222.74"/>
    <x v="12"/>
  </r>
  <r>
    <s v="FIN-00383"/>
    <d v="2025-09-09T00:00:00"/>
    <x v="1"/>
    <x v="3"/>
    <x v="3"/>
    <x v="2"/>
    <s v="Karachi"/>
    <s v="Peoplefirst"/>
    <x v="2"/>
    <n v="11904.76"/>
    <n v="15105.37"/>
    <n v="3200.6100000000006"/>
    <n v="0.26885128301620531"/>
    <x v="1"/>
    <n v="15105.37"/>
    <x v="8"/>
  </r>
  <r>
    <s v="FIN-00384"/>
    <d v="2025-06-24T00:00:00"/>
    <x v="0"/>
    <x v="4"/>
    <x v="1"/>
    <x v="2"/>
    <s v="Karachi"/>
    <s v="Travellink"/>
    <x v="2"/>
    <n v="2000"/>
    <n v="1330.35"/>
    <n v="-669.65000000000009"/>
    <n v="-0.33482500000000004"/>
    <x v="0"/>
    <n v="-1330.35"/>
    <x v="5"/>
  </r>
  <r>
    <s v="FIN-00385"/>
    <d v="2025-02-07T00:00:00"/>
    <x v="0"/>
    <x v="1"/>
    <x v="0"/>
    <x v="3"/>
    <s v="Islamabad"/>
    <s v="Dataserve"/>
    <x v="1"/>
    <n v="6208"/>
    <n v="2461.8000000000002"/>
    <n v="-3746.2"/>
    <n v="-0.60344716494845363"/>
    <x v="0"/>
    <n v="-2461.8000000000002"/>
    <x v="1"/>
  </r>
  <r>
    <s v="FIN-00386"/>
    <d v="2025-05-11T00:00:00"/>
    <x v="1"/>
    <x v="6"/>
    <x v="12"/>
    <x v="2"/>
    <s v="Karachi"/>
    <s v="Cloudnet"/>
    <x v="4"/>
    <n v="9090.91"/>
    <n v="13816.68"/>
    <n v="4725.7700000000004"/>
    <n v="0.51983464801653523"/>
    <x v="1"/>
    <n v="13816.68"/>
    <x v="4"/>
  </r>
  <r>
    <s v="FIN-00387"/>
    <d v="2026-02-12T00:00:00"/>
    <x v="0"/>
    <x v="1"/>
    <x v="0"/>
    <x v="0"/>
    <s v="Lahore"/>
    <s v="Shipfast"/>
    <x v="1"/>
    <n v="5173.33"/>
    <n v="5974.3"/>
    <n v="800.97000000000025"/>
    <n v="0.15482677501725201"/>
    <x v="1"/>
    <n v="-5974.3"/>
    <x v="17"/>
  </r>
  <r>
    <s v="FIN-00388"/>
    <d v="2025-05-25T00:00:00"/>
    <x v="0"/>
    <x v="4"/>
    <x v="9"/>
    <x v="4"/>
    <s v="Peshawar"/>
    <s v="Officepro"/>
    <x v="0"/>
    <n v="5500"/>
    <n v="8592.8700000000008"/>
    <n v="3092.8700000000008"/>
    <n v="0.56234000000000017"/>
    <x v="1"/>
    <n v="-8592.8700000000008"/>
    <x v="4"/>
  </r>
  <r>
    <s v="FIN-00389"/>
    <d v="2025-06-08T00:00:00"/>
    <x v="0"/>
    <x v="6"/>
    <x v="9"/>
    <x v="0"/>
    <s v="Karachi"/>
    <s v="Peoplefirst"/>
    <x v="1"/>
    <n v="5500"/>
    <n v="1924.22"/>
    <n v="-3575.7799999999997"/>
    <n v="-0.65014181818181815"/>
    <x v="0"/>
    <n v="-1924.22"/>
    <x v="5"/>
  </r>
  <r>
    <s v="FIN-00390"/>
    <d v="2025-07-25T00:00:00"/>
    <x v="0"/>
    <x v="6"/>
    <x v="4"/>
    <x v="3"/>
    <s v="Karachi"/>
    <s v="Markethub"/>
    <x v="1"/>
    <n v="4666.67"/>
    <n v="625.47"/>
    <n v="-4041.2"/>
    <n v="-0.86597081002084997"/>
    <x v="0"/>
    <n v="-625.47"/>
    <x v="6"/>
  </r>
  <r>
    <s v="FIN-00391"/>
    <d v="2025-12-22T00:00:00"/>
    <x v="1"/>
    <x v="3"/>
    <x v="3"/>
    <x v="4"/>
    <s v="Lahore"/>
    <s v="Adsphere"/>
    <x v="1"/>
    <n v="15441.18"/>
    <n v="5084.32"/>
    <n v="-10356.86"/>
    <n v="-0.67072982764270606"/>
    <x v="0"/>
    <n v="5084.32"/>
    <x v="11"/>
  </r>
  <r>
    <s v="FIN-00392"/>
    <d v="2025-12-07T00:00:00"/>
    <x v="0"/>
    <x v="1"/>
    <x v="1"/>
    <x v="4"/>
    <s v="Islamabad"/>
    <s v="Markethub"/>
    <x v="0"/>
    <n v="2100"/>
    <n v="222.05"/>
    <n v="-1877.95"/>
    <n v="-0.89426190476190481"/>
    <x v="0"/>
    <n v="-222.05"/>
    <x v="11"/>
  </r>
  <r>
    <s v="FIN-00393"/>
    <d v="2025-11-08T00:00:00"/>
    <x v="1"/>
    <x v="3"/>
    <x v="2"/>
    <x v="4"/>
    <s v="Peshawar"/>
    <s v="Dataserve"/>
    <x v="1"/>
    <n v="8400"/>
    <n v="2496.37"/>
    <n v="-5903.63"/>
    <n v="-0.70281309523809521"/>
    <x v="0"/>
    <n v="2496.37"/>
    <x v="10"/>
  </r>
  <r>
    <s v="FIN-00394"/>
    <d v="2025-05-29T00:00:00"/>
    <x v="0"/>
    <x v="0"/>
    <x v="5"/>
    <x v="4"/>
    <s v="Karachi"/>
    <s v="Dataserve"/>
    <x v="3"/>
    <n v="4642.8599999999997"/>
    <n v="10655.13"/>
    <n v="6012.2699999999995"/>
    <n v="1.2949496646463603"/>
    <x v="1"/>
    <n v="-10655.13"/>
    <x v="4"/>
  </r>
  <r>
    <s v="FIN-00395"/>
    <d v="2025-06-14T00:00:00"/>
    <x v="1"/>
    <x v="3"/>
    <x v="3"/>
    <x v="4"/>
    <s v="Multan"/>
    <s v="Travellink"/>
    <x v="4"/>
    <n v="9615.3799999999992"/>
    <n v="2127.7399999999998"/>
    <n v="-7487.6399999999994"/>
    <n v="-0.77871493378316825"/>
    <x v="0"/>
    <n v="2127.7399999999998"/>
    <x v="5"/>
  </r>
  <r>
    <s v="FIN-00396"/>
    <d v="2026-02-28T00:00:00"/>
    <x v="0"/>
    <x v="0"/>
    <x v="6"/>
    <x v="3"/>
    <s v="Karachi"/>
    <s v="Urban Facilities"/>
    <x v="5"/>
    <n v="9189.4699999999993"/>
    <n v="11133.84"/>
    <n v="1944.3700000000008"/>
    <n v="0.21158674004050299"/>
    <x v="1"/>
    <n v="-11133.84"/>
    <x v="17"/>
  </r>
  <r>
    <s v="FIN-00397"/>
    <d v="2025-10-23T00:00:00"/>
    <x v="0"/>
    <x v="0"/>
    <x v="10"/>
    <x v="0"/>
    <s v="Islamabad"/>
    <s v="Officepro"/>
    <x v="1"/>
    <n v="3333.33"/>
    <n v="4307.95"/>
    <n v="974.61999999999989"/>
    <n v="0.29238629238629238"/>
    <x v="1"/>
    <n v="-4307.95"/>
    <x v="9"/>
  </r>
  <r>
    <s v="FIN-00398"/>
    <d v="2025-03-11T00:00:00"/>
    <x v="0"/>
    <x v="5"/>
    <x v="6"/>
    <x v="4"/>
    <s v="Lahore"/>
    <s v="Prime Supplies"/>
    <x v="1"/>
    <n v="6000"/>
    <n v="16916.66"/>
    <n v="10916.66"/>
    <n v="1.8194433333333333"/>
    <x v="1"/>
    <n v="-16916.66"/>
    <x v="2"/>
  </r>
  <r>
    <s v="FIN-00399"/>
    <d v="2025-01-15T00:00:00"/>
    <x v="1"/>
    <x v="0"/>
    <x v="12"/>
    <x v="2"/>
    <s v="Karachi"/>
    <s v="Techsource"/>
    <x v="1"/>
    <n v="9700"/>
    <n v="3007.73"/>
    <n v="-6692.27"/>
    <n v="-0.68992474226804124"/>
    <x v="0"/>
    <n v="3007.73"/>
    <x v="0"/>
  </r>
  <r>
    <s v="FIN-00400"/>
    <d v="2025-05-14T00:00:00"/>
    <x v="0"/>
    <x v="2"/>
    <x v="11"/>
    <x v="4"/>
    <s v="Karachi"/>
    <s v="Shipfast"/>
    <x v="2"/>
    <n v="5500"/>
    <n v="2309.04"/>
    <n v="-3190.96"/>
    <n v="-0.5801745454545455"/>
    <x v="0"/>
    <n v="-2309.04"/>
    <x v="4"/>
  </r>
  <r>
    <s v="FIN-00401"/>
    <d v="2025-10-21T00:00:00"/>
    <x v="0"/>
    <x v="6"/>
    <x v="10"/>
    <x v="2"/>
    <s v="Karachi"/>
    <s v="Softworks"/>
    <x v="1"/>
    <n v="3333.33"/>
    <n v="5580.2"/>
    <n v="2246.87"/>
    <n v="0.67406167406167405"/>
    <x v="1"/>
    <n v="-5580.2"/>
    <x v="9"/>
  </r>
  <r>
    <s v="FIN-00402"/>
    <d v="2025-04-26T00:00:00"/>
    <x v="1"/>
    <x v="5"/>
    <x v="3"/>
    <x v="3"/>
    <s v="Karachi"/>
    <s v="Officepro"/>
    <x v="0"/>
    <n v="11363.64"/>
    <n v="19849.96"/>
    <n v="8486.32"/>
    <n v="0.74679592102530523"/>
    <x v="1"/>
    <n v="19849.96"/>
    <x v="3"/>
  </r>
  <r>
    <s v="FIN-00403"/>
    <d v="2025-05-19T00:00:00"/>
    <x v="1"/>
    <x v="3"/>
    <x v="3"/>
    <x v="1"/>
    <s v="Faisalabad"/>
    <s v="Travellink"/>
    <x v="3"/>
    <n v="9615.3799999999992"/>
    <n v="7146.44"/>
    <n v="-2468.9399999999996"/>
    <n v="-0.25676988324954392"/>
    <x v="0"/>
    <n v="7146.44"/>
    <x v="4"/>
  </r>
  <r>
    <s v="FIN-00404"/>
    <d v="2025-04-13T00:00:00"/>
    <x v="0"/>
    <x v="4"/>
    <x v="5"/>
    <x v="3"/>
    <s v="Lahore"/>
    <s v="Adsphere"/>
    <x v="1"/>
    <n v="5416.67"/>
    <n v="8656.89"/>
    <n v="3240.2199999999993"/>
    <n v="0.5981940934190193"/>
    <x v="1"/>
    <n v="-8656.89"/>
    <x v="3"/>
  </r>
  <r>
    <s v="FIN-00405"/>
    <d v="2025-03-14T00:00:00"/>
    <x v="1"/>
    <x v="3"/>
    <x v="3"/>
    <x v="2"/>
    <s v="Karachi"/>
    <s v="Legalworks"/>
    <x v="4"/>
    <n v="8064.52"/>
    <n v="23871.06"/>
    <n v="15806.54"/>
    <n v="1.9600100191951908"/>
    <x v="1"/>
    <n v="23871.06"/>
    <x v="2"/>
  </r>
  <r>
    <s v="FIN-00406"/>
    <d v="2025-12-26T00:00:00"/>
    <x v="0"/>
    <x v="2"/>
    <x v="10"/>
    <x v="3"/>
    <s v="Karachi"/>
    <s v="Prime Supplies"/>
    <x v="2"/>
    <n v="8400"/>
    <n v="821.78"/>
    <n v="-7578.22"/>
    <n v="-0.9021690476190477"/>
    <x v="0"/>
    <n v="-821.78"/>
    <x v="11"/>
  </r>
  <r>
    <s v="FIN-00407"/>
    <d v="2025-12-01T00:00:00"/>
    <x v="0"/>
    <x v="6"/>
    <x v="10"/>
    <x v="3"/>
    <s v="Karachi"/>
    <s v="Prime Supplies"/>
    <x v="2"/>
    <n v="8400"/>
    <n v="1734.88"/>
    <n v="-6665.12"/>
    <n v="-0.79346666666666665"/>
    <x v="0"/>
    <n v="-1734.88"/>
    <x v="11"/>
  </r>
  <r>
    <s v="FIN-00408"/>
    <d v="2025-02-17T00:00:00"/>
    <x v="1"/>
    <x v="3"/>
    <x v="12"/>
    <x v="3"/>
    <s v="Karachi"/>
    <s v="Officepro"/>
    <x v="4"/>
    <n v="13857.14"/>
    <n v="1888.05"/>
    <n v="-11969.09"/>
    <n v="-0.8637489409791631"/>
    <x v="0"/>
    <n v="1888.05"/>
    <x v="1"/>
  </r>
  <r>
    <s v="FIN-00409"/>
    <d v="2026-04-04T00:00:00"/>
    <x v="1"/>
    <x v="6"/>
    <x v="3"/>
    <x v="4"/>
    <s v="Peshawar"/>
    <s v="Travellink"/>
    <x v="3"/>
    <n v="8333.33"/>
    <n v="23807.94"/>
    <n v="15474.609999999999"/>
    <n v="1.8569539427815769"/>
    <x v="1"/>
    <n v="23807.94"/>
    <x v="15"/>
  </r>
  <r>
    <s v="FIN-00410"/>
    <d v="2025-04-05T00:00:00"/>
    <x v="0"/>
    <x v="1"/>
    <x v="5"/>
    <x v="3"/>
    <s v="Karachi"/>
    <s v="Peoplefirst"/>
    <x v="1"/>
    <n v="5416.67"/>
    <n v="7092.95"/>
    <n v="1676.2799999999997"/>
    <n v="0.30946688648191595"/>
    <x v="1"/>
    <n v="-7092.95"/>
    <x v="3"/>
  </r>
  <r>
    <s v="FIN-00411"/>
    <d v="2025-12-13T00:00:00"/>
    <x v="1"/>
    <x v="3"/>
    <x v="3"/>
    <x v="3"/>
    <s v="Islamabad"/>
    <s v="Peoplefirst"/>
    <x v="4"/>
    <n v="15441.18"/>
    <n v="5091.8900000000003"/>
    <n v="-10349.290000000001"/>
    <n v="-0.67023958013571505"/>
    <x v="0"/>
    <n v="5091.8900000000003"/>
    <x v="11"/>
  </r>
  <r>
    <s v="FIN-00412"/>
    <d v="2025-01-21T00:00:00"/>
    <x v="0"/>
    <x v="0"/>
    <x v="9"/>
    <x v="3"/>
    <s v="Lahore"/>
    <s v="Officepro"/>
    <x v="2"/>
    <n v="3810.71"/>
    <n v="5337.53"/>
    <n v="1526.8199999999997"/>
    <n v="0.40066549278218488"/>
    <x v="1"/>
    <n v="-5337.53"/>
    <x v="0"/>
  </r>
  <r>
    <s v="FIN-00413"/>
    <d v="2025-07-22T00:00:00"/>
    <x v="0"/>
    <x v="3"/>
    <x v="4"/>
    <x v="2"/>
    <s v="Karachi"/>
    <s v="Softworks"/>
    <x v="2"/>
    <n v="4666.67"/>
    <n v="3303.38"/>
    <n v="-1363.29"/>
    <n v="-0.29213336276188373"/>
    <x v="0"/>
    <n v="-3303.38"/>
    <x v="6"/>
  </r>
  <r>
    <s v="FIN-00414"/>
    <d v="2025-02-16T00:00:00"/>
    <x v="1"/>
    <x v="3"/>
    <x v="3"/>
    <x v="4"/>
    <s v="Peshawar"/>
    <s v="Markethub"/>
    <x v="2"/>
    <n v="13472.22"/>
    <n v="15150.62"/>
    <n v="1678.4000000000015"/>
    <n v="0.12458228859089308"/>
    <x v="1"/>
    <n v="15150.62"/>
    <x v="1"/>
  </r>
  <r>
    <s v="FIN-00415"/>
    <d v="2025-10-17T00:00:00"/>
    <x v="0"/>
    <x v="4"/>
    <x v="9"/>
    <x v="4"/>
    <s v="Karachi"/>
    <s v="Shipfast"/>
    <x v="4"/>
    <n v="3928.57"/>
    <n v="6715.91"/>
    <n v="2787.3399999999997"/>
    <n v="0.70950498527453998"/>
    <x v="1"/>
    <n v="-6715.91"/>
    <x v="9"/>
  </r>
  <r>
    <s v="FIN-00416"/>
    <d v="2025-06-28T00:00:00"/>
    <x v="0"/>
    <x v="1"/>
    <x v="5"/>
    <x v="1"/>
    <s v="Karachi"/>
    <s v="Techsource"/>
    <x v="2"/>
    <n v="8125"/>
    <n v="8240.92"/>
    <n v="115.92000000000007"/>
    <n v="1.4267076923076933E-2"/>
    <x v="1"/>
    <n v="-8240.92"/>
    <x v="5"/>
  </r>
  <r>
    <s v="FIN-00417"/>
    <d v="2026-04-30T00:00:00"/>
    <x v="1"/>
    <x v="3"/>
    <x v="13"/>
    <x v="4"/>
    <s v="Karachi"/>
    <s v="Legalworks"/>
    <x v="4"/>
    <n v="3333.33"/>
    <n v="228.39"/>
    <n v="-3104.94"/>
    <n v="-0.93148293148293149"/>
    <x v="0"/>
    <n v="228.39"/>
    <x v="15"/>
  </r>
  <r>
    <s v="FIN-00418"/>
    <d v="2025-07-02T00:00:00"/>
    <x v="0"/>
    <x v="6"/>
    <x v="9"/>
    <x v="1"/>
    <s v="Karachi"/>
    <s v="Legalworks"/>
    <x v="1"/>
    <n v="3437.5"/>
    <n v="3259.21"/>
    <n v="-178.28999999999996"/>
    <n v="-5.1866181818181804E-2"/>
    <x v="0"/>
    <n v="-3259.21"/>
    <x v="6"/>
  </r>
  <r>
    <s v="FIN-00419"/>
    <d v="2026-01-17T00:00:00"/>
    <x v="0"/>
    <x v="6"/>
    <x v="8"/>
    <x v="2"/>
    <s v="Karachi"/>
    <s v="Legalworks"/>
    <x v="1"/>
    <n v="3637.5"/>
    <n v="6303.87"/>
    <n v="2666.37"/>
    <n v="0.73302268041237106"/>
    <x v="1"/>
    <n v="-6303.87"/>
    <x v="12"/>
  </r>
  <r>
    <s v="FIN-00420"/>
    <d v="2026-05-04T00:00:00"/>
    <x v="1"/>
    <x v="3"/>
    <x v="12"/>
    <x v="3"/>
    <s v="Islamabad"/>
    <s v="Techsource"/>
    <x v="3"/>
    <n v="5882.35"/>
    <n v="10310.49"/>
    <n v="4428.1399999999994"/>
    <n v="0.75278417639208806"/>
    <x v="1"/>
    <n v="10310.49"/>
    <x v="16"/>
  </r>
  <r>
    <s v="FIN-00421"/>
    <d v="2026-04-16T00:00:00"/>
    <x v="1"/>
    <x v="4"/>
    <x v="12"/>
    <x v="2"/>
    <s v="Islamabad"/>
    <s v="Powergrid"/>
    <x v="3"/>
    <n v="7142.86"/>
    <n v="6007.25"/>
    <n v="-1135.6099999999997"/>
    <n v="-0.1589853364058654"/>
    <x v="0"/>
    <n v="6007.25"/>
    <x v="15"/>
  </r>
  <r>
    <s v="FIN-00422"/>
    <d v="2025-08-06T00:00:00"/>
    <x v="0"/>
    <x v="3"/>
    <x v="0"/>
    <x v="4"/>
    <s v="Lahore"/>
    <s v="Adsphere"/>
    <x v="4"/>
    <n v="2285.71"/>
    <n v="6007.87"/>
    <n v="3722.16"/>
    <n v="1.6284480533401"/>
    <x v="1"/>
    <n v="-6007.87"/>
    <x v="7"/>
  </r>
  <r>
    <s v="FIN-00423"/>
    <d v="2025-11-30T00:00:00"/>
    <x v="0"/>
    <x v="1"/>
    <x v="4"/>
    <x v="0"/>
    <s v="Peshawar"/>
    <s v="Techsource"/>
    <x v="3"/>
    <n v="4900"/>
    <n v="1060.6600000000001"/>
    <n v="-3839.34"/>
    <n v="-0.78353877551020412"/>
    <x v="0"/>
    <n v="-1060.6600000000001"/>
    <x v="10"/>
  </r>
  <r>
    <s v="FIN-00424"/>
    <d v="2025-10-10T00:00:00"/>
    <x v="0"/>
    <x v="1"/>
    <x v="7"/>
    <x v="4"/>
    <s v="Karachi"/>
    <s v="Cloudnet"/>
    <x v="3"/>
    <n v="3500"/>
    <n v="2252.4299999999998"/>
    <n v="-1247.5700000000002"/>
    <n v="-0.35644857142857145"/>
    <x v="0"/>
    <n v="-2252.4299999999998"/>
    <x v="9"/>
  </r>
  <r>
    <s v="FIN-00425"/>
    <d v="2025-05-12T00:00:00"/>
    <x v="1"/>
    <x v="1"/>
    <x v="2"/>
    <x v="4"/>
    <s v="Islamabad"/>
    <s v="Urban Facilities"/>
    <x v="3"/>
    <n v="10000"/>
    <n v="690.77"/>
    <n v="-9309.23"/>
    <n v="-0.93092299999999994"/>
    <x v="0"/>
    <n v="690.77"/>
    <x v="4"/>
  </r>
  <r>
    <s v="FIN-00426"/>
    <d v="2026-04-10T00:00:00"/>
    <x v="0"/>
    <x v="1"/>
    <x v="7"/>
    <x v="1"/>
    <s v="Lahore"/>
    <s v="Officepro"/>
    <x v="1"/>
    <n v="5833.33"/>
    <n v="4402.16"/>
    <n v="-1431.17"/>
    <n v="-0.24534356876775359"/>
    <x v="0"/>
    <n v="-4402.16"/>
    <x v="15"/>
  </r>
  <r>
    <s v="FIN-00427"/>
    <d v="2026-04-23T00:00:00"/>
    <x v="1"/>
    <x v="3"/>
    <x v="12"/>
    <x v="4"/>
    <s v="Karachi"/>
    <s v="Legalworks"/>
    <x v="1"/>
    <n v="7142.86"/>
    <n v="9445.5300000000007"/>
    <n v="2302.670000000001"/>
    <n v="0.32237367105053172"/>
    <x v="1"/>
    <n v="9445.5300000000007"/>
    <x v="15"/>
  </r>
  <r>
    <s v="FIN-00428"/>
    <d v="2025-08-26T00:00:00"/>
    <x v="0"/>
    <x v="1"/>
    <x v="6"/>
    <x v="2"/>
    <s v="Islamabad"/>
    <s v="Peoplefirst"/>
    <x v="4"/>
    <n v="8181.82"/>
    <n v="15605.2"/>
    <n v="7423.380000000001"/>
    <n v="0.90730179837737834"/>
    <x v="1"/>
    <n v="-15605.2"/>
    <x v="7"/>
  </r>
  <r>
    <s v="FIN-00429"/>
    <d v="2025-07-08T00:00:00"/>
    <x v="0"/>
    <x v="1"/>
    <x v="6"/>
    <x v="1"/>
    <s v="Lahore"/>
    <s v="Adsphere"/>
    <x v="3"/>
    <n v="6923.08"/>
    <n v="16697.78"/>
    <n v="9774.6999999999989"/>
    <n v="1.4119004835997848"/>
    <x v="1"/>
    <n v="-16697.78"/>
    <x v="6"/>
  </r>
  <r>
    <s v="FIN-00430"/>
    <d v="2026-05-08T00:00:00"/>
    <x v="1"/>
    <x v="4"/>
    <x v="3"/>
    <x v="2"/>
    <s v="Karachi"/>
    <s v="Urban Facilities"/>
    <x v="3"/>
    <n v="10869.57"/>
    <n v="8488.1299999999992"/>
    <n v="-2381.4400000000005"/>
    <n v="-0.21909238359935126"/>
    <x v="0"/>
    <n v="8488.1299999999992"/>
    <x v="16"/>
  </r>
  <r>
    <s v="FIN-00431"/>
    <d v="2025-06-22T00:00:00"/>
    <x v="1"/>
    <x v="3"/>
    <x v="3"/>
    <x v="2"/>
    <s v="Islamabad"/>
    <s v="Cloudnet"/>
    <x v="0"/>
    <n v="9615.3799999999992"/>
    <n v="22022.63"/>
    <n v="12407.250000000002"/>
    <n v="1.2903546193702176"/>
    <x v="1"/>
    <n v="22022.63"/>
    <x v="5"/>
  </r>
  <r>
    <s v="FIN-00432"/>
    <d v="2025-05-24T00:00:00"/>
    <x v="0"/>
    <x v="6"/>
    <x v="5"/>
    <x v="4"/>
    <s v="Peshawar"/>
    <s v="Powergrid"/>
    <x v="0"/>
    <n v="4642.8599999999997"/>
    <n v="2509.4299999999998"/>
    <n v="-2133.4299999999998"/>
    <n v="-0.45950771722602018"/>
    <x v="0"/>
    <n v="-2509.4299999999998"/>
    <x v="4"/>
  </r>
  <r>
    <s v="FIN-00433"/>
    <d v="2025-06-11T00:00:00"/>
    <x v="0"/>
    <x v="1"/>
    <x v="6"/>
    <x v="1"/>
    <s v="Karachi"/>
    <s v="Urban Facilities"/>
    <x v="1"/>
    <n v="6428.57"/>
    <n v="8559.7099999999991"/>
    <n v="2131.1399999999994"/>
    <n v="0.33151074033571998"/>
    <x v="1"/>
    <n v="-8559.7099999999991"/>
    <x v="5"/>
  </r>
  <r>
    <s v="FIN-00434"/>
    <d v="2026-02-04T00:00:00"/>
    <x v="0"/>
    <x v="2"/>
    <x v="11"/>
    <x v="0"/>
    <s v="Lahore"/>
    <s v="Softworks"/>
    <x v="4"/>
    <n v="2667.5"/>
    <n v="1379.38"/>
    <n v="-1288.1199999999999"/>
    <n v="-0.48289409559512647"/>
    <x v="0"/>
    <n v="-1379.38"/>
    <x v="17"/>
  </r>
  <r>
    <s v="FIN-00435"/>
    <d v="2026-03-10T00:00:00"/>
    <x v="0"/>
    <x v="5"/>
    <x v="7"/>
    <x v="0"/>
    <s v="Peshawar"/>
    <s v="Shipfast"/>
    <x v="3"/>
    <n v="3181.82"/>
    <n v="4150.8999999999996"/>
    <n v="969.07999999999947"/>
    <n v="0.3045678259612421"/>
    <x v="1"/>
    <n v="-4150.8999999999996"/>
    <x v="14"/>
  </r>
  <r>
    <s v="FIN-00436"/>
    <d v="2025-06-04T00:00:00"/>
    <x v="0"/>
    <x v="6"/>
    <x v="0"/>
    <x v="1"/>
    <s v="Islamabad"/>
    <s v="Buildcare"/>
    <x v="0"/>
    <n v="4571.43"/>
    <n v="4944.87"/>
    <n v="373.4399999999996"/>
    <n v="8.1689974471882879E-2"/>
    <x v="1"/>
    <n v="-4944.87"/>
    <x v="5"/>
  </r>
  <r>
    <s v="FIN-00437"/>
    <d v="2026-03-08T00:00:00"/>
    <x v="0"/>
    <x v="3"/>
    <x v="7"/>
    <x v="3"/>
    <s v="Karachi"/>
    <s v="Cloudnet"/>
    <x v="2"/>
    <n v="3181.82"/>
    <n v="4294.22"/>
    <n v="1112.4000000000001"/>
    <n v="0.34961122879358358"/>
    <x v="1"/>
    <n v="-4294.22"/>
    <x v="14"/>
  </r>
  <r>
    <s v="FIN-00438"/>
    <d v="2025-05-07T00:00:00"/>
    <x v="0"/>
    <x v="1"/>
    <x v="1"/>
    <x v="3"/>
    <s v="Karachi"/>
    <s v="Markethub"/>
    <x v="3"/>
    <n v="2250"/>
    <n v="774.55"/>
    <n v="-1475.45"/>
    <n v="-0.65575555555555554"/>
    <x v="0"/>
    <n v="-774.55"/>
    <x v="4"/>
  </r>
  <r>
    <s v="FIN-00439"/>
    <d v="2026-06-13T00:00:00"/>
    <x v="0"/>
    <x v="1"/>
    <x v="4"/>
    <x v="4"/>
    <s v="Peshawar"/>
    <s v="Markethub"/>
    <x v="3"/>
    <n v="5600"/>
    <n v="2410.29"/>
    <n v="-3189.71"/>
    <n v="-0.56959107142857146"/>
    <x v="0"/>
    <n v="-2410.29"/>
    <x v="13"/>
  </r>
  <r>
    <s v="FIN-00440"/>
    <d v="2025-03-09T00:00:00"/>
    <x v="0"/>
    <x v="1"/>
    <x v="10"/>
    <x v="4"/>
    <s v="Lahore"/>
    <s v="Urban Facilities"/>
    <x v="0"/>
    <n v="8000"/>
    <n v="3715.16"/>
    <n v="-4284.84"/>
    <n v="-0.535605"/>
    <x v="0"/>
    <n v="-3715.16"/>
    <x v="2"/>
  </r>
  <r>
    <s v="FIN-00441"/>
    <d v="2025-10-16T00:00:00"/>
    <x v="0"/>
    <x v="2"/>
    <x v="6"/>
    <x v="2"/>
    <s v="Karachi"/>
    <s v="Legalworks"/>
    <x v="1"/>
    <n v="7826.09"/>
    <n v="9502.59"/>
    <n v="1676.5"/>
    <n v="0.21421936113691512"/>
    <x v="1"/>
    <n v="-9502.59"/>
    <x v="9"/>
  </r>
  <r>
    <s v="FIN-00442"/>
    <d v="2025-07-26T00:00:00"/>
    <x v="0"/>
    <x v="3"/>
    <x v="6"/>
    <x v="4"/>
    <s v="Islamabad"/>
    <s v="Dataserve"/>
    <x v="5"/>
    <n v="6923.08"/>
    <n v="8943.7800000000007"/>
    <n v="2020.7000000000007"/>
    <n v="0.29187875916499606"/>
    <x v="1"/>
    <n v="-8943.7800000000007"/>
    <x v="6"/>
  </r>
  <r>
    <s v="FIN-00443"/>
    <d v="2025-11-28T00:00:00"/>
    <x v="0"/>
    <x v="2"/>
    <x v="6"/>
    <x v="3"/>
    <s v="Multan"/>
    <s v="Cloudnet"/>
    <x v="1"/>
    <n v="9947.3700000000008"/>
    <n v="16087.28"/>
    <n v="6139.91"/>
    <n v="0.6172395316551007"/>
    <x v="1"/>
    <n v="-16087.28"/>
    <x v="10"/>
  </r>
  <r>
    <s v="FIN-00444"/>
    <d v="2025-03-16T00:00:00"/>
    <x v="0"/>
    <x v="1"/>
    <x v="4"/>
    <x v="1"/>
    <s v="Multan"/>
    <s v="Powergrid"/>
    <x v="3"/>
    <n v="4666.67"/>
    <n v="471.4"/>
    <n v="-4195.2700000000004"/>
    <n v="-0.89898578643872407"/>
    <x v="0"/>
    <n v="-471.4"/>
    <x v="2"/>
  </r>
  <r>
    <s v="FIN-00445"/>
    <d v="2025-06-03T00:00:00"/>
    <x v="0"/>
    <x v="1"/>
    <x v="9"/>
    <x v="0"/>
    <s v="Islamabad"/>
    <s v="Travellink"/>
    <x v="4"/>
    <n v="5500"/>
    <n v="4635.03"/>
    <n v="-864.97000000000025"/>
    <n v="-0.15726727272727278"/>
    <x v="0"/>
    <n v="-4635.03"/>
    <x v="5"/>
  </r>
  <r>
    <s v="FIN-00446"/>
    <d v="2025-10-12T00:00:00"/>
    <x v="0"/>
    <x v="4"/>
    <x v="0"/>
    <x v="1"/>
    <s v="Multan"/>
    <s v="Markethub"/>
    <x v="4"/>
    <n v="2666.67"/>
    <n v="6817.44"/>
    <n v="4150.7699999999995"/>
    <n v="1.5565368043289944"/>
    <x v="1"/>
    <n v="-6817.44"/>
    <x v="9"/>
  </r>
  <r>
    <s v="FIN-00447"/>
    <d v="2025-11-05T00:00:00"/>
    <x v="1"/>
    <x v="3"/>
    <x v="2"/>
    <x v="2"/>
    <s v="Karachi"/>
    <s v="Dataserve"/>
    <x v="4"/>
    <n v="8400"/>
    <n v="2525.71"/>
    <n v="-5874.29"/>
    <n v="-0.69932023809523813"/>
    <x v="0"/>
    <n v="2525.71"/>
    <x v="10"/>
  </r>
  <r>
    <s v="FIN-00448"/>
    <d v="2025-03-18T00:00:00"/>
    <x v="1"/>
    <x v="3"/>
    <x v="2"/>
    <x v="1"/>
    <s v="Karachi"/>
    <s v="Dataserve"/>
    <x v="0"/>
    <n v="11428.57"/>
    <n v="6149.34"/>
    <n v="-5279.23"/>
    <n v="-0.46193268274158533"/>
    <x v="0"/>
    <n v="6149.34"/>
    <x v="2"/>
  </r>
  <r>
    <s v="FIN-00449"/>
    <d v="2025-08-06T00:00:00"/>
    <x v="0"/>
    <x v="5"/>
    <x v="1"/>
    <x v="2"/>
    <s v="Faisalabad"/>
    <s v="Prime Supplies"/>
    <x v="4"/>
    <n v="3000"/>
    <n v="1413.88"/>
    <n v="-1586.12"/>
    <n v="-0.52870666666666666"/>
    <x v="0"/>
    <n v="-1413.88"/>
    <x v="7"/>
  </r>
  <r>
    <s v="FIN-00450"/>
    <d v="2025-05-06T00:00:00"/>
    <x v="1"/>
    <x v="1"/>
    <x v="3"/>
    <x v="0"/>
    <s v="Peshawar"/>
    <s v="Dataserve"/>
    <x v="4"/>
    <n v="9615.3799999999992"/>
    <n v="21788.65"/>
    <n v="12173.270000000002"/>
    <n v="1.2660206876899305"/>
    <x v="1"/>
    <n v="21788.65"/>
    <x v="4"/>
  </r>
  <r>
    <s v="FIN-00451"/>
    <d v="2026-01-07T00:00:00"/>
    <x v="1"/>
    <x v="3"/>
    <x v="12"/>
    <x v="4"/>
    <s v="Karachi"/>
    <s v="Powergrid"/>
    <x v="1"/>
    <n v="6062.5"/>
    <n v="16872.14"/>
    <n v="10809.64"/>
    <n v="1.7830334020618557"/>
    <x v="1"/>
    <n v="16872.14"/>
    <x v="12"/>
  </r>
  <r>
    <s v="FIN-00452"/>
    <d v="2025-12-01T00:00:00"/>
    <x v="1"/>
    <x v="3"/>
    <x v="12"/>
    <x v="0"/>
    <s v="Islamabad"/>
    <s v="Adsphere"/>
    <x v="3"/>
    <n v="9545.4500000000007"/>
    <n v="11262.93"/>
    <n v="1717.4799999999996"/>
    <n v="0.17992656186979131"/>
    <x v="1"/>
    <n v="11262.93"/>
    <x v="11"/>
  </r>
  <r>
    <s v="FIN-00453"/>
    <d v="2025-08-29T00:00:00"/>
    <x v="1"/>
    <x v="1"/>
    <x v="3"/>
    <x v="4"/>
    <s v="Lahore"/>
    <s v="Travellink"/>
    <x v="2"/>
    <n v="10416.67"/>
    <n v="15696.56"/>
    <n v="5279.8899999999994"/>
    <n v="0.506869277801831"/>
    <x v="1"/>
    <n v="15696.56"/>
    <x v="7"/>
  </r>
  <r>
    <s v="FIN-00454"/>
    <d v="2025-08-08T00:00:00"/>
    <x v="0"/>
    <x v="0"/>
    <x v="0"/>
    <x v="4"/>
    <s v="Karachi"/>
    <s v="Markethub"/>
    <x v="2"/>
    <n v="2285.71"/>
    <n v="4552.7"/>
    <n v="2266.9899999999998"/>
    <n v="0.99180998464372105"/>
    <x v="1"/>
    <n v="-4552.7"/>
    <x v="7"/>
  </r>
  <r>
    <s v="FIN-00455"/>
    <d v="2025-10-10T00:00:00"/>
    <x v="0"/>
    <x v="4"/>
    <x v="7"/>
    <x v="4"/>
    <s v="Faisalabad"/>
    <s v="Shipfast"/>
    <x v="3"/>
    <n v="3500"/>
    <n v="4128.42"/>
    <n v="628.42000000000007"/>
    <n v="0.17954857142857145"/>
    <x v="1"/>
    <n v="-4128.42"/>
    <x v="9"/>
  </r>
  <r>
    <s v="FIN-00456"/>
    <d v="2025-12-19T00:00:00"/>
    <x v="1"/>
    <x v="3"/>
    <x v="2"/>
    <x v="1"/>
    <s v="Karachi"/>
    <s v="Powergrid"/>
    <x v="4"/>
    <n v="9333.33"/>
    <n v="509.26"/>
    <n v="-8824.07"/>
    <n v="-0.94543640908443183"/>
    <x v="0"/>
    <n v="509.26"/>
    <x v="11"/>
  </r>
  <r>
    <s v="FIN-00457"/>
    <d v="2025-05-29T00:00:00"/>
    <x v="0"/>
    <x v="2"/>
    <x v="9"/>
    <x v="4"/>
    <s v="Karachi"/>
    <s v="Cloudnet"/>
    <x v="1"/>
    <n v="5500"/>
    <n v="2990.47"/>
    <n v="-2509.5300000000002"/>
    <n v="-0.45627818181818186"/>
    <x v="0"/>
    <n v="-2990.47"/>
    <x v="4"/>
  </r>
  <r>
    <s v="FIN-00458"/>
    <d v="2025-10-02T00:00:00"/>
    <x v="0"/>
    <x v="3"/>
    <x v="0"/>
    <x v="0"/>
    <s v="Multan"/>
    <s v="Adsphere"/>
    <x v="3"/>
    <n v="2666.67"/>
    <n v="1606.82"/>
    <n v="-1059.8500000000001"/>
    <n v="-0.39744325319593354"/>
    <x v="0"/>
    <n v="-1606.82"/>
    <x v="9"/>
  </r>
  <r>
    <s v="FIN-00459"/>
    <d v="2025-08-02T00:00:00"/>
    <x v="0"/>
    <x v="4"/>
    <x v="6"/>
    <x v="3"/>
    <s v="Karachi"/>
    <s v="Cloudnet"/>
    <x v="3"/>
    <n v="8181.82"/>
    <n v="7335.97"/>
    <n v="-845.84999999999945"/>
    <n v="-0.10338164369296801"/>
    <x v="0"/>
    <n v="-7335.97"/>
    <x v="7"/>
  </r>
  <r>
    <s v="FIN-00460"/>
    <d v="2026-02-08T00:00:00"/>
    <x v="1"/>
    <x v="0"/>
    <x v="2"/>
    <x v="3"/>
    <s v="Karachi"/>
    <s v="Powergrid"/>
    <x v="1"/>
    <n v="12933.33"/>
    <n v="2644.07"/>
    <n v="-10289.26"/>
    <n v="-0.79556154524782097"/>
    <x v="0"/>
    <n v="2644.07"/>
    <x v="17"/>
  </r>
  <r>
    <s v="FIN-00461"/>
    <d v="2025-02-03T00:00:00"/>
    <x v="1"/>
    <x v="4"/>
    <x v="3"/>
    <x v="4"/>
    <s v="Karachi"/>
    <s v="Softworks"/>
    <x v="2"/>
    <n v="13472.22"/>
    <n v="4938"/>
    <n v="-8534.2199999999993"/>
    <n v="-0.63346798077822364"/>
    <x v="0"/>
    <n v="4938"/>
    <x v="1"/>
  </r>
  <r>
    <s v="FIN-00462"/>
    <d v="2025-11-27T00:00:00"/>
    <x v="0"/>
    <x v="6"/>
    <x v="6"/>
    <x v="3"/>
    <s v="Faisalabad"/>
    <s v="Peoplefirst"/>
    <x v="4"/>
    <n v="9947.3700000000008"/>
    <n v="2386.83"/>
    <n v="-7560.5400000000009"/>
    <n v="-0.76005416507076751"/>
    <x v="0"/>
    <n v="-2386.83"/>
    <x v="10"/>
  </r>
  <r>
    <s v="FIN-00463"/>
    <d v="2025-06-04T00:00:00"/>
    <x v="1"/>
    <x v="3"/>
    <x v="3"/>
    <x v="4"/>
    <s v="Lahore"/>
    <s v="Powergrid"/>
    <x v="3"/>
    <n v="9615.3799999999992"/>
    <n v="22130.29"/>
    <n v="12514.910000000002"/>
    <n v="1.3015512647446073"/>
    <x v="1"/>
    <n v="22130.29"/>
    <x v="5"/>
  </r>
  <r>
    <s v="FIN-00464"/>
    <d v="2025-10-21T00:00:00"/>
    <x v="1"/>
    <x v="2"/>
    <x v="3"/>
    <x v="1"/>
    <s v="Multan"/>
    <s v="Techsource"/>
    <x v="0"/>
    <n v="8928.57"/>
    <n v="11200.26"/>
    <n v="2271.6900000000005"/>
    <n v="0.2544293207086914"/>
    <x v="1"/>
    <n v="11200.26"/>
    <x v="9"/>
  </r>
  <r>
    <s v="FIN-00465"/>
    <d v="2026-06-07T00:00:00"/>
    <x v="0"/>
    <x v="1"/>
    <x v="0"/>
    <x v="1"/>
    <s v="Peshawar"/>
    <s v="Urban Facilities"/>
    <x v="4"/>
    <n v="3555.56"/>
    <n v="5152.32"/>
    <n v="1596.7599999999998"/>
    <n v="0.44908818863976413"/>
    <x v="1"/>
    <n v="-5152.32"/>
    <x v="13"/>
  </r>
  <r>
    <s v="FIN-00466"/>
    <d v="2025-04-01T00:00:00"/>
    <x v="0"/>
    <x v="5"/>
    <x v="0"/>
    <x v="1"/>
    <s v="Peshawar"/>
    <s v="Peoplefirst"/>
    <x v="1"/>
    <n v="5333.33"/>
    <n v="5765.13"/>
    <n v="431.80000000000018"/>
    <n v="8.0962550601594158E-2"/>
    <x v="1"/>
    <n v="-5765.13"/>
    <x v="3"/>
  </r>
  <r>
    <s v="FIN-00467"/>
    <d v="2025-11-04T00:00:00"/>
    <x v="0"/>
    <x v="1"/>
    <x v="10"/>
    <x v="3"/>
    <s v="Karachi"/>
    <s v="Markethub"/>
    <x v="2"/>
    <n v="4666.67"/>
    <n v="3505.13"/>
    <n v="-1161.54"/>
    <n v="-0.24890125078482087"/>
    <x v="0"/>
    <n v="-3505.13"/>
    <x v="10"/>
  </r>
  <r>
    <s v="FIN-00468"/>
    <d v="2025-05-01T00:00:00"/>
    <x v="0"/>
    <x v="5"/>
    <x v="8"/>
    <x v="4"/>
    <s v="Multan"/>
    <s v="Cloudnet"/>
    <x v="4"/>
    <n v="2307.69"/>
    <n v="2083.9499999999998"/>
    <n v="-223.74000000000024"/>
    <n v="-9.6954096954097055E-2"/>
    <x v="0"/>
    <n v="-2083.9499999999998"/>
    <x v="4"/>
  </r>
  <r>
    <s v="FIN-00469"/>
    <d v="2025-01-08T00:00:00"/>
    <x v="0"/>
    <x v="1"/>
    <x v="9"/>
    <x v="4"/>
    <s v="Karachi"/>
    <s v="Officepro"/>
    <x v="4"/>
    <n v="3810.71"/>
    <n v="2993.27"/>
    <n v="-817.44"/>
    <n v="-0.21451120657305334"/>
    <x v="0"/>
    <n v="-2993.27"/>
    <x v="0"/>
  </r>
  <r>
    <s v="FIN-00470"/>
    <d v="2026-02-18T00:00:00"/>
    <x v="0"/>
    <x v="2"/>
    <x v="4"/>
    <x v="4"/>
    <s v="Peshawar"/>
    <s v="Buildcare"/>
    <x v="1"/>
    <n v="3880"/>
    <n v="974.86"/>
    <n v="-2905.14"/>
    <n v="-0.74874742268041239"/>
    <x v="0"/>
    <n v="-974.86"/>
    <x v="17"/>
  </r>
  <r>
    <s v="FIN-00471"/>
    <d v="2025-03-24T00:00:00"/>
    <x v="1"/>
    <x v="3"/>
    <x v="3"/>
    <x v="1"/>
    <s v="Lahore"/>
    <s v="Urban Facilities"/>
    <x v="4"/>
    <n v="8064.52"/>
    <n v="1836.99"/>
    <n v="-6227.5300000000007"/>
    <n v="-0.77221334933759234"/>
    <x v="0"/>
    <n v="1836.99"/>
    <x v="2"/>
  </r>
  <r>
    <s v="FIN-00472"/>
    <d v="2025-05-02T00:00:00"/>
    <x v="0"/>
    <x v="1"/>
    <x v="10"/>
    <x v="1"/>
    <s v="Faisalabad"/>
    <s v="Peoplefirst"/>
    <x v="4"/>
    <n v="5000"/>
    <n v="4132"/>
    <n v="-868"/>
    <n v="-0.1736"/>
    <x v="0"/>
    <n v="-4132"/>
    <x v="4"/>
  </r>
  <r>
    <s v="FIN-00473"/>
    <d v="2025-09-30T00:00:00"/>
    <x v="1"/>
    <x v="1"/>
    <x v="2"/>
    <x v="1"/>
    <s v="Peshawar"/>
    <s v="Markethub"/>
    <x v="1"/>
    <n v="10000"/>
    <n v="771.3"/>
    <n v="-9228.7000000000007"/>
    <n v="-0.92287000000000008"/>
    <x v="0"/>
    <n v="771.3"/>
    <x v="8"/>
  </r>
  <r>
    <s v="FIN-00474"/>
    <d v="2025-07-14T00:00:00"/>
    <x v="0"/>
    <x v="4"/>
    <x v="10"/>
    <x v="3"/>
    <s v="Karachi"/>
    <s v="Legalworks"/>
    <x v="4"/>
    <n v="3333.33"/>
    <n v="2191.67"/>
    <n v="-1141.6599999999999"/>
    <n v="-0.34249834249834249"/>
    <x v="0"/>
    <n v="-2191.67"/>
    <x v="6"/>
  </r>
  <r>
    <s v="FIN-00475"/>
    <d v="2025-01-06T00:00:00"/>
    <x v="1"/>
    <x v="2"/>
    <x v="12"/>
    <x v="1"/>
    <s v="Karachi"/>
    <s v="Techsource"/>
    <x v="1"/>
    <n v="9700"/>
    <n v="11855.96"/>
    <n v="2155.9599999999991"/>
    <n v="0.2222639175257731"/>
    <x v="1"/>
    <n v="11855.96"/>
    <x v="0"/>
  </r>
  <r>
    <s v="FIN-00476"/>
    <d v="2025-03-13T00:00:00"/>
    <x v="1"/>
    <x v="3"/>
    <x v="3"/>
    <x v="4"/>
    <s v="Islamabad"/>
    <s v="Techsource"/>
    <x v="3"/>
    <n v="8064.52"/>
    <n v="895.55"/>
    <n v="-7168.97"/>
    <n v="-0.88895185330311044"/>
    <x v="0"/>
    <n v="895.55"/>
    <x v="2"/>
  </r>
  <r>
    <s v="FIN-00477"/>
    <d v="2025-12-03T00:00:00"/>
    <x v="0"/>
    <x v="4"/>
    <x v="7"/>
    <x v="4"/>
    <s v="Lahore"/>
    <s v="Urban Facilities"/>
    <x v="4"/>
    <n v="6125"/>
    <n v="2863.95"/>
    <n v="-3261.05"/>
    <n v="-0.53241632653061233"/>
    <x v="0"/>
    <n v="-2863.95"/>
    <x v="11"/>
  </r>
  <r>
    <s v="FIN-00478"/>
    <d v="2026-06-26T00:00:00"/>
    <x v="1"/>
    <x v="0"/>
    <x v="12"/>
    <x v="3"/>
    <s v="Lahore"/>
    <s v="Buildcare"/>
    <x v="1"/>
    <n v="4761.8999999999996"/>
    <n v="13949.05"/>
    <n v="9187.15"/>
    <n v="1.9293034293034295"/>
    <x v="1"/>
    <n v="13949.05"/>
    <x v="13"/>
  </r>
  <r>
    <s v="FIN-00479"/>
    <d v="2025-10-27T00:00:00"/>
    <x v="0"/>
    <x v="2"/>
    <x v="9"/>
    <x v="3"/>
    <s v="Lahore"/>
    <s v="Markethub"/>
    <x v="3"/>
    <n v="3928.57"/>
    <n v="8439.7800000000007"/>
    <n v="4511.2100000000009"/>
    <n v="1.1483084175666975"/>
    <x v="1"/>
    <n v="-8439.7800000000007"/>
    <x v="9"/>
  </r>
  <r>
    <s v="FIN-00480"/>
    <d v="2026-03-05T00:00:00"/>
    <x v="0"/>
    <x v="5"/>
    <x v="9"/>
    <x v="4"/>
    <s v="Faisalabad"/>
    <s v="Buildcare"/>
    <x v="1"/>
    <n v="5000"/>
    <n v="6264.65"/>
    <n v="1264.6499999999996"/>
    <n v="0.25292999999999993"/>
    <x v="1"/>
    <n v="-6264.65"/>
    <x v="14"/>
  </r>
  <r>
    <s v="FIN-00481"/>
    <d v="2025-07-14T00:00:00"/>
    <x v="0"/>
    <x v="6"/>
    <x v="11"/>
    <x v="3"/>
    <s v="Islamabad"/>
    <s v="Markethub"/>
    <x v="3"/>
    <n v="2750"/>
    <n v="3844.59"/>
    <n v="1094.5900000000001"/>
    <n v="0.39803272727272732"/>
    <x v="1"/>
    <n v="-3844.59"/>
    <x v="6"/>
  </r>
  <r>
    <s v="FIN-00482"/>
    <d v="2025-10-09T00:00:00"/>
    <x v="1"/>
    <x v="3"/>
    <x v="3"/>
    <x v="2"/>
    <s v="Islamabad"/>
    <s v="Cloudnet"/>
    <x v="1"/>
    <n v="8928.57"/>
    <n v="9421.8799999999992"/>
    <n v="493.30999999999949"/>
    <n v="5.5250728840116559E-2"/>
    <x v="1"/>
    <n v="9421.8799999999992"/>
    <x v="9"/>
  </r>
  <r>
    <s v="FIN-00483"/>
    <d v="2025-07-27T00:00:00"/>
    <x v="0"/>
    <x v="4"/>
    <x v="5"/>
    <x v="4"/>
    <s v="Islamabad"/>
    <s v="Dataserve"/>
    <x v="4"/>
    <n v="5909.09"/>
    <n v="6964.67"/>
    <n v="1055.58"/>
    <n v="0.17863664286717582"/>
    <x v="1"/>
    <n v="-6964.67"/>
    <x v="6"/>
  </r>
  <r>
    <s v="FIN-00484"/>
    <d v="2025-05-01T00:00:00"/>
    <x v="1"/>
    <x v="3"/>
    <x v="12"/>
    <x v="3"/>
    <s v="Karachi"/>
    <s v="Urban Facilities"/>
    <x v="1"/>
    <n v="9090.91"/>
    <n v="11351.97"/>
    <n v="2261.0599999999995"/>
    <n v="0.24871657512834244"/>
    <x v="1"/>
    <n v="11351.97"/>
    <x v="4"/>
  </r>
  <r>
    <s v="FIN-00485"/>
    <d v="2025-03-31T00:00:00"/>
    <x v="1"/>
    <x v="3"/>
    <x v="13"/>
    <x v="0"/>
    <s v="Karachi"/>
    <s v="Officepro"/>
    <x v="4"/>
    <n v="2857.14"/>
    <n v="109.46"/>
    <n v="-2747.68"/>
    <n v="-0.96168896168896167"/>
    <x v="0"/>
    <n v="109.46"/>
    <x v="2"/>
  </r>
  <r>
    <s v="FIN-00486"/>
    <d v="2025-07-14T00:00:00"/>
    <x v="0"/>
    <x v="5"/>
    <x v="5"/>
    <x v="4"/>
    <s v="Peshawar"/>
    <s v="Markethub"/>
    <x v="2"/>
    <n v="5909.09"/>
    <n v="11757.2"/>
    <n v="5848.1100000000006"/>
    <n v="0.98968030610466251"/>
    <x v="1"/>
    <n v="-11757.2"/>
    <x v="6"/>
  </r>
  <r>
    <s v="FIN-00487"/>
    <d v="2026-03-30T00:00:00"/>
    <x v="1"/>
    <x v="2"/>
    <x v="3"/>
    <x v="3"/>
    <s v="Peshawar"/>
    <s v="Prime Supplies"/>
    <x v="3"/>
    <n v="11363.64"/>
    <n v="13090.14"/>
    <n v="1726.5"/>
    <n v="0.15193195138177557"/>
    <x v="1"/>
    <n v="13090.14"/>
    <x v="14"/>
  </r>
  <r>
    <s v="FIN-00488"/>
    <d v="2026-02-10T00:00:00"/>
    <x v="0"/>
    <x v="4"/>
    <x v="6"/>
    <x v="1"/>
    <s v="Islamabad"/>
    <s v="Powergrid"/>
    <x v="3"/>
    <n v="9189.4699999999993"/>
    <n v="3265.62"/>
    <n v="-5923.8499999999995"/>
    <n v="-0.6446345654319563"/>
    <x v="0"/>
    <n v="-3265.62"/>
    <x v="17"/>
  </r>
  <r>
    <s v="FIN-00489"/>
    <d v="2025-02-27T00:00:00"/>
    <x v="0"/>
    <x v="1"/>
    <x v="8"/>
    <x v="1"/>
    <s v="Lahore"/>
    <s v="Travellink"/>
    <x v="4"/>
    <n v="7275"/>
    <n v="4602.62"/>
    <n v="-2672.38"/>
    <n v="-0.36733745704467358"/>
    <x v="0"/>
    <n v="-4602.62"/>
    <x v="1"/>
  </r>
  <r>
    <s v="FIN-00490"/>
    <d v="2026-03-21T00:00:00"/>
    <x v="0"/>
    <x v="2"/>
    <x v="1"/>
    <x v="3"/>
    <s v="Islamabad"/>
    <s v="Dataserve"/>
    <x v="4"/>
    <n v="2571.4299999999998"/>
    <n v="957.73"/>
    <n v="-1613.6999999999998"/>
    <n v="-0.62754965136130481"/>
    <x v="0"/>
    <n v="-957.73"/>
    <x v="14"/>
  </r>
  <r>
    <s v="FIN-00491"/>
    <d v="2025-09-25T00:00:00"/>
    <x v="0"/>
    <x v="1"/>
    <x v="9"/>
    <x v="3"/>
    <s v="Lahore"/>
    <s v="Cloudnet"/>
    <x v="2"/>
    <n v="6111.11"/>
    <n v="2103.9699999999998"/>
    <n v="-4007.14"/>
    <n v="-0.65571393740253414"/>
    <x v="0"/>
    <n v="-2103.9699999999998"/>
    <x v="8"/>
  </r>
  <r>
    <s v="FIN-00492"/>
    <d v="2025-02-24T00:00:00"/>
    <x v="0"/>
    <x v="6"/>
    <x v="7"/>
    <x v="4"/>
    <s v="Lahore"/>
    <s v="Adsphere"/>
    <x v="1"/>
    <n v="11316.67"/>
    <n v="2599.81"/>
    <n v="-8716.86"/>
    <n v="-0.77026722525265834"/>
    <x v="0"/>
    <n v="-2599.81"/>
    <x v="1"/>
  </r>
  <r>
    <s v="FIN-00493"/>
    <d v="2025-09-02T00:00:00"/>
    <x v="0"/>
    <x v="4"/>
    <x v="4"/>
    <x v="4"/>
    <s v="Karachi"/>
    <s v="Travellink"/>
    <x v="3"/>
    <n v="3500"/>
    <n v="329.8"/>
    <n v="-3170.2"/>
    <n v="-0.90577142857142856"/>
    <x v="0"/>
    <n v="-329.8"/>
    <x v="8"/>
  </r>
  <r>
    <s v="FIN-00494"/>
    <d v="2026-03-30T00:00:00"/>
    <x v="0"/>
    <x v="4"/>
    <x v="6"/>
    <x v="2"/>
    <s v="Lahore"/>
    <s v="Adsphere"/>
    <x v="2"/>
    <n v="7200"/>
    <n v="15862.83"/>
    <n v="8662.83"/>
    <n v="1.2031708333333333"/>
    <x v="1"/>
    <n v="-15862.83"/>
    <x v="14"/>
  </r>
  <r>
    <s v="FIN-00495"/>
    <d v="2025-12-11T00:00:00"/>
    <x v="0"/>
    <x v="6"/>
    <x v="6"/>
    <x v="0"/>
    <s v="Karachi"/>
    <s v="Urban Facilities"/>
    <x v="4"/>
    <n v="7875"/>
    <n v="17812.14"/>
    <n v="9937.14"/>
    <n v="1.2618590476190474"/>
    <x v="1"/>
    <n v="-17812.14"/>
    <x v="11"/>
  </r>
  <r>
    <s v="FIN-00496"/>
    <d v="2025-07-05T00:00:00"/>
    <x v="1"/>
    <x v="3"/>
    <x v="12"/>
    <x v="4"/>
    <s v="Lahore"/>
    <s v="Powergrid"/>
    <x v="1"/>
    <n v="7142.86"/>
    <n v="6535.15"/>
    <n v="-607.71"/>
    <n v="-8.507936596825362E-2"/>
    <x v="0"/>
    <n v="6535.15"/>
    <x v="6"/>
  </r>
  <r>
    <s v="FIN-00497"/>
    <d v="2025-04-14T00:00:00"/>
    <x v="1"/>
    <x v="3"/>
    <x v="13"/>
    <x v="4"/>
    <s v="Karachi"/>
    <s v="Buildcare"/>
    <x v="1"/>
    <n v="6666.67"/>
    <n v="2657.25"/>
    <n v="-4009.42"/>
    <n v="-0.60141269929365038"/>
    <x v="0"/>
    <n v="2657.25"/>
    <x v="3"/>
  </r>
  <r>
    <s v="FIN-00498"/>
    <d v="2026-05-12T00:00:00"/>
    <x v="1"/>
    <x v="2"/>
    <x v="12"/>
    <x v="2"/>
    <s v="Lahore"/>
    <s v="Techsource"/>
    <x v="1"/>
    <n v="5882.35"/>
    <n v="2028.45"/>
    <n v="-3853.9000000000005"/>
    <n v="-0.65516332758166385"/>
    <x v="0"/>
    <n v="2028.45"/>
    <x v="16"/>
  </r>
  <r>
    <s v="FIN-00499"/>
    <d v="2025-01-05T00:00:00"/>
    <x v="1"/>
    <x v="3"/>
    <x v="3"/>
    <x v="0"/>
    <s v="Peshawar"/>
    <s v="Travellink"/>
    <x v="4"/>
    <n v="11022.73"/>
    <n v="24764.880000000001"/>
    <n v="13742.150000000001"/>
    <n v="1.2467102069995366"/>
    <x v="1"/>
    <n v="24764.880000000001"/>
    <x v="0"/>
  </r>
  <r>
    <s v="FIN-00500"/>
    <d v="2026-01-29T00:00:00"/>
    <x v="1"/>
    <x v="3"/>
    <x v="3"/>
    <x v="2"/>
    <s v="Karachi"/>
    <s v="Officepro"/>
    <x v="1"/>
    <n v="11547.62"/>
    <n v="2742.75"/>
    <n v="-8804.8700000000008"/>
    <n v="-0.76248352474362679"/>
    <x v="0"/>
    <n v="2742.75"/>
    <x v="12"/>
  </r>
  <r>
    <s v="FIN-00501"/>
    <d v="2025-12-19T00:00:00"/>
    <x v="1"/>
    <x v="3"/>
    <x v="2"/>
    <x v="4"/>
    <s v="Lahore"/>
    <s v="Markethub"/>
    <x v="1"/>
    <n v="9333.33"/>
    <n v="4353.3100000000004"/>
    <n v="-4980.0199999999995"/>
    <n v="-0.53357376199062923"/>
    <x v="0"/>
    <n v="4353.3100000000004"/>
    <x v="11"/>
  </r>
  <r>
    <s v="FIN-00502"/>
    <d v="2025-08-11T00:00:00"/>
    <x v="0"/>
    <x v="4"/>
    <x v="9"/>
    <x v="4"/>
    <s v="Lahore"/>
    <s v="Adsphere"/>
    <x v="3"/>
    <n v="3928.57"/>
    <n v="8388.98"/>
    <n v="4460.41"/>
    <n v="1.1353775037736376"/>
    <x v="1"/>
    <n v="-8388.98"/>
    <x v="7"/>
  </r>
  <r>
    <s v="FIN-00503"/>
    <d v="2025-12-21T00:00:00"/>
    <x v="0"/>
    <x v="0"/>
    <x v="6"/>
    <x v="4"/>
    <s v="Karachi"/>
    <s v="Cloudnet"/>
    <x v="2"/>
    <n v="7875"/>
    <n v="4613.1899999999996"/>
    <n v="-3261.8100000000004"/>
    <n v="-0.41419809523809531"/>
    <x v="0"/>
    <n v="-4613.1899999999996"/>
    <x v="11"/>
  </r>
  <r>
    <s v="FIN-00504"/>
    <d v="2026-02-04T00:00:00"/>
    <x v="0"/>
    <x v="0"/>
    <x v="11"/>
    <x v="0"/>
    <s v="Lahore"/>
    <s v="Softworks"/>
    <x v="4"/>
    <n v="2667.5"/>
    <n v="2024.12"/>
    <n v="-643.38000000000011"/>
    <n v="-0.24119212746016874"/>
    <x v="0"/>
    <n v="-2024.12"/>
    <x v="17"/>
  </r>
  <r>
    <s v="FIN-00505"/>
    <d v="2026-02-26T00:00:00"/>
    <x v="0"/>
    <x v="2"/>
    <x v="6"/>
    <x v="1"/>
    <s v="Karachi"/>
    <s v="Peoplefirst"/>
    <x v="2"/>
    <n v="9189.4699999999993"/>
    <n v="6189.2"/>
    <n v="-3000.2699999999995"/>
    <n v="-0.32648999343814167"/>
    <x v="0"/>
    <n v="-6189.2"/>
    <x v="17"/>
  </r>
  <r>
    <s v="FIN-00506"/>
    <d v="2026-05-04T00:00:00"/>
    <x v="0"/>
    <x v="1"/>
    <x v="6"/>
    <x v="4"/>
    <s v="Karachi"/>
    <s v="Buildcare"/>
    <x v="1"/>
    <n v="16363.64"/>
    <n v="9065.6299999999992"/>
    <n v="-7298.01"/>
    <n v="-0.44598940089124428"/>
    <x v="0"/>
    <n v="-9065.6299999999992"/>
    <x v="16"/>
  </r>
  <r>
    <s v="FIN-00507"/>
    <d v="2025-07-03T00:00:00"/>
    <x v="0"/>
    <x v="0"/>
    <x v="10"/>
    <x v="2"/>
    <s v="Faisalabad"/>
    <s v="Travellink"/>
    <x v="2"/>
    <n v="3333.33"/>
    <n v="3350.92"/>
    <n v="17.590000000000146"/>
    <n v="5.277005277005321E-3"/>
    <x v="1"/>
    <n v="-3350.92"/>
    <x v="6"/>
  </r>
  <r>
    <s v="FIN-00508"/>
    <d v="2025-04-11T00:00:00"/>
    <x v="0"/>
    <x v="1"/>
    <x v="1"/>
    <x v="3"/>
    <s v="Karachi"/>
    <s v="Powergrid"/>
    <x v="3"/>
    <n v="2250"/>
    <n v="1741.93"/>
    <n v="-508.06999999999994"/>
    <n v="-0.22580888888888886"/>
    <x v="0"/>
    <n v="-1741.93"/>
    <x v="3"/>
  </r>
  <r>
    <s v="FIN-00509"/>
    <d v="2025-04-24T00:00:00"/>
    <x v="0"/>
    <x v="0"/>
    <x v="9"/>
    <x v="4"/>
    <s v="Karachi"/>
    <s v="Officepro"/>
    <x v="3"/>
    <n v="6111.11"/>
    <n v="8217.7800000000007"/>
    <n v="2106.670000000001"/>
    <n v="0.34472788085961487"/>
    <x v="1"/>
    <n v="-8217.7800000000007"/>
    <x v="3"/>
  </r>
  <r>
    <s v="FIN-00510"/>
    <d v="2025-11-25T00:00:00"/>
    <x v="1"/>
    <x v="3"/>
    <x v="3"/>
    <x v="3"/>
    <s v="Karachi"/>
    <s v="Buildcare"/>
    <x v="4"/>
    <n v="13125"/>
    <n v="16370.54"/>
    <n v="3245.5400000000009"/>
    <n v="0.24727923809523816"/>
    <x v="1"/>
    <n v="16370.54"/>
    <x v="10"/>
  </r>
  <r>
    <s v="FIN-00511"/>
    <d v="2025-04-02T00:00:00"/>
    <x v="1"/>
    <x v="3"/>
    <x v="12"/>
    <x v="0"/>
    <s v="Lahore"/>
    <s v="Travellink"/>
    <x v="3"/>
    <n v="14285.71"/>
    <n v="9952.48"/>
    <n v="-4333.2299999999996"/>
    <n v="-0.30332619099785729"/>
    <x v="0"/>
    <n v="9952.48"/>
    <x v="3"/>
  </r>
  <r>
    <s v="FIN-00512"/>
    <d v="2025-03-25T00:00:00"/>
    <x v="1"/>
    <x v="6"/>
    <x v="3"/>
    <x v="4"/>
    <s v="Karachi"/>
    <s v="Officepro"/>
    <x v="4"/>
    <n v="8064.52"/>
    <n v="20963.66"/>
    <n v="12899.14"/>
    <n v="1.5994925922435557"/>
    <x v="1"/>
    <n v="20963.66"/>
    <x v="2"/>
  </r>
  <r>
    <s v="FIN-00513"/>
    <d v="2025-04-28T00:00:00"/>
    <x v="0"/>
    <x v="1"/>
    <x v="5"/>
    <x v="3"/>
    <s v="Lahore"/>
    <s v="Shipfast"/>
    <x v="4"/>
    <n v="5416.67"/>
    <n v="5302.88"/>
    <n v="-113.78999999999996"/>
    <n v="-2.100737168777126E-2"/>
    <x v="0"/>
    <n v="-5302.88"/>
    <x v="3"/>
  </r>
  <r>
    <s v="FIN-00514"/>
    <d v="2025-06-21T00:00:00"/>
    <x v="1"/>
    <x v="5"/>
    <x v="12"/>
    <x v="3"/>
    <s v="Karachi"/>
    <s v="Prime Supplies"/>
    <x v="2"/>
    <n v="6250"/>
    <n v="16518.21"/>
    <n v="10268.209999999999"/>
    <n v="1.6429135999999998"/>
    <x v="1"/>
    <n v="16518.21"/>
    <x v="5"/>
  </r>
  <r>
    <s v="FIN-00515"/>
    <d v="2026-05-02T00:00:00"/>
    <x v="0"/>
    <x v="7"/>
    <x v="8"/>
    <x v="0"/>
    <s v="Karachi"/>
    <s v="Softworks"/>
    <x v="4"/>
    <n v="2727.27"/>
    <n v="4921.3"/>
    <n v="2194.0300000000002"/>
    <n v="0.80447847114513793"/>
    <x v="1"/>
    <n v="-4921.3"/>
    <x v="16"/>
  </r>
  <r>
    <s v="FIN-00516"/>
    <d v="2026-01-19T00:00:00"/>
    <x v="0"/>
    <x v="2"/>
    <x v="0"/>
    <x v="4"/>
    <s v="Lahore"/>
    <s v="Urban Facilities"/>
    <x v="4"/>
    <n v="3104"/>
    <n v="6976.06"/>
    <n v="3872.0600000000004"/>
    <n v="1.2474420103092785"/>
    <x v="1"/>
    <n v="-6976.06"/>
    <x v="12"/>
  </r>
  <r>
    <s v="FIN-00517"/>
    <d v="2025-11-02T00:00:00"/>
    <x v="0"/>
    <x v="6"/>
    <x v="5"/>
    <x v="3"/>
    <s v="Lahore"/>
    <s v="Softworks"/>
    <x v="1"/>
    <n v="17062.5"/>
    <n v="6560.58"/>
    <n v="-10501.92"/>
    <n v="-0.61549714285714285"/>
    <x v="0"/>
    <n v="-6560.58"/>
    <x v="10"/>
  </r>
  <r>
    <s v="FIN-00518"/>
    <d v="2025-03-10T00:00:00"/>
    <x v="0"/>
    <x v="1"/>
    <x v="5"/>
    <x v="3"/>
    <s v="Karachi"/>
    <s v="Legalworks"/>
    <x v="4"/>
    <n v="5000"/>
    <n v="6209.61"/>
    <n v="1209.6099999999997"/>
    <n v="0.24192199999999994"/>
    <x v="1"/>
    <n v="-6209.61"/>
    <x v="2"/>
  </r>
  <r>
    <s v="FIN-00519"/>
    <d v="2025-10-07T00:00:00"/>
    <x v="1"/>
    <x v="2"/>
    <x v="3"/>
    <x v="2"/>
    <s v="Karachi"/>
    <s v="Legalworks"/>
    <x v="3"/>
    <n v="8928.57"/>
    <n v="11103.16"/>
    <n v="2174.59"/>
    <n v="0.24355411896865906"/>
    <x v="1"/>
    <n v="11103.16"/>
    <x v="9"/>
  </r>
  <r>
    <s v="FIN-00520"/>
    <d v="2025-06-30T00:00:00"/>
    <x v="0"/>
    <x v="3"/>
    <x v="7"/>
    <x v="4"/>
    <s v="Lahore"/>
    <s v="Buildcare"/>
    <x v="1"/>
    <n v="4375"/>
    <n v="4547.71"/>
    <n v="172.71000000000004"/>
    <n v="3.9476571428571437E-2"/>
    <x v="1"/>
    <n v="-4547.71"/>
    <x v="5"/>
  </r>
  <r>
    <s v="FIN-00521"/>
    <d v="2025-12-30T00:00:00"/>
    <x v="1"/>
    <x v="3"/>
    <x v="2"/>
    <x v="4"/>
    <s v="Karachi"/>
    <s v="Legalworks"/>
    <x v="4"/>
    <n v="9333.33"/>
    <n v="5146.17"/>
    <n v="-4187.16"/>
    <n v="-0.44862444593730211"/>
    <x v="0"/>
    <n v="5146.17"/>
    <x v="11"/>
  </r>
  <r>
    <s v="FIN-00522"/>
    <d v="2025-08-06T00:00:00"/>
    <x v="0"/>
    <x v="0"/>
    <x v="10"/>
    <x v="2"/>
    <s v="Faisalabad"/>
    <s v="Shipfast"/>
    <x v="3"/>
    <n v="5714.29"/>
    <n v="5974.67"/>
    <n v="260.38000000000011"/>
    <n v="4.556646582515065E-2"/>
    <x v="1"/>
    <n v="-5974.67"/>
    <x v="7"/>
  </r>
  <r>
    <s v="FIN-00523"/>
    <d v="2025-07-08T00:00:00"/>
    <x v="0"/>
    <x v="1"/>
    <x v="11"/>
    <x v="4"/>
    <s v="Islamabad"/>
    <s v="Peoplefirst"/>
    <x v="4"/>
    <n v="2750"/>
    <n v="2957.85"/>
    <n v="207.84999999999991"/>
    <n v="7.5581818181818153E-2"/>
    <x v="1"/>
    <n v="-2957.85"/>
    <x v="6"/>
  </r>
  <r>
    <s v="FIN-00524"/>
    <d v="2025-09-25T00:00:00"/>
    <x v="0"/>
    <x v="4"/>
    <x v="6"/>
    <x v="3"/>
    <s v="Karachi"/>
    <s v="Prime Supplies"/>
    <x v="0"/>
    <n v="7500"/>
    <n v="1997.31"/>
    <n v="-5502.6900000000005"/>
    <n v="-0.73369200000000012"/>
    <x v="0"/>
    <n v="-1997.31"/>
    <x v="8"/>
  </r>
  <r>
    <s v="FIN-00525"/>
    <d v="2026-06-28T00:00:00"/>
    <x v="0"/>
    <x v="5"/>
    <x v="9"/>
    <x v="0"/>
    <s v="Karachi"/>
    <s v="Shipfast"/>
    <x v="1"/>
    <n v="3666.67"/>
    <n v="1322.07"/>
    <n v="-2344.6000000000004"/>
    <n v="-0.63943578233110709"/>
    <x v="0"/>
    <n v="-1322.07"/>
    <x v="13"/>
  </r>
  <r>
    <s v="FIN-00526"/>
    <d v="2026-01-08T00:00:00"/>
    <x v="0"/>
    <x v="6"/>
    <x v="6"/>
    <x v="1"/>
    <s v="Karachi"/>
    <s v="Cloudnet"/>
    <x v="1"/>
    <n v="6715.38"/>
    <n v="13634.32"/>
    <n v="6918.94"/>
    <n v="1.0303125065148955"/>
    <x v="1"/>
    <n v="-13634.32"/>
    <x v="12"/>
  </r>
  <r>
    <s v="FIN-00527"/>
    <d v="2025-10-21T00:00:00"/>
    <x v="1"/>
    <x v="3"/>
    <x v="12"/>
    <x v="4"/>
    <s v="Lahore"/>
    <s v="Buildcare"/>
    <x v="1"/>
    <n v="7692.31"/>
    <n v="8363.69"/>
    <n v="671.38000000000011"/>
    <n v="8.7279373816187861E-2"/>
    <x v="1"/>
    <n v="8363.69"/>
    <x v="9"/>
  </r>
  <r>
    <s v="FIN-00528"/>
    <d v="2025-02-15T00:00:00"/>
    <x v="1"/>
    <x v="2"/>
    <x v="13"/>
    <x v="4"/>
    <s v="Karachi"/>
    <s v="Markethub"/>
    <x v="1"/>
    <n v="3233.33"/>
    <n v="990.47"/>
    <n v="-2242.8599999999997"/>
    <n v="-0.6936687563595425"/>
    <x v="0"/>
    <n v="990.47"/>
    <x v="1"/>
  </r>
  <r>
    <s v="FIN-00529"/>
    <d v="2026-03-27T00:00:00"/>
    <x v="0"/>
    <x v="4"/>
    <x v="11"/>
    <x v="4"/>
    <s v="Peshawar"/>
    <s v="Cloudnet"/>
    <x v="1"/>
    <n v="1833.33"/>
    <n v="2315.31"/>
    <n v="481.98"/>
    <n v="0.26289865981574512"/>
    <x v="1"/>
    <n v="-2315.31"/>
    <x v="14"/>
  </r>
  <r>
    <s v="FIN-00530"/>
    <d v="2025-09-14T00:00:00"/>
    <x v="0"/>
    <x v="4"/>
    <x v="6"/>
    <x v="0"/>
    <s v="Lahore"/>
    <s v="Markethub"/>
    <x v="3"/>
    <n v="7500"/>
    <n v="7410.07"/>
    <n v="-89.930000000000291"/>
    <n v="-1.1990666666666705E-2"/>
    <x v="0"/>
    <n v="-7410.07"/>
    <x v="8"/>
  </r>
  <r>
    <s v="FIN-00531"/>
    <d v="2025-12-13T00:00:00"/>
    <x v="0"/>
    <x v="5"/>
    <x v="4"/>
    <x v="4"/>
    <s v="Multan"/>
    <s v="Softworks"/>
    <x v="1"/>
    <n v="9800"/>
    <n v="2535.58"/>
    <n v="-7264.42"/>
    <n v="-0.7412673469387755"/>
    <x v="0"/>
    <n v="-2535.58"/>
    <x v="11"/>
  </r>
  <r>
    <s v="FIN-00532"/>
    <d v="2026-06-18T00:00:00"/>
    <x v="0"/>
    <x v="4"/>
    <x v="9"/>
    <x v="3"/>
    <s v="Multan"/>
    <s v="Adsphere"/>
    <x v="1"/>
    <n v="3666.67"/>
    <n v="1924.77"/>
    <n v="-1741.9"/>
    <n v="-0.47506320448799594"/>
    <x v="0"/>
    <n v="-1924.77"/>
    <x v="13"/>
  </r>
  <r>
    <s v="FIN-00533"/>
    <d v="2026-04-06T00:00:00"/>
    <x v="0"/>
    <x v="2"/>
    <x v="10"/>
    <x v="0"/>
    <s v="Karachi"/>
    <s v="Techsource"/>
    <x v="2"/>
    <n v="6666.67"/>
    <n v="5761.15"/>
    <n v="-905.52000000000044"/>
    <n v="-0.13582793208603403"/>
    <x v="0"/>
    <n v="-5761.15"/>
    <x v="15"/>
  </r>
  <r>
    <s v="FIN-00534"/>
    <d v="2026-05-23T00:00:00"/>
    <x v="0"/>
    <x v="1"/>
    <x v="1"/>
    <x v="1"/>
    <s v="Peshawar"/>
    <s v="Markethub"/>
    <x v="4"/>
    <n v="6000"/>
    <n v="1437.89"/>
    <n v="-4562.1099999999997"/>
    <n v="-0.76035166666666665"/>
    <x v="0"/>
    <n v="-1437.89"/>
    <x v="16"/>
  </r>
  <r>
    <s v="FIN-00535"/>
    <d v="2025-03-11T00:00:00"/>
    <x v="0"/>
    <x v="3"/>
    <x v="6"/>
    <x v="1"/>
    <s v="Karachi"/>
    <s v="Dataserve"/>
    <x v="3"/>
    <n v="6000"/>
    <n v="7761.67"/>
    <n v="1761.67"/>
    <n v="0.29361166666666666"/>
    <x v="1"/>
    <n v="-7761.67"/>
    <x v="2"/>
  </r>
  <r>
    <s v="FIN-00536"/>
    <d v="2026-06-13T00:00:00"/>
    <x v="1"/>
    <x v="3"/>
    <x v="12"/>
    <x v="4"/>
    <s v="Multan"/>
    <s v="Techsource"/>
    <x v="1"/>
    <n v="4761.8999999999996"/>
    <n v="16190.62"/>
    <n v="11428.720000000001"/>
    <n v="2.4000336000336007"/>
    <x v="1"/>
    <n v="16190.62"/>
    <x v="13"/>
  </r>
  <r>
    <s v="FIN-00537"/>
    <d v="2025-11-13T00:00:00"/>
    <x v="0"/>
    <x v="4"/>
    <x v="6"/>
    <x v="3"/>
    <s v="Faisalabad"/>
    <s v="Urban Facilities"/>
    <x v="4"/>
    <n v="9947.3700000000008"/>
    <n v="2088.65"/>
    <n v="-7858.7200000000012"/>
    <n v="-0.79002992750847711"/>
    <x v="0"/>
    <n v="-2088.65"/>
    <x v="10"/>
  </r>
  <r>
    <s v="FIN-00538"/>
    <d v="2025-04-23T00:00:00"/>
    <x v="0"/>
    <x v="0"/>
    <x v="7"/>
    <x v="1"/>
    <s v="Peshawar"/>
    <s v="Buildcare"/>
    <x v="4"/>
    <n v="4375"/>
    <n v="2411.75"/>
    <n v="-1963.25"/>
    <n v="-0.44874285714285717"/>
    <x v="0"/>
    <n v="-2411.75"/>
    <x v="3"/>
  </r>
  <r>
    <s v="FIN-00539"/>
    <d v="2026-02-01T00:00:00"/>
    <x v="1"/>
    <x v="3"/>
    <x v="12"/>
    <x v="3"/>
    <s v="Lahore"/>
    <s v="Techsource"/>
    <x v="2"/>
    <n v="8083.33"/>
    <n v="16949.7"/>
    <n v="8866.3700000000008"/>
    <n v="1.0968709677818425"/>
    <x v="1"/>
    <n v="16949.7"/>
    <x v="17"/>
  </r>
  <r>
    <s v="FIN-00540"/>
    <d v="2025-05-08T00:00:00"/>
    <x v="0"/>
    <x v="6"/>
    <x v="6"/>
    <x v="1"/>
    <s v="Multan"/>
    <s v="Cloudnet"/>
    <x v="4"/>
    <n v="7200"/>
    <n v="16877.82"/>
    <n v="9677.82"/>
    <n v="1.3441416666666666"/>
    <x v="1"/>
    <n v="-16877.82"/>
    <x v="4"/>
  </r>
  <r>
    <s v="FIN-00541"/>
    <d v="2025-11-18T00:00:00"/>
    <x v="0"/>
    <x v="3"/>
    <x v="11"/>
    <x v="3"/>
    <s v="Karachi"/>
    <s v="Dataserve"/>
    <x v="0"/>
    <n v="2310"/>
    <n v="965.9"/>
    <n v="-1344.1"/>
    <n v="-0.58186147186147186"/>
    <x v="0"/>
    <n v="-965.9"/>
    <x v="10"/>
  </r>
  <r>
    <s v="FIN-00542"/>
    <d v="2025-07-25T00:00:00"/>
    <x v="0"/>
    <x v="1"/>
    <x v="6"/>
    <x v="3"/>
    <s v="Multan"/>
    <s v="Dataserve"/>
    <x v="1"/>
    <n v="6923.08"/>
    <n v="1963.06"/>
    <n v="-4960.0200000000004"/>
    <n v="-0.7164470149124379"/>
    <x v="0"/>
    <n v="-1963.06"/>
    <x v="6"/>
  </r>
  <r>
    <s v="FIN-00543"/>
    <d v="2025-05-22T00:00:00"/>
    <x v="1"/>
    <x v="0"/>
    <x v="12"/>
    <x v="4"/>
    <s v="Lahore"/>
    <s v="Techsource"/>
    <x v="1"/>
    <n v="9090.91"/>
    <n v="2729.97"/>
    <n v="-6360.9400000000005"/>
    <n v="-0.69970333002966711"/>
    <x v="0"/>
    <n v="2729.97"/>
    <x v="4"/>
  </r>
  <r>
    <s v="FIN-00544"/>
    <d v="2025-10-21T00:00:00"/>
    <x v="0"/>
    <x v="1"/>
    <x v="8"/>
    <x v="1"/>
    <s v="Karachi"/>
    <s v="Markethub"/>
    <x v="1"/>
    <n v="5000"/>
    <n v="4396.8999999999996"/>
    <n v="-603.10000000000036"/>
    <n v="-0.12062000000000007"/>
    <x v="0"/>
    <n v="-4396.8999999999996"/>
    <x v="9"/>
  </r>
  <r>
    <s v="FIN-00545"/>
    <d v="2026-01-15T00:00:00"/>
    <x v="1"/>
    <x v="2"/>
    <x v="2"/>
    <x v="2"/>
    <s v="Lahore"/>
    <s v="Peoplefirst"/>
    <x v="0"/>
    <n v="8622.2199999999993"/>
    <n v="7622.39"/>
    <n v="-999.82999999999902"/>
    <n v="-0.11595969483497279"/>
    <x v="0"/>
    <n v="7622.39"/>
    <x v="12"/>
  </r>
  <r>
    <s v="FIN-00546"/>
    <d v="2026-01-23T00:00:00"/>
    <x v="0"/>
    <x v="1"/>
    <x v="11"/>
    <x v="4"/>
    <s v="Lahore"/>
    <s v="Cloudnet"/>
    <x v="3"/>
    <n v="3556.67"/>
    <n v="3029.87"/>
    <n v="-526.80000000000018"/>
    <n v="-0.14811607486778366"/>
    <x v="0"/>
    <n v="-3029.87"/>
    <x v="12"/>
  </r>
  <r>
    <s v="FIN-00547"/>
    <d v="2025-08-28T00:00:00"/>
    <x v="0"/>
    <x v="4"/>
    <x v="9"/>
    <x v="4"/>
    <s v="Lahore"/>
    <s v="Adsphere"/>
    <x v="1"/>
    <n v="3928.57"/>
    <n v="4754.76"/>
    <n v="826.19"/>
    <n v="0.21030298556472202"/>
    <x v="1"/>
    <n v="-4754.76"/>
    <x v="7"/>
  </r>
  <r>
    <s v="FIN-00548"/>
    <d v="2025-08-21T00:00:00"/>
    <x v="1"/>
    <x v="3"/>
    <x v="2"/>
    <x v="2"/>
    <s v="Karachi"/>
    <s v="Markethub"/>
    <x v="4"/>
    <n v="13333.33"/>
    <n v="4223.78"/>
    <n v="-9109.5499999999993"/>
    <n v="-0.68321642080410516"/>
    <x v="0"/>
    <n v="4223.78"/>
    <x v="7"/>
  </r>
  <r>
    <s v="FIN-00549"/>
    <d v="2025-02-27T00:00:00"/>
    <x v="0"/>
    <x v="4"/>
    <x v="9"/>
    <x v="3"/>
    <s v="Karachi"/>
    <s v="Dataserve"/>
    <x v="0"/>
    <n v="7621.43"/>
    <n v="6565.22"/>
    <n v="-1056.21"/>
    <n v="-0.13858422894391209"/>
    <x v="0"/>
    <n v="-6565.22"/>
    <x v="1"/>
  </r>
  <r>
    <s v="FIN-00550"/>
    <d v="2025-05-25T00:00:00"/>
    <x v="0"/>
    <x v="5"/>
    <x v="9"/>
    <x v="1"/>
    <s v="Karachi"/>
    <s v="Legalworks"/>
    <x v="0"/>
    <n v="5500"/>
    <n v="1868.98"/>
    <n v="-3631.02"/>
    <n v="-0.66018545454545452"/>
    <x v="0"/>
    <n v="-1868.98"/>
    <x v="4"/>
  </r>
  <r>
    <s v="FIN-00551"/>
    <d v="2026-01-07T00:00:00"/>
    <x v="0"/>
    <x v="2"/>
    <x v="6"/>
    <x v="3"/>
    <s v="Multan"/>
    <s v="Softworks"/>
    <x v="4"/>
    <n v="6715.38"/>
    <n v="8855.41"/>
    <n v="2140.0299999999997"/>
    <n v="0.31867593494336877"/>
    <x v="1"/>
    <n v="-8855.41"/>
    <x v="12"/>
  </r>
  <r>
    <s v="FIN-00552"/>
    <d v="2025-07-22T00:00:00"/>
    <x v="1"/>
    <x v="3"/>
    <x v="3"/>
    <x v="4"/>
    <s v="Karachi"/>
    <s v="Prime Supplies"/>
    <x v="0"/>
    <n v="12500"/>
    <n v="18665.240000000002"/>
    <n v="6165.2400000000016"/>
    <n v="0.49321920000000014"/>
    <x v="1"/>
    <n v="18665.240000000002"/>
    <x v="6"/>
  </r>
  <r>
    <s v="FIN-00553"/>
    <d v="2026-06-06T00:00:00"/>
    <x v="1"/>
    <x v="4"/>
    <x v="3"/>
    <x v="4"/>
    <s v="Islamabad"/>
    <s v="Shipfast"/>
    <x v="1"/>
    <n v="10000"/>
    <n v="7901.91"/>
    <n v="-2098.09"/>
    <n v="-0.20980900000000002"/>
    <x v="0"/>
    <n v="7901.91"/>
    <x v="13"/>
  </r>
  <r>
    <s v="FIN-00554"/>
    <d v="2025-07-13T00:00:00"/>
    <x v="0"/>
    <x v="4"/>
    <x v="6"/>
    <x v="4"/>
    <s v="Karachi"/>
    <s v="Shipfast"/>
    <x v="2"/>
    <n v="6923.08"/>
    <n v="4874"/>
    <n v="-2049.08"/>
    <n v="-0.29597809067640413"/>
    <x v="0"/>
    <n v="-4874"/>
    <x v="6"/>
  </r>
  <r>
    <s v="FIN-00555"/>
    <d v="2026-03-14T00:00:00"/>
    <x v="0"/>
    <x v="6"/>
    <x v="7"/>
    <x v="4"/>
    <s v="Karachi"/>
    <s v="Dataserve"/>
    <x v="4"/>
    <n v="3181.82"/>
    <n v="4160.8100000000004"/>
    <n v="978.99000000000024"/>
    <n v="0.30768239561005972"/>
    <x v="1"/>
    <n v="-4160.8100000000004"/>
    <x v="14"/>
  </r>
  <r>
    <s v="FIN-00556"/>
    <d v="2025-09-07T00:00:00"/>
    <x v="1"/>
    <x v="1"/>
    <x v="2"/>
    <x v="2"/>
    <s v="Karachi"/>
    <s v="Techsource"/>
    <x v="4"/>
    <n v="10000"/>
    <n v="966.12"/>
    <n v="-9033.8799999999992"/>
    <n v="-0.90338799999999997"/>
    <x v="0"/>
    <n v="966.12"/>
    <x v="8"/>
  </r>
  <r>
    <s v="FIN-00557"/>
    <d v="2025-06-05T00:00:00"/>
    <x v="1"/>
    <x v="1"/>
    <x v="2"/>
    <x v="3"/>
    <s v="Lahore"/>
    <s v="Shipfast"/>
    <x v="4"/>
    <n v="5333.33"/>
    <n v="5261.9"/>
    <n v="-71.430000000000291"/>
    <n v="-1.3393133370708412E-2"/>
    <x v="0"/>
    <n v="5261.9"/>
    <x v="5"/>
  </r>
  <r>
    <s v="FIN-00558"/>
    <d v="2026-01-07T00:00:00"/>
    <x v="0"/>
    <x v="1"/>
    <x v="6"/>
    <x v="2"/>
    <s v="Karachi"/>
    <s v="Adsphere"/>
    <x v="2"/>
    <n v="6715.38"/>
    <n v="8039.68"/>
    <n v="1324.3000000000002"/>
    <n v="0.1972040301516817"/>
    <x v="1"/>
    <n v="-8039.68"/>
    <x v="12"/>
  </r>
  <r>
    <s v="FIN-00559"/>
    <d v="2025-12-30T00:00:00"/>
    <x v="1"/>
    <x v="2"/>
    <x v="3"/>
    <x v="4"/>
    <s v="Multan"/>
    <s v="Adsphere"/>
    <x v="1"/>
    <n v="15441.18"/>
    <n v="24800.62"/>
    <n v="9359.4399999999987"/>
    <n v="0.60613502335961367"/>
    <x v="1"/>
    <n v="24800.62"/>
    <x v="11"/>
  </r>
  <r>
    <s v="FIN-00560"/>
    <d v="2025-01-11T00:00:00"/>
    <x v="1"/>
    <x v="2"/>
    <x v="12"/>
    <x v="4"/>
    <s v="Faisalabad"/>
    <s v="Unknown"/>
    <x v="2"/>
    <n v="9700"/>
    <n v="9885.6"/>
    <n v="185.60000000000036"/>
    <n v="1.9134020618556739E-2"/>
    <x v="1"/>
    <n v="9885.6"/>
    <x v="0"/>
  </r>
  <r>
    <s v="FIN-00561"/>
    <d v="2025-09-02T00:00:00"/>
    <x v="0"/>
    <x v="2"/>
    <x v="8"/>
    <x v="2"/>
    <s v="Faisalabad"/>
    <s v="Buildcare"/>
    <x v="1"/>
    <n v="5000"/>
    <n v="6983.38"/>
    <n v="1983.38"/>
    <n v="0.39667600000000003"/>
    <x v="1"/>
    <n v="-6983.38"/>
    <x v="8"/>
  </r>
  <r>
    <s v="FIN-00562"/>
    <d v="2026-02-22T00:00:00"/>
    <x v="0"/>
    <x v="1"/>
    <x v="7"/>
    <x v="4"/>
    <s v="Karachi"/>
    <s v="Powergrid"/>
    <x v="4"/>
    <n v="5658.33"/>
    <n v="4981.0200000000004"/>
    <n v="-677.30999999999949"/>
    <n v="-0.11970139599493128"/>
    <x v="0"/>
    <n v="-4981.0200000000004"/>
    <x v="17"/>
  </r>
  <r>
    <s v="FIN-00563"/>
    <d v="2026-06-29T00:00:00"/>
    <x v="0"/>
    <x v="1"/>
    <x v="0"/>
    <x v="2"/>
    <s v="Islamabad"/>
    <s v="Legalworks"/>
    <x v="4"/>
    <n v="3555.56"/>
    <n v="279.13"/>
    <n v="-3276.43"/>
    <n v="-0.92149478563151788"/>
    <x v="0"/>
    <n v="-279.13"/>
    <x v="13"/>
  </r>
  <r>
    <s v="FIN-00564"/>
    <d v="2025-01-05T00:00:00"/>
    <x v="0"/>
    <x v="4"/>
    <x v="1"/>
    <x v="2"/>
    <s v="Lahore"/>
    <s v="Officepro"/>
    <x v="4"/>
    <n v="1746"/>
    <n v="1373.54"/>
    <n v="-372.46000000000004"/>
    <n v="-0.21332187857961055"/>
    <x v="0"/>
    <n v="-1373.54"/>
    <x v="0"/>
  </r>
  <r>
    <s v="FIN-00565"/>
    <d v="2026-04-15T00:00:00"/>
    <x v="1"/>
    <x v="3"/>
    <x v="3"/>
    <x v="2"/>
    <s v="Faisalabad"/>
    <s v="Prime Supplies"/>
    <x v="1"/>
    <n v="8333.33"/>
    <n v="11007.89"/>
    <n v="2674.5599999999995"/>
    <n v="0.32094732837893131"/>
    <x v="1"/>
    <n v="11007.89"/>
    <x v="15"/>
  </r>
  <r>
    <s v="FIN-00566"/>
    <d v="2026-02-05T00:00:00"/>
    <x v="0"/>
    <x v="1"/>
    <x v="8"/>
    <x v="3"/>
    <s v="Islamabad"/>
    <s v="Officepro"/>
    <x v="3"/>
    <n v="2910"/>
    <n v="6000.09"/>
    <n v="3090.09"/>
    <n v="1.0618865979381444"/>
    <x v="1"/>
    <n v="-6000.09"/>
    <x v="17"/>
  </r>
  <r>
    <s v="FIN-00567"/>
    <d v="2026-04-04T00:00:00"/>
    <x v="0"/>
    <x v="2"/>
    <x v="8"/>
    <x v="3"/>
    <s v="Lahore"/>
    <s v="Cloudnet"/>
    <x v="1"/>
    <n v="10000"/>
    <n v="5404.8"/>
    <n v="-4595.2"/>
    <n v="-0.45951999999999998"/>
    <x v="0"/>
    <n v="-5404.8"/>
    <x v="15"/>
  </r>
  <r>
    <s v="FIN-00568"/>
    <d v="2025-01-12T00:00:00"/>
    <x v="0"/>
    <x v="2"/>
    <x v="6"/>
    <x v="4"/>
    <s v="Peshawar"/>
    <s v="Peoplefirst"/>
    <x v="4"/>
    <n v="7591.3"/>
    <n v="1637.08"/>
    <n v="-5954.22"/>
    <n v="-0.78434787190599764"/>
    <x v="0"/>
    <n v="-1637.08"/>
    <x v="0"/>
  </r>
  <r>
    <s v="FIN-00569"/>
    <d v="2025-03-20T00:00:00"/>
    <x v="1"/>
    <x v="3"/>
    <x v="13"/>
    <x v="2"/>
    <s v="Karachi"/>
    <s v="Travellink"/>
    <x v="3"/>
    <n v="2857.14"/>
    <n v="3655.97"/>
    <n v="798.82999999999993"/>
    <n v="0.2795907795907796"/>
    <x v="1"/>
    <n v="3655.97"/>
    <x v="2"/>
  </r>
  <r>
    <s v="FIN-00570"/>
    <d v="2025-05-09T00:00:00"/>
    <x v="0"/>
    <x v="0"/>
    <x v="9"/>
    <x v="1"/>
    <s v="Karachi"/>
    <s v="Techsource"/>
    <x v="3"/>
    <n v="5500"/>
    <n v="6996.83"/>
    <n v="1496.83"/>
    <n v="0.27215090909090905"/>
    <x v="1"/>
    <n v="-6996.83"/>
    <x v="4"/>
  </r>
  <r>
    <s v="FIN-00571"/>
    <d v="2025-12-20T00:00:00"/>
    <x v="1"/>
    <x v="0"/>
    <x v="3"/>
    <x v="3"/>
    <s v="Faisalabad"/>
    <s v="Urban Facilities"/>
    <x v="1"/>
    <n v="15441.18"/>
    <n v="4345.76"/>
    <n v="-11095.42"/>
    <n v="-0.71856036909096321"/>
    <x v="0"/>
    <n v="4345.76"/>
    <x v="11"/>
  </r>
  <r>
    <s v="FIN-00572"/>
    <d v="2025-12-12T00:00:00"/>
    <x v="0"/>
    <x v="1"/>
    <x v="9"/>
    <x v="2"/>
    <s v="Multan"/>
    <s v="Shipfast"/>
    <x v="1"/>
    <n v="4125"/>
    <n v="1715.92"/>
    <n v="-2409.08"/>
    <n v="-0.58401939393939395"/>
    <x v="0"/>
    <n v="-1715.92"/>
    <x v="11"/>
  </r>
  <r>
    <s v="FIN-00573"/>
    <d v="2025-06-17T00:00:00"/>
    <x v="1"/>
    <x v="3"/>
    <x v="12"/>
    <x v="1"/>
    <s v="Multan"/>
    <s v="Dataserve"/>
    <x v="2"/>
    <n v="6250"/>
    <n v="12363.31"/>
    <n v="6113.3099999999995"/>
    <n v="0.97812959999999993"/>
    <x v="1"/>
    <n v="12363.31"/>
    <x v="5"/>
  </r>
  <r>
    <s v="FIN-00574"/>
    <d v="2026-01-04T00:00:00"/>
    <x v="0"/>
    <x v="1"/>
    <x v="7"/>
    <x v="0"/>
    <s v="Karachi"/>
    <s v="Markethub"/>
    <x v="4"/>
    <n v="3395"/>
    <n v="3254.42"/>
    <n v="-140.57999999999993"/>
    <n v="-4.1407952871870379E-2"/>
    <x v="0"/>
    <n v="-3254.42"/>
    <x v="12"/>
  </r>
  <r>
    <s v="FIN-00575"/>
    <d v="2026-06-15T00:00:00"/>
    <x v="1"/>
    <x v="1"/>
    <x v="3"/>
    <x v="4"/>
    <s v="Karachi"/>
    <s v="Markethub"/>
    <x v="4"/>
    <n v="10000"/>
    <n v="11091.41"/>
    <n v="1091.4099999999999"/>
    <n v="0.10914099999999999"/>
    <x v="1"/>
    <n v="11091.41"/>
    <x v="13"/>
  </r>
  <r>
    <s v="FIN-00576"/>
    <d v="2025-09-06T00:00:00"/>
    <x v="0"/>
    <x v="0"/>
    <x v="10"/>
    <x v="2"/>
    <s v="Multan"/>
    <s v="Peoplefirst"/>
    <x v="1"/>
    <n v="5000"/>
    <n v="4244.55"/>
    <n v="-755.44999999999982"/>
    <n v="-0.15108999999999997"/>
    <x v="0"/>
    <n v="-4244.55"/>
    <x v="8"/>
  </r>
  <r>
    <s v="FIN-00577"/>
    <d v="2026-01-27T00:00:00"/>
    <x v="0"/>
    <x v="2"/>
    <x v="0"/>
    <x v="3"/>
    <s v="Karachi"/>
    <s v="Officepro"/>
    <x v="1"/>
    <n v="3104"/>
    <n v="4774.92"/>
    <n v="1670.92"/>
    <n v="0.53831185567010309"/>
    <x v="1"/>
    <n v="-4774.92"/>
    <x v="12"/>
  </r>
  <r>
    <s v="FIN-00578"/>
    <d v="2025-11-14T00:00:00"/>
    <x v="0"/>
    <x v="5"/>
    <x v="4"/>
    <x v="0"/>
    <s v="Islamabad"/>
    <s v="Adsphere"/>
    <x v="2"/>
    <n v="4900"/>
    <n v="816.52"/>
    <n v="-4083.48"/>
    <n v="-0.83336326530612248"/>
    <x v="0"/>
    <n v="-816.52"/>
    <x v="10"/>
  </r>
  <r>
    <s v="FIN-00579"/>
    <d v="2025-10-04T00:00:00"/>
    <x v="0"/>
    <x v="2"/>
    <x v="0"/>
    <x v="4"/>
    <s v="Karachi"/>
    <s v="Officepro"/>
    <x v="4"/>
    <n v="2666.67"/>
    <n v="1486.73"/>
    <n v="-1179.94"/>
    <n v="-0.44247694690381639"/>
    <x v="0"/>
    <n v="-1486.73"/>
    <x v="9"/>
  </r>
  <r>
    <s v="FIN-00580"/>
    <d v="2025-12-07T00:00:00"/>
    <x v="1"/>
    <x v="3"/>
    <x v="12"/>
    <x v="3"/>
    <s v="Karachi"/>
    <s v="Powergrid"/>
    <x v="1"/>
    <n v="9545.4500000000007"/>
    <n v="6456.37"/>
    <n v="-3089.0800000000008"/>
    <n v="-0.32361805886574235"/>
    <x v="0"/>
    <n v="6456.37"/>
    <x v="11"/>
  </r>
  <r>
    <s v="FIN-00581"/>
    <d v="2025-10-26T00:00:00"/>
    <x v="1"/>
    <x v="3"/>
    <x v="3"/>
    <x v="0"/>
    <s v="Multan"/>
    <s v="Cloudnet"/>
    <x v="1"/>
    <n v="8928.57"/>
    <n v="7114.32"/>
    <n v="-1814.25"/>
    <n v="-0.2031960325113652"/>
    <x v="0"/>
    <n v="7114.32"/>
    <x v="9"/>
  </r>
  <r>
    <s v="FIN-00582"/>
    <d v="2026-02-14T00:00:00"/>
    <x v="0"/>
    <x v="1"/>
    <x v="0"/>
    <x v="4"/>
    <s v="Karachi"/>
    <s v="Powergrid"/>
    <x v="2"/>
    <n v="5173.33"/>
    <n v="1014.75"/>
    <n v="-4158.58"/>
    <n v="-0.80384974474854687"/>
    <x v="0"/>
    <n v="-1014.75"/>
    <x v="17"/>
  </r>
  <r>
    <s v="FIN-00583"/>
    <d v="2025-08-11T00:00:00"/>
    <x v="1"/>
    <x v="3"/>
    <x v="12"/>
    <x v="0"/>
    <s v="Lahore"/>
    <s v="Prime Supplies"/>
    <x v="1"/>
    <n v="7142.86"/>
    <n v="12507.26"/>
    <n v="5364.4000000000005"/>
    <n v="0.75101569959372028"/>
    <x v="1"/>
    <n v="12507.26"/>
    <x v="7"/>
  </r>
  <r>
    <s v="FIN-00584"/>
    <d v="2025-08-28T00:00:00"/>
    <x v="0"/>
    <x v="2"/>
    <x v="8"/>
    <x v="4"/>
    <s v="Karachi"/>
    <s v="Shipfast"/>
    <x v="4"/>
    <n v="15000"/>
    <n v="7061.73"/>
    <n v="-7938.27"/>
    <n v="-0.52921800000000008"/>
    <x v="0"/>
    <n v="-7061.73"/>
    <x v="7"/>
  </r>
  <r>
    <s v="FIN-00585"/>
    <d v="2026-06-26T00:00:00"/>
    <x v="1"/>
    <x v="3"/>
    <x v="12"/>
    <x v="4"/>
    <s v="Karachi"/>
    <s v="Techsource"/>
    <x v="2"/>
    <n v="4761.8999999999996"/>
    <n v="2448.89"/>
    <n v="-2313.0099999999998"/>
    <n v="-0.48573258573258571"/>
    <x v="0"/>
    <n v="2448.89"/>
    <x v="13"/>
  </r>
  <r>
    <s v="FIN-00586"/>
    <d v="2026-01-27T00:00:00"/>
    <x v="1"/>
    <x v="6"/>
    <x v="2"/>
    <x v="2"/>
    <s v="Karachi"/>
    <s v="Urban Facilities"/>
    <x v="4"/>
    <n v="8622.2199999999993"/>
    <n v="7975.58"/>
    <n v="-646.63999999999942"/>
    <n v="-7.4996926545599557E-2"/>
    <x v="0"/>
    <n v="7975.58"/>
    <x v="12"/>
  </r>
  <r>
    <s v="FIN-00587"/>
    <d v="2025-08-18T00:00:00"/>
    <x v="0"/>
    <x v="2"/>
    <x v="4"/>
    <x v="1"/>
    <s v="Karachi"/>
    <s v="Dataserve"/>
    <x v="3"/>
    <n v="4666.67"/>
    <n v="2566.39"/>
    <n v="-2100.2800000000002"/>
    <n v="-0.45005967852880108"/>
    <x v="0"/>
    <n v="-2566.39"/>
    <x v="7"/>
  </r>
  <r>
    <s v="FIN-00588"/>
    <d v="2025-08-18T00:00:00"/>
    <x v="0"/>
    <x v="1"/>
    <x v="7"/>
    <x v="2"/>
    <s v="Karachi"/>
    <s v="Buildcare"/>
    <x v="4"/>
    <n v="17500"/>
    <n v="4889.78"/>
    <n v="-12610.220000000001"/>
    <n v="-0.72058400000000011"/>
    <x v="0"/>
    <n v="-4889.78"/>
    <x v="7"/>
  </r>
  <r>
    <s v="FIN-00589"/>
    <d v="2025-05-22T00:00:00"/>
    <x v="1"/>
    <x v="3"/>
    <x v="3"/>
    <x v="2"/>
    <s v="Faisalabad"/>
    <s v="Adsphere"/>
    <x v="1"/>
    <n v="9615.3799999999992"/>
    <n v="4516.99"/>
    <n v="-5098.3899999999994"/>
    <n v="-0.53023281451175097"/>
    <x v="0"/>
    <n v="4516.99"/>
    <x v="4"/>
  </r>
  <r>
    <s v="FIN-00590"/>
    <d v="2025-05-24T00:00:00"/>
    <x v="0"/>
    <x v="4"/>
    <x v="7"/>
    <x v="3"/>
    <s v="Lahore"/>
    <s v="Peoplefirst"/>
    <x v="1"/>
    <n v="3888.89"/>
    <n v="1789.35"/>
    <n v="-2099.54"/>
    <n v="-0.53988156003384002"/>
    <x v="0"/>
    <n v="-1789.35"/>
    <x v="4"/>
  </r>
  <r>
    <s v="FIN-00591"/>
    <d v="2025-08-17T00:00:00"/>
    <x v="0"/>
    <x v="6"/>
    <x v="9"/>
    <x v="2"/>
    <s v="Faisalabad"/>
    <s v="Buildcare"/>
    <x v="1"/>
    <n v="3928.57"/>
    <n v="910.39"/>
    <n v="-3018.1800000000003"/>
    <n v="-0.76826427936882891"/>
    <x v="0"/>
    <n v="-910.39"/>
    <x v="7"/>
  </r>
  <r>
    <s v="FIN-00592"/>
    <d v="2025-02-02T00:00:00"/>
    <x v="0"/>
    <x v="1"/>
    <x v="9"/>
    <x v="4"/>
    <s v="Multan"/>
    <s v="Peoplefirst"/>
    <x v="0"/>
    <n v="7621.43"/>
    <n v="3286.38"/>
    <n v="-4335.05"/>
    <n v="-0.56879745664527526"/>
    <x v="0"/>
    <n v="-3286.38"/>
    <x v="1"/>
  </r>
  <r>
    <s v="FIN-00593"/>
    <d v="2026-02-17T00:00:00"/>
    <x v="1"/>
    <x v="2"/>
    <x v="3"/>
    <x v="4"/>
    <s v="Faisalabad"/>
    <s v="Markethub"/>
    <x v="1"/>
    <n v="12125"/>
    <n v="5552.05"/>
    <n v="-6572.95"/>
    <n v="-0.54209896907216493"/>
    <x v="0"/>
    <n v="5552.05"/>
    <x v="17"/>
  </r>
  <r>
    <s v="FIN-00594"/>
    <d v="2025-10-29T00:00:00"/>
    <x v="1"/>
    <x v="2"/>
    <x v="3"/>
    <x v="4"/>
    <s v="Karachi"/>
    <s v="Officepro"/>
    <x v="4"/>
    <n v="8928.57"/>
    <n v="21774.58"/>
    <n v="12846.010000000002"/>
    <n v="1.4387533502005363"/>
    <x v="1"/>
    <n v="21774.58"/>
    <x v="9"/>
  </r>
  <r>
    <s v="FIN-00595"/>
    <d v="2025-01-17T00:00:00"/>
    <x v="0"/>
    <x v="6"/>
    <x v="10"/>
    <x v="0"/>
    <s v="Karachi"/>
    <s v="Travellink"/>
    <x v="2"/>
    <n v="5542.86"/>
    <n v="2578.46"/>
    <n v="-2964.3999999999996"/>
    <n v="-0.53481415731228998"/>
    <x v="0"/>
    <n v="-2578.46"/>
    <x v="0"/>
  </r>
  <r>
    <s v="FIN-00596"/>
    <d v="2025-06-26T00:00:00"/>
    <x v="0"/>
    <x v="5"/>
    <x v="10"/>
    <x v="4"/>
    <s v="Islamabad"/>
    <s v="Legalworks"/>
    <x v="3"/>
    <n v="6666.67"/>
    <n v="2714.68"/>
    <n v="-3951.9900000000002"/>
    <n v="-0.59279820360089819"/>
    <x v="0"/>
    <n v="-2714.68"/>
    <x v="5"/>
  </r>
  <r>
    <s v="FIN-00597"/>
    <d v="2026-02-07T00:00:00"/>
    <x v="0"/>
    <x v="2"/>
    <x v="11"/>
    <x v="2"/>
    <s v="Karachi"/>
    <s v="Cloudnet"/>
    <x v="1"/>
    <n v="2667.5"/>
    <n v="216.72"/>
    <n v="-2450.7800000000002"/>
    <n v="-0.91875538894095599"/>
    <x v="0"/>
    <n v="-216.72"/>
    <x v="17"/>
  </r>
  <r>
    <s v="FIN-00598"/>
    <d v="2025-09-24T00:00:00"/>
    <x v="1"/>
    <x v="2"/>
    <x v="3"/>
    <x v="0"/>
    <s v="Multan"/>
    <s v="Buildcare"/>
    <x v="3"/>
    <n v="11904.76"/>
    <n v="7991.94"/>
    <n v="-3912.8200000000006"/>
    <n v="-0.32867693258830927"/>
    <x v="0"/>
    <n v="7991.94"/>
    <x v="8"/>
  </r>
  <r>
    <s v="FIN-00599"/>
    <d v="2025-08-06T00:00:00"/>
    <x v="0"/>
    <x v="0"/>
    <x v="9"/>
    <x v="3"/>
    <s v="Lahore"/>
    <s v="Urban Facilities"/>
    <x v="1"/>
    <n v="3928.57"/>
    <n v="1490.44"/>
    <n v="-2438.13"/>
    <n v="-0.62061513476913988"/>
    <x v="0"/>
    <n v="-1490.44"/>
    <x v="7"/>
  </r>
  <r>
    <s v="FIN-00600"/>
    <d v="2026-02-16T00:00:00"/>
    <x v="0"/>
    <x v="4"/>
    <x v="9"/>
    <x v="3"/>
    <s v="Multan"/>
    <s v="Powergrid"/>
    <x v="0"/>
    <n v="4850"/>
    <n v="1931.52"/>
    <n v="-2918.48"/>
    <n v="-0.60174845360824747"/>
    <x v="0"/>
    <n v="-1931.52"/>
    <x v="17"/>
  </r>
  <r>
    <s v="FIN-00601"/>
    <d v="2025-11-06T00:00:00"/>
    <x v="1"/>
    <x v="3"/>
    <x v="3"/>
    <x v="1"/>
    <s v="Karachi"/>
    <s v="Buildcare"/>
    <x v="3"/>
    <n v="13125"/>
    <n v="20443.47"/>
    <n v="7318.4700000000012"/>
    <n v="0.55759771428571436"/>
    <x v="1"/>
    <n v="20443.47"/>
    <x v="10"/>
  </r>
  <r>
    <s v="FIN-00602"/>
    <d v="2025-09-07T00:00:00"/>
    <x v="0"/>
    <x v="0"/>
    <x v="7"/>
    <x v="0"/>
    <s v="Lahore"/>
    <s v="Buildcare"/>
    <x v="1"/>
    <n v="3500"/>
    <n v="2587.77"/>
    <n v="-912.23"/>
    <n v="-0.26063714285714285"/>
    <x v="0"/>
    <n v="-2587.77"/>
    <x v="8"/>
  </r>
  <r>
    <s v="FIN-00603"/>
    <d v="2025-05-01T00:00:00"/>
    <x v="0"/>
    <x v="6"/>
    <x v="7"/>
    <x v="4"/>
    <s v="Islamabad"/>
    <s v="Cloudnet"/>
    <x v="3"/>
    <n v="3888.89"/>
    <n v="3601.31"/>
    <n v="-287.57999999999993"/>
    <n v="-7.3949121728822342E-2"/>
    <x v="0"/>
    <n v="-3601.31"/>
    <x v="4"/>
  </r>
  <r>
    <s v="FIN-00604"/>
    <d v="2026-06-20T00:00:00"/>
    <x v="0"/>
    <x v="5"/>
    <x v="6"/>
    <x v="0"/>
    <s v="Lahore"/>
    <s v="Buildcare"/>
    <x v="1"/>
    <n v="8571.43"/>
    <n v="14333.24"/>
    <n v="5761.8099999999995"/>
    <n v="0.67221105463149078"/>
    <x v="1"/>
    <n v="-14333.24"/>
    <x v="13"/>
  </r>
  <r>
    <s v="FIN-00605"/>
    <d v="2025-01-23T00:00:00"/>
    <x v="0"/>
    <x v="1"/>
    <x v="9"/>
    <x v="4"/>
    <s v="Karachi"/>
    <s v="Markethub"/>
    <x v="1"/>
    <n v="3810.71"/>
    <n v="941.15"/>
    <n v="-2869.56"/>
    <n v="-0.75302502683227013"/>
    <x v="0"/>
    <n v="-941.15"/>
    <x v="0"/>
  </r>
  <r>
    <s v="FIN-00606"/>
    <d v="2025-01-09T00:00:00"/>
    <x v="0"/>
    <x v="5"/>
    <x v="9"/>
    <x v="2"/>
    <s v="Karachi"/>
    <s v="Prime Supplies"/>
    <x v="3"/>
    <n v="3810.71"/>
    <n v="3735.12"/>
    <n v="-75.590000000000146"/>
    <n v="-1.9836198503690953E-2"/>
    <x v="0"/>
    <n v="-3735.12"/>
    <x v="0"/>
  </r>
  <r>
    <s v="FIN-00607"/>
    <d v="2025-08-22T00:00:00"/>
    <x v="0"/>
    <x v="0"/>
    <x v="6"/>
    <x v="4"/>
    <s v="Karachi"/>
    <s v="Adsphere"/>
    <x v="2"/>
    <n v="8181.82"/>
    <n v="14656.08"/>
    <n v="6474.26"/>
    <n v="0.79129826860038477"/>
    <x v="1"/>
    <n v="-14656.08"/>
    <x v="7"/>
  </r>
  <r>
    <s v="FIN-00608"/>
    <d v="2025-10-11T00:00:00"/>
    <x v="0"/>
    <x v="2"/>
    <x v="6"/>
    <x v="0"/>
    <s v="Karachi"/>
    <s v="Buildcare"/>
    <x v="0"/>
    <n v="7826.09"/>
    <n v="9492.84"/>
    <n v="1666.75"/>
    <n v="0.21297352828807234"/>
    <x v="1"/>
    <n v="-9492.84"/>
    <x v="9"/>
  </r>
  <r>
    <s v="FIN-00609"/>
    <d v="2026-04-15T00:00:00"/>
    <x v="1"/>
    <x v="3"/>
    <x v="3"/>
    <x v="3"/>
    <s v="Lahore"/>
    <s v="Peoplefirst"/>
    <x v="1"/>
    <n v="8333.33"/>
    <n v="11286.18"/>
    <n v="2952.8500000000004"/>
    <n v="0.35434214173685674"/>
    <x v="1"/>
    <n v="11286.18"/>
    <x v="15"/>
  </r>
  <r>
    <s v="FIN-00610"/>
    <d v="2025-10-12T00:00:00"/>
    <x v="0"/>
    <x v="6"/>
    <x v="7"/>
    <x v="3"/>
    <s v="Karachi"/>
    <s v="Markethub"/>
    <x v="4"/>
    <n v="3500"/>
    <n v="1187.31"/>
    <n v="-2312.69"/>
    <n v="-0.66076857142857148"/>
    <x v="0"/>
    <n v="-1187.31"/>
    <x v="9"/>
  </r>
  <r>
    <s v="FIN-00611"/>
    <d v="2025-11-23T00:00:00"/>
    <x v="0"/>
    <x v="7"/>
    <x v="11"/>
    <x v="1"/>
    <s v="Karachi"/>
    <s v="Adsphere"/>
    <x v="3"/>
    <n v="2310"/>
    <n v="3467.43"/>
    <n v="1157.4299999999998"/>
    <n v="0.50105194805194797"/>
    <x v="1"/>
    <n v="-3467.43"/>
    <x v="10"/>
  </r>
  <r>
    <s v="FIN-00612"/>
    <d v="2026-04-06T00:00:00"/>
    <x v="0"/>
    <x v="2"/>
    <x v="6"/>
    <x v="4"/>
    <s v="Islamabad"/>
    <s v="Travellink"/>
    <x v="4"/>
    <n v="8571.43"/>
    <n v="8404.23"/>
    <n v="-167.20000000000073"/>
    <n v="-1.950666341555618E-2"/>
    <x v="0"/>
    <n v="-8404.23"/>
    <x v="15"/>
  </r>
  <r>
    <s v="FIN-00613"/>
    <d v="2025-02-01T00:00:00"/>
    <x v="0"/>
    <x v="1"/>
    <x v="0"/>
    <x v="2"/>
    <s v="Karachi"/>
    <s v="Cloudnet"/>
    <x v="2"/>
    <n v="6208"/>
    <n v="3566.98"/>
    <n v="-2641.02"/>
    <n v="-0.4254220360824742"/>
    <x v="0"/>
    <n v="-3566.98"/>
    <x v="1"/>
  </r>
  <r>
    <s v="FIN-00614"/>
    <d v="2025-03-19T00:00:00"/>
    <x v="0"/>
    <x v="4"/>
    <x v="0"/>
    <x v="4"/>
    <s v="Karachi"/>
    <s v="Markethub"/>
    <x v="4"/>
    <n v="4571.43"/>
    <n v="4825.05"/>
    <n v="253.61999999999989"/>
    <n v="5.54793576627007E-2"/>
    <x v="1"/>
    <n v="-4825.05"/>
    <x v="2"/>
  </r>
  <r>
    <s v="FIN-00615"/>
    <d v="2025-01-22T00:00:00"/>
    <x v="0"/>
    <x v="1"/>
    <x v="9"/>
    <x v="3"/>
    <s v="Peshawar"/>
    <s v="Travellink"/>
    <x v="4"/>
    <n v="3810.71"/>
    <n v="6814.79"/>
    <n v="3004.08"/>
    <n v="0.78832553513649684"/>
    <x v="1"/>
    <n v="-6814.79"/>
    <x v="0"/>
  </r>
  <r>
    <s v="FIN-00616"/>
    <d v="2026-06-25T00:00:00"/>
    <x v="1"/>
    <x v="0"/>
    <x v="3"/>
    <x v="2"/>
    <s v="Karachi"/>
    <s v="Travellink"/>
    <x v="4"/>
    <n v="10000"/>
    <n v="12069.8"/>
    <n v="2069.7999999999993"/>
    <n v="0.20697999999999991"/>
    <x v="1"/>
    <n v="12069.8"/>
    <x v="13"/>
  </r>
  <r>
    <s v="FIN-00617"/>
    <d v="2025-06-25T00:00:00"/>
    <x v="1"/>
    <x v="2"/>
    <x v="2"/>
    <x v="4"/>
    <s v="Islamabad"/>
    <s v="Markethub"/>
    <x v="1"/>
    <n v="5333.33"/>
    <n v="6321.74"/>
    <n v="988.40999999999985"/>
    <n v="0.18532699082936924"/>
    <x v="1"/>
    <n v="6321.74"/>
    <x v="5"/>
  </r>
  <r>
    <s v="FIN-00618"/>
    <d v="2026-03-03T00:00:00"/>
    <x v="0"/>
    <x v="4"/>
    <x v="11"/>
    <x v="4"/>
    <s v="Lahore"/>
    <s v="Travellink"/>
    <x v="2"/>
    <n v="1833.33"/>
    <n v="3461.7"/>
    <n v="1628.37"/>
    <n v="0.88820343309715111"/>
    <x v="1"/>
    <n v="-3461.7"/>
    <x v="14"/>
  </r>
  <r>
    <s v="FIN-00619"/>
    <d v="2026-05-25T00:00:00"/>
    <x v="0"/>
    <x v="1"/>
    <x v="11"/>
    <x v="3"/>
    <s v="Karachi"/>
    <s v="Legalworks"/>
    <x v="0"/>
    <n v="4400"/>
    <n v="2691.26"/>
    <n v="-1708.7399999999998"/>
    <n v="-0.38834999999999997"/>
    <x v="0"/>
    <n v="-2691.26"/>
    <x v="16"/>
  </r>
  <r>
    <s v="FIN-00620"/>
    <d v="2025-12-04T00:00:00"/>
    <x v="0"/>
    <x v="2"/>
    <x v="6"/>
    <x v="4"/>
    <s v="Karachi"/>
    <s v="Cloudnet"/>
    <x v="0"/>
    <n v="7875"/>
    <n v="15569.18"/>
    <n v="7694.18"/>
    <n v="0.97703873015873022"/>
    <x v="1"/>
    <n v="-15569.18"/>
    <x v="11"/>
  </r>
  <r>
    <s v="FIN-00621"/>
    <d v="2025-05-02T00:00:00"/>
    <x v="1"/>
    <x v="3"/>
    <x v="12"/>
    <x v="4"/>
    <s v="Karachi"/>
    <s v="Adsphere"/>
    <x v="4"/>
    <n v="9090.91"/>
    <n v="4624.01"/>
    <n v="-4466.8999999999996"/>
    <n v="-0.49135895086410486"/>
    <x v="0"/>
    <n v="4624.01"/>
    <x v="4"/>
  </r>
  <r>
    <s v="FIN-00622"/>
    <d v="2025-11-14T00:00:00"/>
    <x v="0"/>
    <x v="4"/>
    <x v="11"/>
    <x v="0"/>
    <s v="Lahore"/>
    <s v="Techsource"/>
    <x v="4"/>
    <n v="2310"/>
    <n v="1404.76"/>
    <n v="-905.24"/>
    <n v="-0.39187878787878788"/>
    <x v="0"/>
    <n v="-1404.76"/>
    <x v="10"/>
  </r>
  <r>
    <s v="FIN-00623"/>
    <d v="2025-02-02T00:00:00"/>
    <x v="1"/>
    <x v="1"/>
    <x v="2"/>
    <x v="4"/>
    <s v="Karachi"/>
    <s v="Buildcare"/>
    <x v="1"/>
    <n v="4850"/>
    <n v="7294.25"/>
    <n v="2444.25"/>
    <n v="0.50396907216494846"/>
    <x v="1"/>
    <n v="7294.25"/>
    <x v="1"/>
  </r>
  <r>
    <s v="FIN-00624"/>
    <d v="2025-05-14T00:00:00"/>
    <x v="1"/>
    <x v="3"/>
    <x v="12"/>
    <x v="4"/>
    <s v="Karachi"/>
    <s v="Powergrid"/>
    <x v="2"/>
    <n v="9090.91"/>
    <n v="16589.45"/>
    <n v="7498.5400000000009"/>
    <n v="0.82483931751606832"/>
    <x v="1"/>
    <n v="16589.45"/>
    <x v="4"/>
  </r>
  <r>
    <s v="FIN-00625"/>
    <d v="2025-05-26T00:00:00"/>
    <x v="1"/>
    <x v="3"/>
    <x v="12"/>
    <x v="3"/>
    <s v="Karachi"/>
    <s v="Markethub"/>
    <x v="3"/>
    <n v="9090.91"/>
    <n v="3446.82"/>
    <n v="-5644.09"/>
    <n v="-0.62084983791501624"/>
    <x v="0"/>
    <n v="3446.82"/>
    <x v="4"/>
  </r>
  <r>
    <s v="FIN-00626"/>
    <d v="2025-07-04T00:00:00"/>
    <x v="0"/>
    <x v="4"/>
    <x v="8"/>
    <x v="2"/>
    <s v="Faisalabad"/>
    <s v="Cloudnet"/>
    <x v="3"/>
    <n v="6000"/>
    <n v="828.94"/>
    <n v="-5171.0599999999995"/>
    <n v="-0.86184333333333329"/>
    <x v="0"/>
    <n v="-828.94"/>
    <x v="6"/>
  </r>
  <r>
    <s v="FIN-00627"/>
    <d v="2026-04-05T00:00:00"/>
    <x v="0"/>
    <x v="6"/>
    <x v="6"/>
    <x v="1"/>
    <s v="Karachi"/>
    <s v="Markethub"/>
    <x v="1"/>
    <n v="8571.43"/>
    <n v="4315.09"/>
    <n v="-4256.34"/>
    <n v="-0.49657291723784713"/>
    <x v="0"/>
    <n v="-4315.09"/>
    <x v="15"/>
  </r>
  <r>
    <s v="FIN-00628"/>
    <d v="2026-04-13T00:00:00"/>
    <x v="0"/>
    <x v="5"/>
    <x v="11"/>
    <x v="1"/>
    <s v="Multan"/>
    <s v="Legalworks"/>
    <x v="3"/>
    <n v="2750"/>
    <n v="3694"/>
    <n v="944"/>
    <n v="0.34327272727272728"/>
    <x v="1"/>
    <n v="-3694"/>
    <x v="15"/>
  </r>
  <r>
    <s v="FIN-00629"/>
    <d v="2025-06-26T00:00:00"/>
    <x v="0"/>
    <x v="2"/>
    <x v="4"/>
    <x v="4"/>
    <s v="Karachi"/>
    <s v="Peoplefirst"/>
    <x v="2"/>
    <n v="7000"/>
    <n v="2104.65"/>
    <n v="-4895.3500000000004"/>
    <n v="-0.69933571428571428"/>
    <x v="0"/>
    <n v="-2104.65"/>
    <x v="5"/>
  </r>
  <r>
    <s v="FIN-00630"/>
    <d v="2025-02-07T00:00:00"/>
    <x v="0"/>
    <x v="4"/>
    <x v="11"/>
    <x v="4"/>
    <s v="Multan"/>
    <s v="Techsource"/>
    <x v="0"/>
    <n v="5335"/>
    <n v="3603.78"/>
    <n v="-1731.2199999999998"/>
    <n v="-0.32450234301780689"/>
    <x v="0"/>
    <n v="-3603.78"/>
    <x v="1"/>
  </r>
  <r>
    <s v="FIN-00631"/>
    <d v="2025-03-12T00:00:00"/>
    <x v="1"/>
    <x v="3"/>
    <x v="3"/>
    <x v="0"/>
    <s v="Karachi"/>
    <s v="Cloudnet"/>
    <x v="2"/>
    <n v="8064.52"/>
    <n v="6446.3"/>
    <n v="-1618.2200000000003"/>
    <n v="-0.20065918368359184"/>
    <x v="0"/>
    <n v="6446.3"/>
    <x v="2"/>
  </r>
  <r>
    <s v="FIN-00632"/>
    <d v="2026-06-12T00:00:00"/>
    <x v="0"/>
    <x v="5"/>
    <x v="6"/>
    <x v="4"/>
    <s v="Faisalabad"/>
    <s v="Adsphere"/>
    <x v="1"/>
    <n v="8571.43"/>
    <n v="10407.299999999999"/>
    <n v="1835.869999999999"/>
    <n v="0.21418479763586692"/>
    <x v="1"/>
    <n v="-10407.299999999999"/>
    <x v="13"/>
  </r>
  <r>
    <s v="FIN-00633"/>
    <d v="2025-01-31T00:00:00"/>
    <x v="0"/>
    <x v="3"/>
    <x v="11"/>
    <x v="4"/>
    <s v="Karachi"/>
    <s v="Shipfast"/>
    <x v="1"/>
    <n v="3556.67"/>
    <n v="840.75"/>
    <n v="-2715.92"/>
    <n v="-0.7636131550017291"/>
    <x v="0"/>
    <n v="-840.75"/>
    <x v="0"/>
  </r>
  <r>
    <s v="FIN-00634"/>
    <d v="2025-04-26T00:00:00"/>
    <x v="0"/>
    <x v="2"/>
    <x v="11"/>
    <x v="3"/>
    <s v="Karachi"/>
    <s v="Prime Supplies"/>
    <x v="4"/>
    <n v="2750"/>
    <n v="1249.74"/>
    <n v="-1500.26"/>
    <n v="-0.54554909090909087"/>
    <x v="0"/>
    <n v="-1249.74"/>
    <x v="3"/>
  </r>
  <r>
    <s v="FIN-00635"/>
    <d v="2025-05-05T00:00:00"/>
    <x v="0"/>
    <x v="2"/>
    <x v="10"/>
    <x v="4"/>
    <s v="Karachi"/>
    <s v="Buildcare"/>
    <x v="0"/>
    <n v="5000"/>
    <n v="3004.66"/>
    <n v="-1995.3400000000001"/>
    <n v="-0.39906800000000003"/>
    <x v="0"/>
    <n v="-3004.66"/>
    <x v="4"/>
  </r>
  <r>
    <s v="FIN-00636"/>
    <d v="2026-04-05T00:00:00"/>
    <x v="0"/>
    <x v="3"/>
    <x v="1"/>
    <x v="2"/>
    <s v="Faisalabad"/>
    <s v="Adsphere"/>
    <x v="4"/>
    <n v="2250"/>
    <n v="1682.88"/>
    <n v="-567.11999999999989"/>
    <n v="-0.2520533333333333"/>
    <x v="0"/>
    <n v="-1682.88"/>
    <x v="15"/>
  </r>
  <r>
    <s v="FIN-00637"/>
    <d v="2026-02-13T00:00:00"/>
    <x v="1"/>
    <x v="6"/>
    <x v="3"/>
    <x v="2"/>
    <s v="Peshawar"/>
    <s v="Urban Facilities"/>
    <x v="3"/>
    <n v="12125"/>
    <n v="8854.2199999999993"/>
    <n v="-3270.7800000000007"/>
    <n v="-0.26975505154639179"/>
    <x v="0"/>
    <n v="8854.2199999999993"/>
    <x v="17"/>
  </r>
  <r>
    <s v="FIN-00638"/>
    <d v="2025-01-09T00:00:00"/>
    <x v="0"/>
    <x v="1"/>
    <x v="8"/>
    <x v="2"/>
    <s v="Karachi"/>
    <s v="Markethub"/>
    <x v="3"/>
    <n v="3637.5"/>
    <n v="4724.42"/>
    <n v="1086.92"/>
    <n v="0.29880962199312716"/>
    <x v="1"/>
    <n v="-4724.42"/>
    <x v="0"/>
  </r>
  <r>
    <s v="FIN-00639"/>
    <d v="2026-02-10T00:00:00"/>
    <x v="0"/>
    <x v="2"/>
    <x v="6"/>
    <x v="1"/>
    <s v="Karachi"/>
    <s v="Dataserve"/>
    <x v="3"/>
    <n v="9189.4699999999993"/>
    <n v="9571.81"/>
    <n v="382.34000000000015"/>
    <n v="4.1606316795201485E-2"/>
    <x v="1"/>
    <n v="-9571.81"/>
    <x v="17"/>
  </r>
  <r>
    <s v="FIN-00640"/>
    <d v="2026-02-14T00:00:00"/>
    <x v="0"/>
    <x v="1"/>
    <x v="6"/>
    <x v="1"/>
    <s v="Karachi"/>
    <s v="Softworks"/>
    <x v="4"/>
    <n v="9189.4699999999993"/>
    <n v="11145.24"/>
    <n v="1955.7700000000004"/>
    <n v="0.21282729036603859"/>
    <x v="1"/>
    <n v="-11145.24"/>
    <x v="17"/>
  </r>
  <r>
    <s v="FIN-00641"/>
    <d v="2026-01-16T00:00:00"/>
    <x v="1"/>
    <x v="4"/>
    <x v="3"/>
    <x v="4"/>
    <s v="Lahore"/>
    <s v="Unknown"/>
    <x v="1"/>
    <n v="11547.62"/>
    <n v="13992.68"/>
    <n v="2445.0599999999995"/>
    <n v="0.21173713717631854"/>
    <x v="1"/>
    <n v="13992.68"/>
    <x v="12"/>
  </r>
  <r>
    <s v="FIN-00642"/>
    <d v="2026-03-03T00:00:00"/>
    <x v="0"/>
    <x v="4"/>
    <x v="9"/>
    <x v="3"/>
    <s v="Multan"/>
    <s v="Prime Supplies"/>
    <x v="4"/>
    <n v="5000"/>
    <n v="2209.69"/>
    <n v="-2790.31"/>
    <n v="-0.55806199999999995"/>
    <x v="0"/>
    <n v="-2209.69"/>
    <x v="14"/>
  </r>
  <r>
    <s v="FIN-00643"/>
    <d v="2025-10-14T00:00:00"/>
    <x v="1"/>
    <x v="0"/>
    <x v="3"/>
    <x v="3"/>
    <s v="Karachi"/>
    <s v="Techsource"/>
    <x v="2"/>
    <n v="8928.57"/>
    <n v="15688.42"/>
    <n v="6759.85"/>
    <n v="0.75710332113653145"/>
    <x v="1"/>
    <n v="15688.42"/>
    <x v="9"/>
  </r>
  <r>
    <s v="FIN-00644"/>
    <d v="2025-05-22T00:00:00"/>
    <x v="0"/>
    <x v="5"/>
    <x v="0"/>
    <x v="4"/>
    <s v="Islamabad"/>
    <s v="Powergrid"/>
    <x v="1"/>
    <n v="2909.09"/>
    <n v="6275.88"/>
    <n v="3366.79"/>
    <n v="1.1573344241670074"/>
    <x v="1"/>
    <n v="-6275.88"/>
    <x v="4"/>
  </r>
  <r>
    <s v="FIN-00645"/>
    <d v="2026-06-21T00:00:00"/>
    <x v="1"/>
    <x v="3"/>
    <x v="3"/>
    <x v="3"/>
    <s v="Lahore"/>
    <s v="Legalworks"/>
    <x v="4"/>
    <n v="10000"/>
    <n v="8388.9"/>
    <n v="-1611.1000000000004"/>
    <n v="-0.16111000000000003"/>
    <x v="0"/>
    <n v="8388.9"/>
    <x v="13"/>
  </r>
  <r>
    <s v="FIN-00646"/>
    <d v="2026-06-19T00:00:00"/>
    <x v="0"/>
    <x v="5"/>
    <x v="6"/>
    <x v="1"/>
    <s v="Karachi"/>
    <s v="Urban Facilities"/>
    <x v="0"/>
    <n v="8571.43"/>
    <n v="11960.17"/>
    <n v="3388.74"/>
    <n v="0.39535293410784428"/>
    <x v="1"/>
    <n v="-11960.17"/>
    <x v="13"/>
  </r>
  <r>
    <s v="FIN-00647"/>
    <d v="2025-05-17T00:00:00"/>
    <x v="1"/>
    <x v="2"/>
    <x v="12"/>
    <x v="4"/>
    <s v="Karachi"/>
    <s v="Officepro"/>
    <x v="1"/>
    <n v="9090.91"/>
    <n v="15151.18"/>
    <n v="6060.27"/>
    <n v="0.66662963333703673"/>
    <x v="1"/>
    <n v="15151.18"/>
    <x v="4"/>
  </r>
  <r>
    <s v="FIN-00648"/>
    <d v="2025-05-15T00:00:00"/>
    <x v="1"/>
    <x v="4"/>
    <x v="12"/>
    <x v="2"/>
    <s v="Karachi"/>
    <s v="Adsphere"/>
    <x v="3"/>
    <n v="9090.91"/>
    <n v="12013.11"/>
    <n v="2922.2000000000007"/>
    <n v="0.32144196785580331"/>
    <x v="1"/>
    <n v="12013.11"/>
    <x v="4"/>
  </r>
  <r>
    <s v="FIN-00649"/>
    <d v="2025-07-06T00:00:00"/>
    <x v="0"/>
    <x v="6"/>
    <x v="6"/>
    <x v="3"/>
    <s v="Islamabad"/>
    <s v="Techsource"/>
    <x v="3"/>
    <n v="6923.08"/>
    <n v="16192.59"/>
    <n v="9269.51"/>
    <n v="1.3389286271428325"/>
    <x v="1"/>
    <n v="-16192.59"/>
    <x v="6"/>
  </r>
  <r>
    <s v="FIN-00650"/>
    <d v="2026-02-10T00:00:00"/>
    <x v="0"/>
    <x v="1"/>
    <x v="0"/>
    <x v="2"/>
    <s v="Faisalabad"/>
    <s v="Officepro"/>
    <x v="3"/>
    <n v="5173.33"/>
    <n v="3184.91"/>
    <n v="-1988.42"/>
    <n v="-0.3843597837369741"/>
    <x v="0"/>
    <n v="-3184.91"/>
    <x v="17"/>
  </r>
  <r>
    <s v="FIN-00651"/>
    <d v="2026-06-27T00:00:00"/>
    <x v="1"/>
    <x v="3"/>
    <x v="3"/>
    <x v="4"/>
    <s v="Karachi"/>
    <s v="Cloudnet"/>
    <x v="2"/>
    <n v="10000"/>
    <n v="4585.0600000000004"/>
    <n v="-5414.94"/>
    <n v="-0.54149399999999992"/>
    <x v="0"/>
    <n v="4585.0600000000004"/>
    <x v="13"/>
  </r>
  <r>
    <s v="FIN-00652"/>
    <d v="2025-03-26T00:00:00"/>
    <x v="1"/>
    <x v="3"/>
    <x v="3"/>
    <x v="0"/>
    <s v="Karachi"/>
    <s v="Officepro"/>
    <x v="4"/>
    <n v="8064.52"/>
    <n v="24082.27"/>
    <n v="16017.75"/>
    <n v="1.9862000466239775"/>
    <x v="1"/>
    <n v="24082.27"/>
    <x v="2"/>
  </r>
  <r>
    <s v="FIN-00653"/>
    <d v="2025-05-13T00:00:00"/>
    <x v="1"/>
    <x v="3"/>
    <x v="3"/>
    <x v="3"/>
    <s v="Karachi"/>
    <s v="Travellink"/>
    <x v="1"/>
    <n v="9615.3799999999992"/>
    <n v="2918.31"/>
    <n v="-6697.07"/>
    <n v="-0.69649561431789486"/>
    <x v="0"/>
    <n v="2918.31"/>
    <x v="4"/>
  </r>
  <r>
    <s v="FIN-00654"/>
    <d v="2025-08-23T00:00:00"/>
    <x v="0"/>
    <x v="3"/>
    <x v="6"/>
    <x v="4"/>
    <s v="Faisalabad"/>
    <s v="Legalworks"/>
    <x v="2"/>
    <n v="8181.82"/>
    <n v="4119.16"/>
    <n v="-4062.66"/>
    <n v="-0.49654722298950599"/>
    <x v="0"/>
    <n v="-4119.16"/>
    <x v="7"/>
  </r>
  <r>
    <s v="FIN-00655"/>
    <d v="2025-04-23T00:00:00"/>
    <x v="0"/>
    <x v="6"/>
    <x v="5"/>
    <x v="4"/>
    <s v="Lahore"/>
    <s v="Buildcare"/>
    <x v="3"/>
    <n v="5416.67"/>
    <n v="4249.33"/>
    <n v="-1167.3400000000001"/>
    <n v="-0.21550879045612897"/>
    <x v="0"/>
    <n v="-4249.33"/>
    <x v="3"/>
  </r>
  <r>
    <s v="FIN-00656"/>
    <d v="2025-05-30T00:00:00"/>
    <x v="1"/>
    <x v="3"/>
    <x v="3"/>
    <x v="3"/>
    <s v="Lahore"/>
    <s v="Adsphere"/>
    <x v="1"/>
    <n v="9615.3799999999992"/>
    <n v="11734.73"/>
    <n v="2119.3500000000004"/>
    <n v="0.22041250579800284"/>
    <x v="1"/>
    <n v="11734.73"/>
    <x v="4"/>
  </r>
  <r>
    <s v="FIN-00657"/>
    <d v="2025-10-28T00:00:00"/>
    <x v="0"/>
    <x v="4"/>
    <x v="4"/>
    <x v="1"/>
    <s v="Faisalabad"/>
    <s v="Officepro"/>
    <x v="2"/>
    <n v="3500"/>
    <n v="962.78"/>
    <n v="-2537.2200000000003"/>
    <n v="-0.72492000000000012"/>
    <x v="0"/>
    <n v="-962.78"/>
    <x v="9"/>
  </r>
  <r>
    <s v="FIN-00658"/>
    <d v="2026-06-29T00:00:00"/>
    <x v="0"/>
    <x v="4"/>
    <x v="1"/>
    <x v="3"/>
    <s v="Karachi"/>
    <s v="Peoplefirst"/>
    <x v="2"/>
    <n v="3000"/>
    <n v="1188.9000000000001"/>
    <n v="-1811.1"/>
    <n v="-0.60370000000000001"/>
    <x v="0"/>
    <n v="-1188.9000000000001"/>
    <x v="13"/>
  </r>
  <r>
    <s v="FIN-00659"/>
    <d v="2026-04-01T00:00:00"/>
    <x v="1"/>
    <x v="0"/>
    <x v="3"/>
    <x v="3"/>
    <s v="Peshawar"/>
    <s v="Travellink"/>
    <x v="2"/>
    <n v="8333.33"/>
    <n v="22957.13"/>
    <n v="14623.800000000001"/>
    <n v="1.7548567019426808"/>
    <x v="1"/>
    <n v="22957.13"/>
    <x v="15"/>
  </r>
  <r>
    <s v="FIN-00660"/>
    <d v="2025-11-22T00:00:00"/>
    <x v="0"/>
    <x v="1"/>
    <x v="1"/>
    <x v="1"/>
    <s v="Karachi"/>
    <s v="Dataserve"/>
    <x v="0"/>
    <n v="1890"/>
    <n v="1060.3399999999999"/>
    <n v="-829.66000000000008"/>
    <n v="-0.43897354497354502"/>
    <x v="0"/>
    <n v="-1060.3399999999999"/>
    <x v="10"/>
  </r>
  <r>
    <s v="FIN-00661"/>
    <d v="2026-02-20T00:00:00"/>
    <x v="1"/>
    <x v="3"/>
    <x v="13"/>
    <x v="4"/>
    <s v="Faisalabad"/>
    <s v="Urban Facilities"/>
    <x v="3"/>
    <n v="3880"/>
    <n v="1078.6500000000001"/>
    <n v="-2801.35"/>
    <n v="-0.72199742268041234"/>
    <x v="0"/>
    <n v="1078.6500000000001"/>
    <x v="17"/>
  </r>
  <r>
    <s v="FIN-00662"/>
    <d v="2026-04-13T00:00:00"/>
    <x v="0"/>
    <x v="5"/>
    <x v="9"/>
    <x v="3"/>
    <s v="Faisalabad"/>
    <s v="Powergrid"/>
    <x v="3"/>
    <n v="9166.67"/>
    <n v="7805.18"/>
    <n v="-1361.4899999999998"/>
    <n v="-0.14852612780868077"/>
    <x v="0"/>
    <n v="-7805.18"/>
    <x v="15"/>
  </r>
  <r>
    <s v="FIN-00663"/>
    <d v="2025-06-03T00:00:00"/>
    <x v="1"/>
    <x v="3"/>
    <x v="3"/>
    <x v="3"/>
    <s v="Islamabad"/>
    <s v="Urban Facilities"/>
    <x v="4"/>
    <n v="9615.3799999999992"/>
    <n v="14028.88"/>
    <n v="4413.5"/>
    <n v="0.45900422032202581"/>
    <x v="1"/>
    <n v="14028.88"/>
    <x v="5"/>
  </r>
  <r>
    <s v="FIN-00664"/>
    <d v="2025-03-31T00:00:00"/>
    <x v="0"/>
    <x v="2"/>
    <x v="10"/>
    <x v="2"/>
    <s v="Lahore"/>
    <s v="Techsource"/>
    <x v="1"/>
    <n v="8000"/>
    <n v="1226.02"/>
    <n v="-6773.98"/>
    <n v="-0.84674749999999999"/>
    <x v="0"/>
    <n v="-1226.02"/>
    <x v="2"/>
  </r>
  <r>
    <s v="FIN-00665"/>
    <d v="2026-06-16T00:00:00"/>
    <x v="0"/>
    <x v="2"/>
    <x v="9"/>
    <x v="0"/>
    <s v="Karachi"/>
    <s v="Travellink"/>
    <x v="4"/>
    <n v="3666.67"/>
    <n v="648.27"/>
    <n v="-3018.4"/>
    <n v="-0.82319925163704399"/>
    <x v="0"/>
    <n v="-648.27"/>
    <x v="13"/>
  </r>
  <r>
    <s v="FIN-00666"/>
    <d v="2025-09-28T00:00:00"/>
    <x v="0"/>
    <x v="3"/>
    <x v="0"/>
    <x v="4"/>
    <s v="Islamabad"/>
    <s v="Officepro"/>
    <x v="2"/>
    <n v="5333.33"/>
    <n v="1145.1199999999999"/>
    <n v="-4188.21"/>
    <n v="-0.78528986580616611"/>
    <x v="0"/>
    <n v="-1145.1199999999999"/>
    <x v="8"/>
  </r>
  <r>
    <s v="FIN-00667"/>
    <d v="2026-02-25T00:00:00"/>
    <x v="1"/>
    <x v="6"/>
    <x v="2"/>
    <x v="4"/>
    <s v="Karachi"/>
    <s v="Buildcare"/>
    <x v="0"/>
    <n v="12933.33"/>
    <n v="2049.37"/>
    <n v="-10883.96"/>
    <n v="-0.84154351586173082"/>
    <x v="0"/>
    <n v="2049.37"/>
    <x v="17"/>
  </r>
  <r>
    <s v="FIN-00668"/>
    <d v="2025-07-01T00:00:00"/>
    <x v="0"/>
    <x v="2"/>
    <x v="8"/>
    <x v="4"/>
    <s v="Multan"/>
    <s v="Markethub"/>
    <x v="3"/>
    <n v="6000"/>
    <n v="3047.63"/>
    <n v="-2952.37"/>
    <n v="-0.49206166666666667"/>
    <x v="0"/>
    <n v="-3047.63"/>
    <x v="6"/>
  </r>
  <r>
    <s v="FIN-00669"/>
    <d v="2026-04-09T00:00:00"/>
    <x v="1"/>
    <x v="6"/>
    <x v="12"/>
    <x v="4"/>
    <s v="Multan"/>
    <s v="Powergrid"/>
    <x v="0"/>
    <n v="7142.86"/>
    <n v="12158.13"/>
    <n v="5015.2699999999995"/>
    <n v="0.70213751914499234"/>
    <x v="1"/>
    <n v="12158.13"/>
    <x v="15"/>
  </r>
  <r>
    <s v="FIN-00670"/>
    <d v="2025-10-17T00:00:00"/>
    <x v="0"/>
    <x v="1"/>
    <x v="0"/>
    <x v="2"/>
    <s v="Karachi"/>
    <s v="Peoplefirst"/>
    <x v="2"/>
    <n v="2666.67"/>
    <n v="4230.12"/>
    <n v="1563.4499999999998"/>
    <n v="0.5862930171337285"/>
    <x v="1"/>
    <n v="-4230.12"/>
    <x v="9"/>
  </r>
  <r>
    <s v="FIN-00671"/>
    <d v="2025-08-15T00:00:00"/>
    <x v="1"/>
    <x v="1"/>
    <x v="3"/>
    <x v="0"/>
    <s v="Lahore"/>
    <s v="Peoplefirst"/>
    <x v="0"/>
    <n v="10416.67"/>
    <n v="22158.65"/>
    <n v="11741.980000000001"/>
    <n v="1.12722971928649"/>
    <x v="1"/>
    <n v="22158.65"/>
    <x v="7"/>
  </r>
  <r>
    <s v="FIN-00672"/>
    <d v="2025-01-24T00:00:00"/>
    <x v="1"/>
    <x v="1"/>
    <x v="3"/>
    <x v="3"/>
    <s v="Islamabad"/>
    <s v="Dataserve"/>
    <x v="3"/>
    <n v="11022.73"/>
    <n v="1143.3900000000001"/>
    <n v="-9879.34"/>
    <n v="-0.89626979886108071"/>
    <x v="0"/>
    <n v="1143.3900000000001"/>
    <x v="0"/>
  </r>
  <r>
    <s v="FIN-00673"/>
    <d v="2025-06-12T00:00:00"/>
    <x v="0"/>
    <x v="1"/>
    <x v="6"/>
    <x v="3"/>
    <s v="Faisalabad"/>
    <s v="Cloudnet"/>
    <x v="1"/>
    <n v="6428.57"/>
    <n v="4568.8100000000004"/>
    <n v="-1859.7599999999993"/>
    <n v="-0.28929606428801419"/>
    <x v="0"/>
    <n v="-4568.8100000000004"/>
    <x v="5"/>
  </r>
  <r>
    <s v="FIN-00674"/>
    <d v="2025-05-29T00:00:00"/>
    <x v="0"/>
    <x v="4"/>
    <x v="6"/>
    <x v="0"/>
    <s v="Lahore"/>
    <s v="Cloudnet"/>
    <x v="4"/>
    <n v="7200"/>
    <n v="8635.1299999999992"/>
    <n v="1435.1299999999992"/>
    <n v="0.19932361111111099"/>
    <x v="1"/>
    <n v="-8635.1299999999992"/>
    <x v="4"/>
  </r>
  <r>
    <s v="FIN-00675"/>
    <d v="2026-03-27T00:00:00"/>
    <x v="0"/>
    <x v="5"/>
    <x v="4"/>
    <x v="2"/>
    <s v="Islamabad"/>
    <s v="Urban Facilities"/>
    <x v="1"/>
    <n v="4000"/>
    <n v="1147.6600000000001"/>
    <n v="-2852.34"/>
    <n v="-0.71308500000000008"/>
    <x v="0"/>
    <n v="-1147.6600000000001"/>
    <x v="14"/>
  </r>
  <r>
    <s v="FIN-00676"/>
    <d v="2025-10-10T00:00:00"/>
    <x v="1"/>
    <x v="3"/>
    <x v="3"/>
    <x v="1"/>
    <s v="Karachi"/>
    <s v="Markethub"/>
    <x v="1"/>
    <n v="8928.57"/>
    <n v="13997.68"/>
    <n v="5069.1100000000006"/>
    <n v="0.56774041083846583"/>
    <x v="1"/>
    <n v="13997.68"/>
    <x v="9"/>
  </r>
  <r>
    <s v="FIN-00677"/>
    <d v="2026-02-17T00:00:00"/>
    <x v="0"/>
    <x v="1"/>
    <x v="9"/>
    <x v="4"/>
    <s v="Islamabad"/>
    <s v="Cloudnet"/>
    <x v="5"/>
    <n v="4850"/>
    <n v="3181.43"/>
    <n v="-1668.5700000000002"/>
    <n v="-0.3440350515463918"/>
    <x v="0"/>
    <n v="-3181.43"/>
    <x v="17"/>
  </r>
  <r>
    <s v="FIN-00678"/>
    <d v="2025-07-02T00:00:00"/>
    <x v="0"/>
    <x v="2"/>
    <x v="6"/>
    <x v="3"/>
    <s v="Faisalabad"/>
    <s v="Techsource"/>
    <x v="1"/>
    <n v="6923.08"/>
    <n v="7418.47"/>
    <n v="495.39000000000033"/>
    <n v="7.1556301530532704E-2"/>
    <x v="1"/>
    <n v="-7418.47"/>
    <x v="6"/>
  </r>
  <r>
    <s v="FIN-00679"/>
    <d v="2026-05-19T00:00:00"/>
    <x v="0"/>
    <x v="1"/>
    <x v="10"/>
    <x v="3"/>
    <s v="Karachi"/>
    <s v="Prime Supplies"/>
    <x v="4"/>
    <n v="5714.29"/>
    <n v="5577.85"/>
    <n v="-136.4399999999996"/>
    <n v="-2.3876982092263362E-2"/>
    <x v="0"/>
    <n v="-5577.85"/>
    <x v="16"/>
  </r>
  <r>
    <s v="FIN-00680"/>
    <d v="2026-03-19T00:00:00"/>
    <x v="0"/>
    <x v="4"/>
    <x v="5"/>
    <x v="4"/>
    <s v="Peshawar"/>
    <s v="Peoplefirst"/>
    <x v="1"/>
    <n v="6500"/>
    <n v="10384.870000000001"/>
    <n v="3884.8700000000008"/>
    <n v="0.59767230769230784"/>
    <x v="1"/>
    <n v="-10384.870000000001"/>
    <x v="14"/>
  </r>
  <r>
    <s v="FIN-00681"/>
    <d v="2025-02-10T00:00:00"/>
    <x v="0"/>
    <x v="0"/>
    <x v="8"/>
    <x v="4"/>
    <s v="Faisalabad"/>
    <s v="Officepro"/>
    <x v="4"/>
    <n v="7275"/>
    <n v="7703.98"/>
    <n v="428.97999999999956"/>
    <n v="5.8966323024054926E-2"/>
    <x v="1"/>
    <n v="-7703.98"/>
    <x v="1"/>
  </r>
  <r>
    <s v="FIN-00682"/>
    <d v="2026-02-06T00:00:00"/>
    <x v="0"/>
    <x v="6"/>
    <x v="6"/>
    <x v="4"/>
    <s v="Peshawar"/>
    <s v="Shipfast"/>
    <x v="3"/>
    <n v="9189.4699999999993"/>
    <n v="13657.1"/>
    <n v="4467.630000000001"/>
    <n v="0.48616840797129773"/>
    <x v="1"/>
    <n v="-13657.1"/>
    <x v="17"/>
  </r>
  <r>
    <s v="FIN-00683"/>
    <d v="2025-04-07T00:00:00"/>
    <x v="0"/>
    <x v="4"/>
    <x v="6"/>
    <x v="4"/>
    <s v="Karachi"/>
    <s v="Adsphere"/>
    <x v="0"/>
    <n v="13846.15"/>
    <n v="12587.42"/>
    <n v="-1258.7299999999996"/>
    <n v="-9.0908303030084139E-2"/>
    <x v="0"/>
    <n v="-12587.42"/>
    <x v="3"/>
  </r>
  <r>
    <s v="FIN-00684"/>
    <d v="2025-06-10T00:00:00"/>
    <x v="0"/>
    <x v="4"/>
    <x v="8"/>
    <x v="4"/>
    <s v="Islamabad"/>
    <s v="Techsource"/>
    <x v="1"/>
    <n v="5000"/>
    <n v="4387.8500000000004"/>
    <n v="-612.14999999999964"/>
    <n v="-0.12242999999999993"/>
    <x v="0"/>
    <n v="-4387.8500000000004"/>
    <x v="5"/>
  </r>
  <r>
    <s v="FIN-00685"/>
    <d v="2025-11-26T00:00:00"/>
    <x v="1"/>
    <x v="3"/>
    <x v="12"/>
    <x v="2"/>
    <s v="Lahore"/>
    <s v="Urban Facilities"/>
    <x v="2"/>
    <n v="9545.4500000000007"/>
    <n v="4167.9399999999996"/>
    <n v="-5377.5100000000011"/>
    <n v="-0.56335845874212331"/>
    <x v="0"/>
    <n v="4167.9399999999996"/>
    <x v="10"/>
  </r>
  <r>
    <s v="FIN-00686"/>
    <d v="2026-02-19T00:00:00"/>
    <x v="1"/>
    <x v="3"/>
    <x v="3"/>
    <x v="0"/>
    <s v="Multan"/>
    <s v="Techsource"/>
    <x v="1"/>
    <n v="12125"/>
    <n v="22142.400000000001"/>
    <n v="10017.400000000001"/>
    <n v="0.82617731958762897"/>
    <x v="1"/>
    <n v="22142.400000000001"/>
    <x v="17"/>
  </r>
  <r>
    <s v="FIN-00687"/>
    <d v="2025-12-08T00:00:00"/>
    <x v="0"/>
    <x v="0"/>
    <x v="9"/>
    <x v="2"/>
    <s v="Multan"/>
    <s v="Buildcare"/>
    <x v="1"/>
    <n v="4125"/>
    <n v="2363.14"/>
    <n v="-1761.8600000000001"/>
    <n v="-0.42711757575757581"/>
    <x v="0"/>
    <n v="-2363.14"/>
    <x v="11"/>
  </r>
  <r>
    <s v="FIN-00688"/>
    <d v="2026-05-15T00:00:00"/>
    <x v="1"/>
    <x v="3"/>
    <x v="3"/>
    <x v="3"/>
    <s v="Karachi"/>
    <s v="Urban Facilities"/>
    <x v="3"/>
    <n v="10869.57"/>
    <n v="4611.6400000000003"/>
    <n v="-6257.9299999999994"/>
    <n v="-0.57572930667910505"/>
    <x v="0"/>
    <n v="4611.6400000000003"/>
    <x v="16"/>
  </r>
  <r>
    <s v="FIN-00689"/>
    <d v="2025-07-06T00:00:00"/>
    <x v="0"/>
    <x v="5"/>
    <x v="6"/>
    <x v="3"/>
    <s v="Karachi"/>
    <s v="Prime Supplies"/>
    <x v="3"/>
    <n v="6923.08"/>
    <n v="14318.63"/>
    <n v="7395.5499999999993"/>
    <n v="1.0682456363352726"/>
    <x v="1"/>
    <n v="-14318.63"/>
    <x v="6"/>
  </r>
  <r>
    <s v="FIN-00690"/>
    <d v="2025-02-17T00:00:00"/>
    <x v="1"/>
    <x v="1"/>
    <x v="3"/>
    <x v="4"/>
    <s v="Karachi"/>
    <s v="Legalworks"/>
    <x v="3"/>
    <n v="13472.22"/>
    <n v="4730.67"/>
    <n v="-8741.5499999999993"/>
    <n v="-0.64885742661565793"/>
    <x v="0"/>
    <n v="4730.67"/>
    <x v="1"/>
  </r>
  <r>
    <s v="FIN-00691"/>
    <d v="2025-12-12T00:00:00"/>
    <x v="1"/>
    <x v="2"/>
    <x v="3"/>
    <x v="0"/>
    <s v="Karachi"/>
    <s v="Buildcare"/>
    <x v="1"/>
    <n v="15441.18"/>
    <n v="7329.83"/>
    <n v="-8111.35"/>
    <n v="-0.52530635612045196"/>
    <x v="0"/>
    <n v="7329.83"/>
    <x v="11"/>
  </r>
  <r>
    <s v="FIN-00692"/>
    <d v="2025-03-14T00:00:00"/>
    <x v="0"/>
    <x v="1"/>
    <x v="9"/>
    <x v="2"/>
    <s v="Faisalabad"/>
    <s v="Urban Facilities"/>
    <x v="0"/>
    <n v="3928.57"/>
    <n v="4813.68"/>
    <n v="885.11000000000013"/>
    <n v="0.22530080920029427"/>
    <x v="1"/>
    <n v="-4813.68"/>
    <x v="2"/>
  </r>
  <r>
    <s v="FIN-00693"/>
    <d v="2025-09-05T00:00:00"/>
    <x v="0"/>
    <x v="3"/>
    <x v="1"/>
    <x v="3"/>
    <s v="Lahore"/>
    <s v="Powergrid"/>
    <x v="3"/>
    <n v="3600"/>
    <n v="1733.18"/>
    <n v="-1866.82"/>
    <n v="-0.51856111111111114"/>
    <x v="0"/>
    <n v="-1733.18"/>
    <x v="8"/>
  </r>
  <r>
    <s v="FIN-00694"/>
    <d v="2025-01-23T00:00:00"/>
    <x v="1"/>
    <x v="2"/>
    <x v="13"/>
    <x v="2"/>
    <s v="Karachi"/>
    <s v="Shipfast"/>
    <x v="1"/>
    <n v="9700"/>
    <n v="3387.51"/>
    <n v="-6312.49"/>
    <n v="-0.65077216494845358"/>
    <x v="0"/>
    <n v="3387.51"/>
    <x v="0"/>
  </r>
  <r>
    <s v="FIN-00695"/>
    <d v="2025-06-30T00:00:00"/>
    <x v="1"/>
    <x v="0"/>
    <x v="12"/>
    <x v="2"/>
    <s v="Islamabad"/>
    <s v="Travellink"/>
    <x v="1"/>
    <n v="6250"/>
    <n v="5798.21"/>
    <n v="-451.78999999999996"/>
    <n v="-7.2286400000000001E-2"/>
    <x v="0"/>
    <n v="5798.21"/>
    <x v="5"/>
  </r>
  <r>
    <s v="FIN-00696"/>
    <d v="2025-05-22T00:00:00"/>
    <x v="0"/>
    <x v="4"/>
    <x v="6"/>
    <x v="4"/>
    <s v="Islamabad"/>
    <s v="Prime Supplies"/>
    <x v="1"/>
    <n v="7200"/>
    <n v="16843.23"/>
    <n v="9643.23"/>
    <n v="1.3393374999999998"/>
    <x v="1"/>
    <n v="-16843.23"/>
    <x v="4"/>
  </r>
  <r>
    <s v="FIN-00697"/>
    <d v="2026-02-06T00:00:00"/>
    <x v="0"/>
    <x v="3"/>
    <x v="6"/>
    <x v="0"/>
    <s v="Karachi"/>
    <s v="Adsphere"/>
    <x v="1"/>
    <n v="9189.4699999999993"/>
    <n v="9421.2099999999991"/>
    <n v="231.73999999999978"/>
    <n v="2.5217994073651669E-2"/>
    <x v="1"/>
    <n v="-9421.2099999999991"/>
    <x v="17"/>
  </r>
  <r>
    <s v="FIN-00698"/>
    <d v="2025-02-28T00:00:00"/>
    <x v="0"/>
    <x v="1"/>
    <x v="0"/>
    <x v="2"/>
    <s v="Karachi"/>
    <s v="Urban Facilities"/>
    <x v="0"/>
    <n v="6208"/>
    <n v="4932.96"/>
    <n v="-1275.04"/>
    <n v="-0.20538659793814432"/>
    <x v="0"/>
    <n v="-4932.96"/>
    <x v="1"/>
  </r>
  <r>
    <s v="FIN-00699"/>
    <d v="2026-02-08T00:00:00"/>
    <x v="0"/>
    <x v="2"/>
    <x v="7"/>
    <x v="3"/>
    <s v="Lahore"/>
    <s v="Markethub"/>
    <x v="2"/>
    <n v="5658.33"/>
    <n v="2498.69"/>
    <n v="-3159.64"/>
    <n v="-0.55840504177027495"/>
    <x v="0"/>
    <n v="-2498.69"/>
    <x v="17"/>
  </r>
  <r>
    <s v="FIN-00700"/>
    <d v="2025-05-31T00:00:00"/>
    <x v="1"/>
    <x v="2"/>
    <x v="12"/>
    <x v="2"/>
    <s v="Lahore"/>
    <s v="Shipfast"/>
    <x v="5"/>
    <n v="9090.91"/>
    <n v="16517.07"/>
    <n v="7426.16"/>
    <n v="0.8168775183122482"/>
    <x v="1"/>
    <n v="16517.07"/>
    <x v="4"/>
  </r>
  <r>
    <s v="FIN-00701"/>
    <d v="2026-06-21T00:00:00"/>
    <x v="1"/>
    <x v="1"/>
    <x v="2"/>
    <x v="3"/>
    <s v="Karachi"/>
    <s v="Legalworks"/>
    <x v="3"/>
    <n v="7272.73"/>
    <n v="4429.67"/>
    <n v="-2843.0599999999995"/>
    <n v="-0.39092060340477369"/>
    <x v="0"/>
    <n v="4429.67"/>
    <x v="13"/>
  </r>
  <r>
    <s v="FIN-00702"/>
    <d v="2025-10-28T00:00:00"/>
    <x v="0"/>
    <x v="0"/>
    <x v="6"/>
    <x v="3"/>
    <s v="Islamabad"/>
    <s v="Buildcare"/>
    <x v="1"/>
    <n v="7826.09"/>
    <n v="5734.57"/>
    <n v="-2091.5200000000004"/>
    <n v="-0.2672496738473491"/>
    <x v="0"/>
    <n v="-5734.57"/>
    <x v="9"/>
  </r>
  <r>
    <s v="FIN-00703"/>
    <d v="2025-03-24T00:00:00"/>
    <x v="0"/>
    <x v="4"/>
    <x v="11"/>
    <x v="2"/>
    <s v="Islamabad"/>
    <s v="Buildcare"/>
    <x v="3"/>
    <n v="3142.86"/>
    <n v="1883.05"/>
    <n v="-1259.8100000000002"/>
    <n v="-0.40084827195611644"/>
    <x v="0"/>
    <n v="-1883.05"/>
    <x v="2"/>
  </r>
  <r>
    <s v="FIN-00704"/>
    <d v="2026-05-21T00:00:00"/>
    <x v="0"/>
    <x v="1"/>
    <x v="5"/>
    <x v="2"/>
    <s v="Lahore"/>
    <s v="Techsource"/>
    <x v="1"/>
    <n v="6500"/>
    <n v="3060.27"/>
    <n v="-3439.73"/>
    <n v="-0.52918923076923075"/>
    <x v="0"/>
    <n v="-3060.27"/>
    <x v="16"/>
  </r>
  <r>
    <s v="FIN-00705"/>
    <d v="2026-06-16T00:00:00"/>
    <x v="1"/>
    <x v="2"/>
    <x v="3"/>
    <x v="1"/>
    <s v="Karachi"/>
    <s v="Buildcare"/>
    <x v="3"/>
    <n v="10000"/>
    <n v="6859.28"/>
    <n v="-3140.7200000000003"/>
    <n v="-0.31407200000000002"/>
    <x v="0"/>
    <n v="6859.28"/>
    <x v="13"/>
  </r>
  <r>
    <s v="FIN-00706"/>
    <d v="2025-04-02T00:00:00"/>
    <x v="0"/>
    <x v="2"/>
    <x v="8"/>
    <x v="4"/>
    <s v="Lahore"/>
    <s v="Travellink"/>
    <x v="1"/>
    <n v="3750"/>
    <n v="5170.3599999999997"/>
    <n v="1420.3599999999997"/>
    <n v="0.37876266666666658"/>
    <x v="1"/>
    <n v="-5170.3599999999997"/>
    <x v="3"/>
  </r>
  <r>
    <s v="FIN-00707"/>
    <d v="2026-06-26T00:00:00"/>
    <x v="1"/>
    <x v="3"/>
    <x v="2"/>
    <x v="2"/>
    <s v="Karachi"/>
    <s v="Buildcare"/>
    <x v="1"/>
    <n v="7272.73"/>
    <n v="4767.1099999999997"/>
    <n v="-2505.62"/>
    <n v="-0.34452262080401719"/>
    <x v="0"/>
    <n v="4767.1099999999997"/>
    <x v="13"/>
  </r>
  <r>
    <s v="FIN-00708"/>
    <d v="2026-01-21T00:00:00"/>
    <x v="0"/>
    <x v="0"/>
    <x v="6"/>
    <x v="4"/>
    <s v="Lahore"/>
    <s v="Prime Supplies"/>
    <x v="1"/>
    <n v="6715.38"/>
    <n v="7998.73"/>
    <n v="1283.3499999999995"/>
    <n v="0.19110608781632601"/>
    <x v="1"/>
    <n v="-7998.73"/>
    <x v="12"/>
  </r>
  <r>
    <s v="FIN-00709"/>
    <d v="2025-01-25T00:00:00"/>
    <x v="0"/>
    <x v="1"/>
    <x v="9"/>
    <x v="1"/>
    <s v="Islamabad"/>
    <s v="Cloudnet"/>
    <x v="2"/>
    <n v="0"/>
    <n v="6017.38"/>
    <n v="6017.38"/>
    <n v="0"/>
    <x v="2"/>
    <n v="-6017.38"/>
    <x v="0"/>
  </r>
  <r>
    <s v="FIN-00710"/>
    <d v="2026-01-09T00:00:00"/>
    <x v="0"/>
    <x v="1"/>
    <x v="7"/>
    <x v="3"/>
    <s v="Faisalabad"/>
    <s v="Travellink"/>
    <x v="4"/>
    <n v="3395"/>
    <n v="908.09"/>
    <n v="-2486.91"/>
    <n v="-0.73252135493372605"/>
    <x v="0"/>
    <n v="-908.09"/>
    <x v="12"/>
  </r>
  <r>
    <s v="FIN-00711"/>
    <d v="2026-04-04T00:00:00"/>
    <x v="0"/>
    <x v="6"/>
    <x v="6"/>
    <x v="4"/>
    <s v="Karachi"/>
    <s v="Prime Supplies"/>
    <x v="1"/>
    <n v="8571.43"/>
    <n v="8033.77"/>
    <n v="-537.65999999999985"/>
    <n v="-6.2726989545501724E-2"/>
    <x v="0"/>
    <n v="-8033.77"/>
    <x v="15"/>
  </r>
  <r>
    <s v="FIN-00712"/>
    <d v="2026-06-11T00:00:00"/>
    <x v="0"/>
    <x v="4"/>
    <x v="7"/>
    <x v="1"/>
    <s v="Faisalabad"/>
    <s v="Softworks"/>
    <x v="1"/>
    <n v="5000"/>
    <n v="2718.65"/>
    <n v="-2281.35"/>
    <n v="-0.45627000000000001"/>
    <x v="0"/>
    <n v="-2718.65"/>
    <x v="13"/>
  </r>
  <r>
    <s v="FIN-00713"/>
    <d v="2025-04-06T00:00:00"/>
    <x v="0"/>
    <x v="3"/>
    <x v="0"/>
    <x v="4"/>
    <s v="Karachi"/>
    <s v="Officepro"/>
    <x v="0"/>
    <n v="5333.33"/>
    <n v="5792.17"/>
    <n v="458.84000000000015"/>
    <n v="8.6032553770346132E-2"/>
    <x v="1"/>
    <n v="-5792.17"/>
    <x v="3"/>
  </r>
  <r>
    <s v="FIN-00714"/>
    <d v="2025-12-30T00:00:00"/>
    <x v="0"/>
    <x v="1"/>
    <x v="0"/>
    <x v="3"/>
    <s v="Faisalabad"/>
    <s v="Shipfast"/>
    <x v="3"/>
    <n v="4800"/>
    <n v="544.72"/>
    <n v="-4255.28"/>
    <n v="-0.88651666666666662"/>
    <x v="0"/>
    <n v="-544.72"/>
    <x v="11"/>
  </r>
  <r>
    <s v="FIN-00715"/>
    <d v="2025-06-24T00:00:00"/>
    <x v="0"/>
    <x v="4"/>
    <x v="6"/>
    <x v="0"/>
    <s v="Karachi"/>
    <s v="Urban Facilities"/>
    <x v="1"/>
    <n v="6428.57"/>
    <n v="15011.42"/>
    <n v="8582.85"/>
    <n v="1.3351102966911772"/>
    <x v="1"/>
    <n v="-15011.42"/>
    <x v="5"/>
  </r>
  <r>
    <s v="FIN-00716"/>
    <d v="2026-02-06T00:00:00"/>
    <x v="1"/>
    <x v="0"/>
    <x v="3"/>
    <x v="0"/>
    <s v="Islamabad"/>
    <s v="Softworks"/>
    <x v="4"/>
    <n v="12125"/>
    <n v="20091.07"/>
    <n v="7966.07"/>
    <n v="0.65699546391752572"/>
    <x v="1"/>
    <n v="20091.07"/>
    <x v="17"/>
  </r>
  <r>
    <s v="FIN-00717"/>
    <d v="2025-08-14T00:00:00"/>
    <x v="1"/>
    <x v="0"/>
    <x v="3"/>
    <x v="0"/>
    <s v="Karachi"/>
    <s v="Prime Supplies"/>
    <x v="2"/>
    <n v="10416.67"/>
    <n v="17148.240000000002"/>
    <n v="6731.5700000000015"/>
    <n v="0.64623051320623592"/>
    <x v="1"/>
    <n v="17148.240000000002"/>
    <x v="7"/>
  </r>
  <r>
    <s v="FIN-00718"/>
    <d v="2026-05-11T00:00:00"/>
    <x v="0"/>
    <x v="2"/>
    <x v="10"/>
    <x v="3"/>
    <s v="Faisalabad"/>
    <s v="Peoplefirst"/>
    <x v="2"/>
    <n v="5714.29"/>
    <n v="4359.51"/>
    <n v="-1354.7799999999997"/>
    <n v="-0.23708632218525832"/>
    <x v="0"/>
    <n v="-4359.51"/>
    <x v="16"/>
  </r>
  <r>
    <s v="FIN-00719"/>
    <d v="2025-07-17T00:00:00"/>
    <x v="1"/>
    <x v="1"/>
    <x v="3"/>
    <x v="0"/>
    <s v="Karachi"/>
    <s v="Markethub"/>
    <x v="4"/>
    <n v="12500"/>
    <n v="24228.799999999999"/>
    <n v="11728.8"/>
    <n v="0.93830399999999992"/>
    <x v="1"/>
    <n v="24228.799999999999"/>
    <x v="6"/>
  </r>
  <r>
    <s v="FIN-00720"/>
    <d v="2025-06-09T00:00:00"/>
    <x v="0"/>
    <x v="6"/>
    <x v="6"/>
    <x v="3"/>
    <s v="Karachi"/>
    <s v="Softworks"/>
    <x v="1"/>
    <n v="6428.57"/>
    <n v="3257.36"/>
    <n v="-3171.2099999999996"/>
    <n v="-0.49329944295543171"/>
    <x v="0"/>
    <n v="-3257.36"/>
    <x v="5"/>
  </r>
  <r>
    <s v="FIN-00721"/>
    <d v="2026-01-08T00:00:00"/>
    <x v="0"/>
    <x v="1"/>
    <x v="5"/>
    <x v="2"/>
    <s v="Karachi"/>
    <s v="Officepro"/>
    <x v="3"/>
    <n v="6305"/>
    <n v="6964.9"/>
    <n v="659.89999999999964"/>
    <n v="0.10466296590007924"/>
    <x v="1"/>
    <n v="-6964.9"/>
    <x v="12"/>
  </r>
  <r>
    <s v="FIN-00722"/>
    <d v="2025-12-18T00:00:00"/>
    <x v="0"/>
    <x v="1"/>
    <x v="8"/>
    <x v="3"/>
    <s v="Karachi"/>
    <s v="Travellink"/>
    <x v="1"/>
    <n v="4500"/>
    <n v="2321.0100000000002"/>
    <n v="-2178.9899999999998"/>
    <n v="-0.48421999999999993"/>
    <x v="0"/>
    <n v="-2321.0100000000002"/>
    <x v="11"/>
  </r>
  <r>
    <s v="FIN-00723"/>
    <d v="2026-01-13T00:00:00"/>
    <x v="0"/>
    <x v="4"/>
    <x v="5"/>
    <x v="0"/>
    <s v="Lahore"/>
    <s v="Markethub"/>
    <x v="2"/>
    <n v="6305"/>
    <n v="11957.5"/>
    <n v="5652.5"/>
    <n v="0.89651070578905634"/>
    <x v="1"/>
    <n v="-11957.5"/>
    <x v="12"/>
  </r>
  <r>
    <s v="FIN-00724"/>
    <d v="2025-10-11T00:00:00"/>
    <x v="0"/>
    <x v="1"/>
    <x v="0"/>
    <x v="3"/>
    <s v="Faisalabad"/>
    <s v="Cloudnet"/>
    <x v="3"/>
    <n v="2666.67"/>
    <n v="5710.65"/>
    <n v="3043.9799999999996"/>
    <n v="1.1414910731361583"/>
    <x v="1"/>
    <n v="-5710.65"/>
    <x v="9"/>
  </r>
  <r>
    <s v="FIN-00725"/>
    <d v="2025-07-05T00:00:00"/>
    <x v="1"/>
    <x v="2"/>
    <x v="2"/>
    <x v="0"/>
    <s v="Islamabad"/>
    <s v="Officepro"/>
    <x v="4"/>
    <n v="13333.33"/>
    <n v="4203.07"/>
    <n v="-9130.26"/>
    <n v="-0.68476967119241783"/>
    <x v="0"/>
    <n v="4203.07"/>
    <x v="6"/>
  </r>
  <r>
    <s v="FIN-00726"/>
    <d v="2026-05-02T00:00:00"/>
    <x v="0"/>
    <x v="6"/>
    <x v="8"/>
    <x v="1"/>
    <s v="Islamabad"/>
    <s v="Buildcare"/>
    <x v="2"/>
    <n v="2727.27"/>
    <n v="4315.71"/>
    <n v="1588.44"/>
    <n v="0.58242858242858242"/>
    <x v="1"/>
    <n v="-4315.71"/>
    <x v="16"/>
  </r>
  <r>
    <s v="FIN-00727"/>
    <d v="2025-07-20T00:00:00"/>
    <x v="0"/>
    <x v="4"/>
    <x v="7"/>
    <x v="1"/>
    <s v="Lahore"/>
    <s v="Techsource"/>
    <x v="2"/>
    <n v="8750"/>
    <n v="3427.15"/>
    <n v="-5322.85"/>
    <n v="-0.60832571428571436"/>
    <x v="0"/>
    <n v="-3427.15"/>
    <x v="6"/>
  </r>
  <r>
    <s v="FIN-00728"/>
    <d v="2025-05-16T00:00:00"/>
    <x v="1"/>
    <x v="3"/>
    <x v="3"/>
    <x v="1"/>
    <s v="Islamabad"/>
    <s v="Powergrid"/>
    <x v="1"/>
    <n v="9615.3799999999992"/>
    <n v="17519.97"/>
    <n v="7904.590000000002"/>
    <n v="0.82207775459732246"/>
    <x v="1"/>
    <n v="17519.97"/>
    <x v="4"/>
  </r>
  <r>
    <s v="FIN-00729"/>
    <d v="2025-09-05T00:00:00"/>
    <x v="1"/>
    <x v="3"/>
    <x v="12"/>
    <x v="1"/>
    <s v="Islamabad"/>
    <s v="Travellink"/>
    <x v="1"/>
    <n v="7142.86"/>
    <n v="9694.27"/>
    <n v="2551.4100000000008"/>
    <n v="0.35719725712109729"/>
    <x v="1"/>
    <n v="9694.27"/>
    <x v="8"/>
  </r>
  <r>
    <s v="FIN-00730"/>
    <d v="2026-03-26T00:00:00"/>
    <x v="0"/>
    <x v="4"/>
    <x v="7"/>
    <x v="3"/>
    <s v="Lahore"/>
    <s v="Powergrid"/>
    <x v="1"/>
    <n v="3181.82"/>
    <n v="4382.5600000000004"/>
    <n v="1200.7400000000002"/>
    <n v="0.37737521292844983"/>
    <x v="1"/>
    <n v="-4382.5600000000004"/>
    <x v="14"/>
  </r>
  <r>
    <s v="FIN-00731"/>
    <d v="2025-05-29T00:00:00"/>
    <x v="1"/>
    <x v="4"/>
    <x v="3"/>
    <x v="0"/>
    <s v="Peshawar"/>
    <s v="Travellink"/>
    <x v="1"/>
    <n v="9615.3799999999992"/>
    <n v="11771.97"/>
    <n v="2156.59"/>
    <n v="0.22428546765702451"/>
    <x v="1"/>
    <n v="11771.97"/>
    <x v="4"/>
  </r>
  <r>
    <s v="FIN-00732"/>
    <d v="2026-01-22T00:00:00"/>
    <x v="0"/>
    <x v="1"/>
    <x v="10"/>
    <x v="4"/>
    <s v="Karachi"/>
    <s v="Officepro"/>
    <x v="2"/>
    <n v="4850"/>
    <n v="288.63"/>
    <n v="-4561.37"/>
    <n v="-0.94048865979381446"/>
    <x v="0"/>
    <n v="-288.63"/>
    <x v="12"/>
  </r>
  <r>
    <s v="FIN-00733"/>
    <d v="2026-04-05T00:00:00"/>
    <x v="0"/>
    <x v="2"/>
    <x v="7"/>
    <x v="4"/>
    <s v="Islamabad"/>
    <s v="Shipfast"/>
    <x v="0"/>
    <n v="5833.33"/>
    <n v="3048.03"/>
    <n v="-2785.2999999999997"/>
    <n v="-0.47748027284587014"/>
    <x v="0"/>
    <n v="-3048.03"/>
    <x v="15"/>
  </r>
  <r>
    <s v="FIN-00734"/>
    <d v="2026-06-26T00:00:00"/>
    <x v="1"/>
    <x v="5"/>
    <x v="2"/>
    <x v="4"/>
    <s v="Islamabad"/>
    <s v="Markethub"/>
    <x v="1"/>
    <n v="7272.73"/>
    <n v="1113.55"/>
    <n v="-6159.1799999999994"/>
    <n v="-0.84688693241740032"/>
    <x v="0"/>
    <n v="1113.55"/>
    <x v="13"/>
  </r>
  <r>
    <s v="FIN-00735"/>
    <d v="2025-11-11T00:00:00"/>
    <x v="1"/>
    <x v="3"/>
    <x v="3"/>
    <x v="4"/>
    <s v="Islamabad"/>
    <s v="Officepro"/>
    <x v="1"/>
    <n v="13125"/>
    <n v="15341.68"/>
    <n v="2216.6800000000003"/>
    <n v="0.1688899047619048"/>
    <x v="1"/>
    <n v="15341.68"/>
    <x v="10"/>
  </r>
  <r>
    <s v="FIN-00736"/>
    <d v="2025-04-22T00:00:00"/>
    <x v="1"/>
    <x v="1"/>
    <x v="2"/>
    <x v="4"/>
    <s v="Karachi"/>
    <s v="Powergrid"/>
    <x v="1"/>
    <n v="10000"/>
    <n v="3990.75"/>
    <n v="-6009.25"/>
    <n v="-0.60092500000000004"/>
    <x v="0"/>
    <n v="3990.75"/>
    <x v="3"/>
  </r>
  <r>
    <s v="FIN-00737"/>
    <d v="2026-02-09T00:00:00"/>
    <x v="1"/>
    <x v="4"/>
    <x v="13"/>
    <x v="1"/>
    <s v="Karachi"/>
    <s v="Dataserve"/>
    <x v="0"/>
    <n v="3880"/>
    <n v="2636.92"/>
    <n v="-1243.08"/>
    <n v="-0.32038144329896906"/>
    <x v="0"/>
    <n v="2636.92"/>
    <x v="17"/>
  </r>
  <r>
    <s v="FIN-00738"/>
    <d v="2025-06-12T00:00:00"/>
    <x v="0"/>
    <x v="4"/>
    <x v="7"/>
    <x v="4"/>
    <s v="Karachi"/>
    <s v="Officepro"/>
    <x v="2"/>
    <n v="4375"/>
    <n v="4182.8999999999996"/>
    <n v="-192.10000000000036"/>
    <n v="-4.3908571428571512E-2"/>
    <x v="0"/>
    <n v="-4182.8999999999996"/>
    <x v="5"/>
  </r>
  <r>
    <s v="FIN-00739"/>
    <d v="2026-03-27T00:00:00"/>
    <x v="0"/>
    <x v="6"/>
    <x v="11"/>
    <x v="4"/>
    <s v="Peshawar"/>
    <s v="Buildcare"/>
    <x v="1"/>
    <n v="1833.33"/>
    <n v="1310.49"/>
    <n v="-522.83999999999992"/>
    <n v="-0.28518597306540555"/>
    <x v="0"/>
    <n v="-1310.49"/>
    <x v="14"/>
  </r>
  <r>
    <s v="FIN-00740"/>
    <d v="2025-10-30T00:00:00"/>
    <x v="1"/>
    <x v="4"/>
    <x v="3"/>
    <x v="1"/>
    <s v="Multan"/>
    <s v="Legalworks"/>
    <x v="1"/>
    <n v="8928.57"/>
    <n v="20029.18"/>
    <n v="11100.61"/>
    <n v="1.2432685189229631"/>
    <x v="1"/>
    <n v="20029.18"/>
    <x v="9"/>
  </r>
  <r>
    <s v="FIN-00741"/>
    <d v="2025-10-19T00:00:00"/>
    <x v="1"/>
    <x v="3"/>
    <x v="2"/>
    <x v="4"/>
    <s v="Faisalabad"/>
    <s v="Buildcare"/>
    <x v="2"/>
    <n v="4705.88"/>
    <n v="4535.8"/>
    <n v="-170.07999999999993"/>
    <n v="-3.6142018071009016E-2"/>
    <x v="0"/>
    <n v="4535.8"/>
    <x v="9"/>
  </r>
  <r>
    <s v="FIN-00742"/>
    <d v="2025-12-18T00:00:00"/>
    <x v="1"/>
    <x v="3"/>
    <x v="13"/>
    <x v="4"/>
    <s v="Karachi"/>
    <s v="Prime Supplies"/>
    <x v="3"/>
    <n v="3500"/>
    <n v="1616.23"/>
    <n v="-1883.77"/>
    <n v="-0.53822000000000003"/>
    <x v="0"/>
    <n v="1616.23"/>
    <x v="11"/>
  </r>
  <r>
    <s v="FIN-00743"/>
    <d v="2025-01-12T00:00:00"/>
    <x v="0"/>
    <x v="1"/>
    <x v="11"/>
    <x v="3"/>
    <s v="Karachi"/>
    <s v="Cloudnet"/>
    <x v="2"/>
    <n v="3556.67"/>
    <n v="2832.42"/>
    <n v="-724.25"/>
    <n v="-0.20363148675586995"/>
    <x v="0"/>
    <n v="-2832.42"/>
    <x v="0"/>
  </r>
  <r>
    <s v="FIN-00744"/>
    <d v="2026-05-03T00:00:00"/>
    <x v="1"/>
    <x v="2"/>
    <x v="3"/>
    <x v="3"/>
    <s v="Karachi"/>
    <s v="Techsource"/>
    <x v="4"/>
    <n v="10869.57"/>
    <n v="9461.93"/>
    <n v="-1407.6399999999994"/>
    <n v="-0.12950282301875782"/>
    <x v="0"/>
    <n v="9461.93"/>
    <x v="16"/>
  </r>
  <r>
    <s v="FIN-00745"/>
    <d v="2025-10-04T00:00:00"/>
    <x v="1"/>
    <x v="2"/>
    <x v="3"/>
    <x v="4"/>
    <s v="Islamabad"/>
    <s v="Buildcare"/>
    <x v="4"/>
    <n v="8928.57"/>
    <n v="13832.89"/>
    <n v="4904.32"/>
    <n v="0.54928392788542846"/>
    <x v="1"/>
    <n v="13832.89"/>
    <x v="9"/>
  </r>
  <r>
    <s v="FIN-00746"/>
    <d v="2026-04-15T00:00:00"/>
    <x v="1"/>
    <x v="3"/>
    <x v="12"/>
    <x v="4"/>
    <s v="Faisalabad"/>
    <s v="Techsource"/>
    <x v="1"/>
    <n v="7142.86"/>
    <n v="12651.7"/>
    <n v="5508.8400000000011"/>
    <n v="0.77123729150508358"/>
    <x v="1"/>
    <n v="12651.7"/>
    <x v="15"/>
  </r>
  <r>
    <s v="FIN-00747"/>
    <d v="2025-07-10T00:00:00"/>
    <x v="0"/>
    <x v="3"/>
    <x v="1"/>
    <x v="0"/>
    <s v="Peshawar"/>
    <s v="Peoplefirst"/>
    <x v="1"/>
    <n v="2250"/>
    <n v="987.03"/>
    <n v="-1262.97"/>
    <n v="-0.56132000000000004"/>
    <x v="0"/>
    <n v="-987.03"/>
    <x v="6"/>
  </r>
  <r>
    <s v="FIN-00748"/>
    <d v="2026-01-06T00:00:00"/>
    <x v="1"/>
    <x v="2"/>
    <x v="3"/>
    <x v="3"/>
    <s v="Faisalabad"/>
    <s v="Softworks"/>
    <x v="4"/>
    <n v="11547.62"/>
    <n v="12721.37"/>
    <n v="1173.75"/>
    <n v="0.10164432151387039"/>
    <x v="1"/>
    <n v="12721.37"/>
    <x v="12"/>
  </r>
  <r>
    <s v="FIN-00749"/>
    <d v="2025-12-08T00:00:00"/>
    <x v="0"/>
    <x v="2"/>
    <x v="6"/>
    <x v="3"/>
    <s v="Karachi"/>
    <s v="Markethub"/>
    <x v="3"/>
    <n v="7875"/>
    <n v="17140.59"/>
    <n v="9265.59"/>
    <n v="1.1765828571428572"/>
    <x v="1"/>
    <n v="-17140.59"/>
    <x v="11"/>
  </r>
  <r>
    <s v="FIN-00750"/>
    <d v="2026-01-08T00:00:00"/>
    <x v="0"/>
    <x v="2"/>
    <x v="7"/>
    <x v="1"/>
    <s v="Multan"/>
    <s v="Urban Facilities"/>
    <x v="2"/>
    <n v="3395"/>
    <n v="2945.32"/>
    <n v="-449.67999999999984"/>
    <n v="-0.13245360824742264"/>
    <x v="0"/>
    <n v="-2945.32"/>
    <x v="12"/>
  </r>
  <r>
    <s v="FIN-00751"/>
    <d v="2025-10-05T00:00:00"/>
    <x v="1"/>
    <x v="3"/>
    <x v="12"/>
    <x v="3"/>
    <s v="Islamabad"/>
    <s v="Buildcare"/>
    <x v="2"/>
    <n v="7692.31"/>
    <n v="1566.77"/>
    <n v="-6125.5400000000009"/>
    <n v="-0.79631996110401171"/>
    <x v="0"/>
    <n v="1566.77"/>
    <x v="9"/>
  </r>
  <r>
    <s v="FIN-00752"/>
    <d v="2025-07-27T00:00:00"/>
    <x v="0"/>
    <x v="0"/>
    <x v="8"/>
    <x v="3"/>
    <s v="Karachi"/>
    <s v="Softworks"/>
    <x v="1"/>
    <n v="6000"/>
    <n v="576.03"/>
    <n v="-5423.97"/>
    <n v="-0.90399499999999999"/>
    <x v="0"/>
    <n v="-576.03"/>
    <x v="6"/>
  </r>
  <r>
    <s v="FIN-00753"/>
    <d v="2026-06-25T00:00:00"/>
    <x v="0"/>
    <x v="1"/>
    <x v="5"/>
    <x v="0"/>
    <s v="Karachi"/>
    <s v="Adsphere"/>
    <x v="2"/>
    <n v="5416.67"/>
    <n v="11800.27"/>
    <n v="6383.6"/>
    <n v="1.1785100439938192"/>
    <x v="1"/>
    <n v="-11800.27"/>
    <x v="13"/>
  </r>
  <r>
    <s v="FIN-00754"/>
    <d v="2025-03-12T00:00:00"/>
    <x v="0"/>
    <x v="4"/>
    <x v="6"/>
    <x v="4"/>
    <s v="Karachi"/>
    <s v="Dataserve"/>
    <x v="4"/>
    <n v="6000"/>
    <n v="16689.509999999998"/>
    <n v="10689.509999999998"/>
    <n v="1.7815849999999998"/>
    <x v="1"/>
    <n v="-16689.509999999998"/>
    <x v="2"/>
  </r>
  <r>
    <s v="FIN-00755"/>
    <d v="2025-05-22T00:00:00"/>
    <x v="1"/>
    <x v="0"/>
    <x v="13"/>
    <x v="2"/>
    <s v="Karachi"/>
    <s v="Officepro"/>
    <x v="4"/>
    <n v="10000"/>
    <n v="4570.46"/>
    <n v="-5429.54"/>
    <n v="-0.54295400000000005"/>
    <x v="0"/>
    <n v="4570.46"/>
    <x v="4"/>
  </r>
  <r>
    <s v="FIN-00756"/>
    <d v="2025-08-09T00:00:00"/>
    <x v="1"/>
    <x v="1"/>
    <x v="2"/>
    <x v="2"/>
    <s v="Karachi"/>
    <s v="Buildcare"/>
    <x v="1"/>
    <n v="13333.33"/>
    <n v="4276.66"/>
    <n v="-9056.67"/>
    <n v="-0.67925041981260492"/>
    <x v="0"/>
    <n v="4276.66"/>
    <x v="7"/>
  </r>
  <r>
    <s v="FIN-00757"/>
    <d v="2025-06-23T00:00:00"/>
    <x v="0"/>
    <x v="6"/>
    <x v="4"/>
    <x v="4"/>
    <s v="Karachi"/>
    <s v="Cloudnet"/>
    <x v="1"/>
    <n v="7000"/>
    <n v="2983.8"/>
    <n v="-4016.2"/>
    <n v="-0.57374285714285711"/>
    <x v="0"/>
    <n v="-2983.8"/>
    <x v="5"/>
  </r>
  <r>
    <s v="FIN-00758"/>
    <d v="2026-05-27T00:00:00"/>
    <x v="0"/>
    <x v="1"/>
    <x v="8"/>
    <x v="2"/>
    <s v="Karachi"/>
    <s v="Adsphere"/>
    <x v="4"/>
    <n v="2727.27"/>
    <n v="5263.35"/>
    <n v="2536.0800000000004"/>
    <n v="0.92989692989693007"/>
    <x v="1"/>
    <n v="-5263.35"/>
    <x v="16"/>
  </r>
  <r>
    <s v="FIN-00759"/>
    <d v="2026-03-29T00:00:00"/>
    <x v="0"/>
    <x v="2"/>
    <x v="4"/>
    <x v="4"/>
    <s v="Multan"/>
    <s v="Powergrid"/>
    <x v="1"/>
    <n v="4000"/>
    <n v="1067.7"/>
    <n v="-2932.3"/>
    <n v="-0.73307500000000003"/>
    <x v="0"/>
    <n v="-1067.7"/>
    <x v="14"/>
  </r>
  <r>
    <s v="FIN-00760"/>
    <d v="2025-08-20T00:00:00"/>
    <x v="1"/>
    <x v="4"/>
    <x v="2"/>
    <x v="2"/>
    <s v="Karachi"/>
    <s v="Techsource"/>
    <x v="2"/>
    <n v="13333.33"/>
    <n v="5044.16"/>
    <n v="-8289.17"/>
    <n v="-0.62168790542197638"/>
    <x v="0"/>
    <n v="5044.16"/>
    <x v="7"/>
  </r>
  <r>
    <s v="FIN-00761"/>
    <d v="2025-02-07T00:00:00"/>
    <x v="1"/>
    <x v="3"/>
    <x v="12"/>
    <x v="1"/>
    <s v="Lahore"/>
    <s v="Adsphere"/>
    <x v="1"/>
    <n v="13857.14"/>
    <n v="2175.83"/>
    <n v="-11681.31"/>
    <n v="-0.84298130783119751"/>
    <x v="0"/>
    <n v="2175.83"/>
    <x v="1"/>
  </r>
  <r>
    <s v="FIN-00762"/>
    <d v="2026-04-10T00:00:00"/>
    <x v="0"/>
    <x v="4"/>
    <x v="6"/>
    <x v="3"/>
    <s v="Peshawar"/>
    <s v="Travellink"/>
    <x v="4"/>
    <n v="8571.43"/>
    <n v="11399.71"/>
    <n v="2828.2799999999988"/>
    <n v="0.32996594500567566"/>
    <x v="1"/>
    <n v="-11399.71"/>
    <x v="15"/>
  </r>
  <r>
    <s v="FIN-00763"/>
    <d v="2025-08-23T00:00:00"/>
    <x v="0"/>
    <x v="4"/>
    <x v="11"/>
    <x v="4"/>
    <s v="Multan"/>
    <s v="Techsource"/>
    <x v="2"/>
    <n v="3666.67"/>
    <n v="2300.88"/>
    <n v="-1365.79"/>
    <n v="-0.37248784319286982"/>
    <x v="0"/>
    <n v="-2300.88"/>
    <x v="7"/>
  </r>
  <r>
    <s v="FIN-00764"/>
    <d v="2026-01-30T00:00:00"/>
    <x v="0"/>
    <x v="4"/>
    <x v="10"/>
    <x v="3"/>
    <s v="Karachi"/>
    <s v="Buildcare"/>
    <x v="4"/>
    <n v="4850"/>
    <n v="2301.13"/>
    <n v="-2548.87"/>
    <n v="-0.52554020618556696"/>
    <x v="0"/>
    <n v="-2301.13"/>
    <x v="12"/>
  </r>
  <r>
    <s v="FIN-00765"/>
    <d v="2025-09-19T00:00:00"/>
    <x v="0"/>
    <x v="1"/>
    <x v="1"/>
    <x v="4"/>
    <s v="Multan"/>
    <s v="Cloudnet"/>
    <x v="1"/>
    <n v="3600"/>
    <n v="726.73"/>
    <n v="-2873.27"/>
    <n v="-0.79813055555555557"/>
    <x v="0"/>
    <n v="-726.73"/>
    <x v="8"/>
  </r>
  <r>
    <s v="FIN-00766"/>
    <d v="2025-05-06T00:00:00"/>
    <x v="0"/>
    <x v="2"/>
    <x v="5"/>
    <x v="2"/>
    <s v="Karachi"/>
    <s v="Techsource"/>
    <x v="1"/>
    <n v="4642.8599999999997"/>
    <n v="3129.97"/>
    <n v="-1512.8899999999999"/>
    <n v="-0.32585303024428908"/>
    <x v="0"/>
    <n v="-3129.97"/>
    <x v="4"/>
  </r>
  <r>
    <s v="FIN-00767"/>
    <d v="2026-06-02T00:00:00"/>
    <x v="1"/>
    <x v="2"/>
    <x v="3"/>
    <x v="4"/>
    <s v="Karachi"/>
    <s v="Shipfast"/>
    <x v="1"/>
    <n v="10000"/>
    <n v="18237.849999999999"/>
    <n v="8237.8499999999985"/>
    <n v="0.82378499999999988"/>
    <x v="1"/>
    <n v="18237.849999999999"/>
    <x v="13"/>
  </r>
  <r>
    <s v="FIN-00768"/>
    <d v="2025-05-30T00:00:00"/>
    <x v="1"/>
    <x v="3"/>
    <x v="3"/>
    <x v="4"/>
    <s v="Karachi"/>
    <s v="Urban Facilities"/>
    <x v="3"/>
    <n v="9615.3799999999992"/>
    <n v="5056.9399999999996"/>
    <n v="-4558.4399999999996"/>
    <n v="-0.47407798755743402"/>
    <x v="0"/>
    <n v="5056.9399999999996"/>
    <x v="4"/>
  </r>
  <r>
    <s v="FIN-00769"/>
    <d v="2025-05-26T00:00:00"/>
    <x v="0"/>
    <x v="2"/>
    <x v="8"/>
    <x v="1"/>
    <s v="Faisalabad"/>
    <s v="Peoplefirst"/>
    <x v="0"/>
    <n v="2307.69"/>
    <n v="7388.18"/>
    <n v="5080.49"/>
    <n v="2.2015478682145346"/>
    <x v="1"/>
    <n v="-7388.18"/>
    <x v="4"/>
  </r>
  <r>
    <s v="FIN-00770"/>
    <d v="2025-04-19T00:00:00"/>
    <x v="1"/>
    <x v="3"/>
    <x v="3"/>
    <x v="4"/>
    <s v="Karachi"/>
    <s v="Travellink"/>
    <x v="2"/>
    <n v="11363.64"/>
    <n v="11501.5"/>
    <n v="137.86000000000058"/>
    <n v="1.2131676117863694E-2"/>
    <x v="1"/>
    <n v="11501.5"/>
    <x v="3"/>
  </r>
  <r>
    <s v="FIN-00771"/>
    <d v="2025-03-25T00:00:00"/>
    <x v="0"/>
    <x v="6"/>
    <x v="9"/>
    <x v="3"/>
    <s v="Islamabad"/>
    <s v="Markethub"/>
    <x v="4"/>
    <n v="3928.57"/>
    <n v="8056.71"/>
    <n v="4128.1399999999994"/>
    <n v="1.0507996548362379"/>
    <x v="1"/>
    <n v="-8056.71"/>
    <x v="2"/>
  </r>
  <r>
    <s v="FIN-00772"/>
    <d v="2026-06-14T00:00:00"/>
    <x v="0"/>
    <x v="5"/>
    <x v="10"/>
    <x v="2"/>
    <s v="Lahore"/>
    <s v="Travellink"/>
    <x v="2"/>
    <n v="3076.92"/>
    <n v="2444.4"/>
    <n v="-632.52"/>
    <n v="-0.20556920556920555"/>
    <x v="0"/>
    <n v="-2444.4"/>
    <x v="13"/>
  </r>
  <r>
    <s v="FIN-00773"/>
    <d v="2025-10-15T00:00:00"/>
    <x v="1"/>
    <x v="3"/>
    <x v="3"/>
    <x v="3"/>
    <s v="Faisalabad"/>
    <s v="Markethub"/>
    <x v="3"/>
    <n v="8928.57"/>
    <n v="1303.1199999999999"/>
    <n v="-7625.45"/>
    <n v="-0.85405053664808583"/>
    <x v="0"/>
    <n v="1303.1199999999999"/>
    <x v="9"/>
  </r>
  <r>
    <s v="FIN-00774"/>
    <d v="2026-01-10T00:00:00"/>
    <x v="0"/>
    <x v="2"/>
    <x v="5"/>
    <x v="3"/>
    <s v="Faisalabad"/>
    <s v="Adsphere"/>
    <x v="1"/>
    <n v="6305"/>
    <n v="8417.31"/>
    <n v="2112.3099999999995"/>
    <n v="0.33502141157811255"/>
    <x v="1"/>
    <n v="-8417.31"/>
    <x v="12"/>
  </r>
  <r>
    <s v="FIN-00775"/>
    <d v="2026-04-25T00:00:00"/>
    <x v="0"/>
    <x v="5"/>
    <x v="6"/>
    <x v="4"/>
    <s v="Lahore"/>
    <s v="Adsphere"/>
    <x v="2"/>
    <n v="8571.43"/>
    <n v="14357.37"/>
    <n v="5785.9400000000005"/>
    <n v="0.67502622082896324"/>
    <x v="1"/>
    <n v="-14357.37"/>
    <x v="15"/>
  </r>
  <r>
    <s v="FIN-00776"/>
    <d v="2025-01-29T00:00:00"/>
    <x v="0"/>
    <x v="4"/>
    <x v="7"/>
    <x v="3"/>
    <s v="Karachi"/>
    <s v="Legalworks"/>
    <x v="1"/>
    <n v="5658.33"/>
    <n v="821.1"/>
    <n v="-4837.2299999999996"/>
    <n v="-0.85488651245155367"/>
    <x v="0"/>
    <n v="-821.1"/>
    <x v="0"/>
  </r>
  <r>
    <s v="FIN-00777"/>
    <d v="2026-05-20T00:00:00"/>
    <x v="0"/>
    <x v="0"/>
    <x v="6"/>
    <x v="3"/>
    <s v="Karachi"/>
    <s v="Techsource"/>
    <x v="1"/>
    <n v="16363.64"/>
    <n v="7370.2"/>
    <n v="-8993.4399999999987"/>
    <n v="-0.54959898897800241"/>
    <x v="0"/>
    <n v="-7370.2"/>
    <x v="16"/>
  </r>
  <r>
    <s v="FIN-00778"/>
    <d v="2025-12-30T00:00:00"/>
    <x v="0"/>
    <x v="5"/>
    <x v="6"/>
    <x v="4"/>
    <s v="Lahore"/>
    <s v="Shipfast"/>
    <x v="5"/>
    <n v="7875"/>
    <n v="8448.07"/>
    <n v="573.06999999999971"/>
    <n v="7.2770793650793614E-2"/>
    <x v="1"/>
    <n v="-8448.07"/>
    <x v="11"/>
  </r>
  <r>
    <s v="FIN-00779"/>
    <d v="2025-11-06T00:00:00"/>
    <x v="1"/>
    <x v="3"/>
    <x v="12"/>
    <x v="2"/>
    <s v="Multan"/>
    <s v="Legalworks"/>
    <x v="4"/>
    <n v="9545.4500000000007"/>
    <n v="8414.31"/>
    <n v="-1131.1400000000012"/>
    <n v="-0.11850043738116078"/>
    <x v="0"/>
    <n v="8414.31"/>
    <x v="10"/>
  </r>
  <r>
    <s v="FIN-00780"/>
    <d v="2026-06-10T00:00:00"/>
    <x v="1"/>
    <x v="3"/>
    <x v="3"/>
    <x v="3"/>
    <s v="Faisalabad"/>
    <s v="Dataserve"/>
    <x v="3"/>
    <n v="10000"/>
    <n v="10750.4"/>
    <n v="750.39999999999964"/>
    <n v="7.5039999999999968E-2"/>
    <x v="1"/>
    <n v="10750.4"/>
    <x v="13"/>
  </r>
  <r>
    <s v="FIN-00781"/>
    <d v="2026-06-12T00:00:00"/>
    <x v="1"/>
    <x v="6"/>
    <x v="3"/>
    <x v="4"/>
    <s v="Peshawar"/>
    <s v="Peoplefirst"/>
    <x v="2"/>
    <n v="10000"/>
    <n v="4509.1400000000003"/>
    <n v="-5490.86"/>
    <n v="-0.54908599999999996"/>
    <x v="0"/>
    <n v="4509.1400000000003"/>
    <x v="13"/>
  </r>
  <r>
    <s v="FIN-00782"/>
    <d v="2025-07-13T00:00:00"/>
    <x v="0"/>
    <x v="2"/>
    <x v="0"/>
    <x v="2"/>
    <s v="Multan"/>
    <s v="Peoplefirst"/>
    <x v="2"/>
    <n v="4000"/>
    <n v="3091.34"/>
    <n v="-908.65999999999985"/>
    <n v="-0.22716499999999995"/>
    <x v="0"/>
    <n v="-3091.34"/>
    <x v="6"/>
  </r>
  <r>
    <s v="FIN-00783"/>
    <d v="2026-06-23T00:00:00"/>
    <x v="1"/>
    <x v="3"/>
    <x v="12"/>
    <x v="4"/>
    <s v="Karachi"/>
    <s v="Peoplefirst"/>
    <x v="3"/>
    <n v="4761.8999999999996"/>
    <n v="15986.02"/>
    <n v="11224.12"/>
    <n v="2.3570675570675572"/>
    <x v="1"/>
    <n v="15986.02"/>
    <x v="13"/>
  </r>
  <r>
    <s v="FIN-00784"/>
    <d v="2026-01-29T00:00:00"/>
    <x v="0"/>
    <x v="1"/>
    <x v="6"/>
    <x v="4"/>
    <s v="Lahore"/>
    <s v="Buildcare"/>
    <x v="1"/>
    <n v="6715.38"/>
    <n v="1442.16"/>
    <n v="-5273.22"/>
    <n v="-0.78524521322695073"/>
    <x v="0"/>
    <n v="-1442.16"/>
    <x v="12"/>
  </r>
  <r>
    <s v="FIN-00785"/>
    <d v="2025-12-03T00:00:00"/>
    <x v="1"/>
    <x v="5"/>
    <x v="3"/>
    <x v="3"/>
    <s v="Faisalabad"/>
    <s v="Shipfast"/>
    <x v="1"/>
    <n v="15441.18"/>
    <n v="5570.06"/>
    <n v="-9871.119999999999"/>
    <n v="-0.63927238721393043"/>
    <x v="0"/>
    <n v="5570.06"/>
    <x v="11"/>
  </r>
  <r>
    <s v="FIN-00786"/>
    <d v="2025-08-02T00:00:00"/>
    <x v="1"/>
    <x v="3"/>
    <x v="3"/>
    <x v="3"/>
    <s v="Lahore"/>
    <s v="Softworks"/>
    <x v="2"/>
    <n v="10416.67"/>
    <n v="21030.3"/>
    <n v="10613.63"/>
    <n v="1.0189081539493907"/>
    <x v="1"/>
    <n v="21030.3"/>
    <x v="7"/>
  </r>
  <r>
    <s v="FIN-00787"/>
    <d v="2025-05-27T00:00:00"/>
    <x v="0"/>
    <x v="1"/>
    <x v="5"/>
    <x v="0"/>
    <s v="Karachi"/>
    <s v="Travellink"/>
    <x v="2"/>
    <n v="4642.8599999999997"/>
    <n v="11124.12"/>
    <n v="6481.2600000000011"/>
    <n v="1.3959628332536413"/>
    <x v="1"/>
    <n v="-11124.12"/>
    <x v="4"/>
  </r>
  <r>
    <s v="FIN-00788"/>
    <d v="2025-06-22T00:00:00"/>
    <x v="0"/>
    <x v="1"/>
    <x v="9"/>
    <x v="3"/>
    <s v="Lahore"/>
    <s v="Dataserve"/>
    <x v="1"/>
    <n v="5500"/>
    <n v="2078.4699999999998"/>
    <n v="-3421.53"/>
    <n v="-0.62209636363636367"/>
    <x v="0"/>
    <n v="-2078.4699999999998"/>
    <x v="5"/>
  </r>
  <r>
    <s v="FIN-00789"/>
    <d v="2025-07-04T00:00:00"/>
    <x v="1"/>
    <x v="0"/>
    <x v="12"/>
    <x v="3"/>
    <s v="Karachi"/>
    <s v="Markethub"/>
    <x v="2"/>
    <n v="7142.86"/>
    <n v="6614.44"/>
    <n v="-528.42000000000007"/>
    <n v="-7.3978770408491851E-2"/>
    <x v="0"/>
    <n v="6614.44"/>
    <x v="6"/>
  </r>
  <r>
    <s v="FIN-00790"/>
    <d v="2025-01-23T00:00:00"/>
    <x v="1"/>
    <x v="4"/>
    <x v="12"/>
    <x v="3"/>
    <s v="Lahore"/>
    <s v="Urban Facilities"/>
    <x v="3"/>
    <n v="9700"/>
    <n v="9801.24"/>
    <n v="101.23999999999978"/>
    <n v="1.0437113402061833E-2"/>
    <x v="1"/>
    <n v="9801.24"/>
    <x v="0"/>
  </r>
  <r>
    <s v="FIN-00791"/>
    <d v="2026-06-22T00:00:00"/>
    <x v="0"/>
    <x v="4"/>
    <x v="0"/>
    <x v="4"/>
    <s v="Multan"/>
    <s v="Cloudnet"/>
    <x v="3"/>
    <n v="3555.56"/>
    <n v="4243.3900000000003"/>
    <n v="687.83000000000038"/>
    <n v="0.19345194568506802"/>
    <x v="1"/>
    <n v="-4243.3900000000003"/>
    <x v="13"/>
  </r>
  <r>
    <s v="FIN-00792"/>
    <d v="2025-05-23T00:00:00"/>
    <x v="1"/>
    <x v="1"/>
    <x v="3"/>
    <x v="3"/>
    <s v="Faisalabad"/>
    <s v="Buildcare"/>
    <x v="4"/>
    <n v="9615.3799999999992"/>
    <n v="12926.55"/>
    <n v="3311.17"/>
    <n v="0.3443618452936858"/>
    <x v="1"/>
    <n v="12926.55"/>
    <x v="4"/>
  </r>
  <r>
    <s v="FIN-00793"/>
    <d v="2025-05-25T00:00:00"/>
    <x v="1"/>
    <x v="5"/>
    <x v="3"/>
    <x v="0"/>
    <s v="Multan"/>
    <s v="Buildcare"/>
    <x v="4"/>
    <n v="9615.3799999999992"/>
    <n v="21876.560000000001"/>
    <n v="12261.180000000002"/>
    <n v="1.2751633320783997"/>
    <x v="1"/>
    <n v="21876.560000000001"/>
    <x v="4"/>
  </r>
  <r>
    <s v="FIN-00794"/>
    <d v="2025-08-13T00:00:00"/>
    <x v="0"/>
    <x v="0"/>
    <x v="10"/>
    <x v="3"/>
    <s v="Faisalabad"/>
    <s v="Powergrid"/>
    <x v="2"/>
    <n v="5714.29"/>
    <n v="3044.86"/>
    <n v="-2669.43"/>
    <n v="-0.46714989963757525"/>
    <x v="0"/>
    <n v="-3044.86"/>
    <x v="7"/>
  </r>
  <r>
    <s v="FIN-00795"/>
    <d v="2025-02-25T00:00:00"/>
    <x v="0"/>
    <x v="5"/>
    <x v="9"/>
    <x v="0"/>
    <s v="Lahore"/>
    <s v="Softworks"/>
    <x v="4"/>
    <n v="7621.43"/>
    <n v="3155.15"/>
    <n v="-4466.2800000000007"/>
    <n v="-0.58601601011883608"/>
    <x v="0"/>
    <n v="-3155.15"/>
    <x v="1"/>
  </r>
  <r>
    <s v="FIN-00796"/>
    <d v="2025-11-06T00:00:00"/>
    <x v="0"/>
    <x v="4"/>
    <x v="7"/>
    <x v="2"/>
    <s v="Lahore"/>
    <s v="Travellink"/>
    <x v="1"/>
    <n v="7350"/>
    <n v="4359.12"/>
    <n v="-2990.88"/>
    <n v="-0.40692244897959184"/>
    <x v="0"/>
    <n v="-4359.12"/>
    <x v="10"/>
  </r>
  <r>
    <s v="FIN-00797"/>
    <d v="2025-07-29T00:00:00"/>
    <x v="0"/>
    <x v="3"/>
    <x v="0"/>
    <x v="3"/>
    <s v="Karachi"/>
    <s v="Shipfast"/>
    <x v="1"/>
    <n v="4000"/>
    <n v="6817.32"/>
    <n v="2817.3199999999997"/>
    <n v="0.7043299999999999"/>
    <x v="1"/>
    <n v="-6817.32"/>
    <x v="6"/>
  </r>
  <r>
    <s v="FIN-00798"/>
    <d v="2025-07-17T00:00:00"/>
    <x v="0"/>
    <x v="5"/>
    <x v="9"/>
    <x v="0"/>
    <s v="Islamabad"/>
    <s v="Powergrid"/>
    <x v="0"/>
    <n v="3437.5"/>
    <n v="6439.92"/>
    <n v="3002.42"/>
    <n v="0.87343127272727272"/>
    <x v="1"/>
    <n v="-6439.92"/>
    <x v="6"/>
  </r>
  <r>
    <s v="FIN-00799"/>
    <d v="2025-11-30T00:00:00"/>
    <x v="0"/>
    <x v="4"/>
    <x v="9"/>
    <x v="4"/>
    <s v="Karachi"/>
    <s v="Adsphere"/>
    <x v="3"/>
    <n v="11550"/>
    <n v="8793.33"/>
    <n v="-2756.67"/>
    <n v="-0.23867272727272729"/>
    <x v="0"/>
    <n v="-8793.33"/>
    <x v="10"/>
  </r>
  <r>
    <s v="FIN-00800"/>
    <d v="2026-06-22T00:00:00"/>
    <x v="1"/>
    <x v="6"/>
    <x v="12"/>
    <x v="4"/>
    <s v="Lahore"/>
    <s v="Powergrid"/>
    <x v="2"/>
    <n v="4761.8999999999996"/>
    <n v="14380.97"/>
    <n v="9619.07"/>
    <n v="2.02000672000672"/>
    <x v="1"/>
    <n v="14380.97"/>
    <x v="13"/>
  </r>
  <r>
    <s v="FIN-00801"/>
    <d v="2026-04-24T00:00:00"/>
    <x v="1"/>
    <x v="4"/>
    <x v="3"/>
    <x v="1"/>
    <s v="Peshawar"/>
    <s v="Adsphere"/>
    <x v="1"/>
    <n v="8333.33"/>
    <n v="5189.17"/>
    <n v="-3144.16"/>
    <n v="-0.37729935091974037"/>
    <x v="0"/>
    <n v="5189.17"/>
    <x v="15"/>
  </r>
  <r>
    <s v="FIN-00802"/>
    <d v="2025-09-06T00:00:00"/>
    <x v="1"/>
    <x v="6"/>
    <x v="3"/>
    <x v="0"/>
    <s v="Lahore"/>
    <s v="Peoplefirst"/>
    <x v="1"/>
    <n v="11904.76"/>
    <n v="11076.52"/>
    <n v="-828.23999999999978"/>
    <n v="-6.9572171131547358E-2"/>
    <x v="0"/>
    <n v="11076.52"/>
    <x v="8"/>
  </r>
  <r>
    <s v="FIN-00803"/>
    <d v="2025-02-22T00:00:00"/>
    <x v="1"/>
    <x v="2"/>
    <x v="2"/>
    <x v="3"/>
    <s v="Islamabad"/>
    <s v="Buildcare"/>
    <x v="0"/>
    <n v="4850"/>
    <n v="2795.79"/>
    <n v="-2054.21"/>
    <n v="-0.42354845360824744"/>
    <x v="0"/>
    <n v="2795.79"/>
    <x v="1"/>
  </r>
  <r>
    <s v="FIN-00804"/>
    <d v="2025-05-22T00:00:00"/>
    <x v="1"/>
    <x v="3"/>
    <x v="3"/>
    <x v="4"/>
    <s v="Karachi"/>
    <s v="Officepro"/>
    <x v="4"/>
    <n v="9615.3799999999992"/>
    <n v="11880.98"/>
    <n v="2265.6000000000004"/>
    <n v="0.23562251309880636"/>
    <x v="1"/>
    <n v="11880.98"/>
    <x v="4"/>
  </r>
  <r>
    <s v="FIN-00805"/>
    <d v="2025-06-22T00:00:00"/>
    <x v="0"/>
    <x v="2"/>
    <x v="11"/>
    <x v="2"/>
    <s v="Multan"/>
    <s v="Officepro"/>
    <x v="3"/>
    <n v="3666.67"/>
    <n v="2126.25"/>
    <n v="-1540.42"/>
    <n v="-0.42011416353257863"/>
    <x v="0"/>
    <n v="-2126.25"/>
    <x v="5"/>
  </r>
  <r>
    <s v="FIN-00806"/>
    <d v="2026-02-13T00:00:00"/>
    <x v="0"/>
    <x v="1"/>
    <x v="0"/>
    <x v="4"/>
    <s v="Islamabad"/>
    <s v="Legalworks"/>
    <x v="4"/>
    <n v="5173.33"/>
    <n v="1695.42"/>
    <n v="-3477.91"/>
    <n v="-0.67227685069384713"/>
    <x v="0"/>
    <n v="-1695.42"/>
    <x v="17"/>
  </r>
  <r>
    <s v="FIN-00807"/>
    <d v="2025-01-05T00:00:00"/>
    <x v="0"/>
    <x v="2"/>
    <x v="9"/>
    <x v="4"/>
    <s v="Islamabad"/>
    <s v="Markethub"/>
    <x v="0"/>
    <n v="3810.71"/>
    <n v="4570.2299999999996"/>
    <n v="759.51999999999953"/>
    <n v="0.1993119392449175"/>
    <x v="1"/>
    <n v="-4570.2299999999996"/>
    <x v="0"/>
  </r>
  <r>
    <s v="FIN-00808"/>
    <d v="2026-02-07T00:00:00"/>
    <x v="0"/>
    <x v="0"/>
    <x v="7"/>
    <x v="1"/>
    <s v="Islamabad"/>
    <s v="Legalworks"/>
    <x v="1"/>
    <n v="5658.33"/>
    <n v="1202.3399999999999"/>
    <n v="-4455.99"/>
    <n v="-0.78750974227378034"/>
    <x v="0"/>
    <n v="-1202.3399999999999"/>
    <x v="17"/>
  </r>
  <r>
    <s v="FIN-00809"/>
    <d v="2025-01-24T00:00:00"/>
    <x v="0"/>
    <x v="0"/>
    <x v="6"/>
    <x v="0"/>
    <s v="Karachi"/>
    <s v="Shipfast"/>
    <x v="3"/>
    <n v="7591.3"/>
    <n v="17208.23"/>
    <n v="9616.93"/>
    <n v="1.266835719837182"/>
    <x v="1"/>
    <n v="-17208.23"/>
    <x v="0"/>
  </r>
  <r>
    <s v="FIN-00810"/>
    <d v="2026-02-22T00:00:00"/>
    <x v="0"/>
    <x v="3"/>
    <x v="6"/>
    <x v="2"/>
    <s v="Karachi"/>
    <s v="Urban Facilities"/>
    <x v="4"/>
    <n v="9189.4699999999993"/>
    <n v="14393.41"/>
    <n v="5203.9400000000005"/>
    <n v="0.56629381237438081"/>
    <x v="1"/>
    <n v="-14393.41"/>
    <x v="17"/>
  </r>
  <r>
    <s v="FIN-00811"/>
    <d v="2026-01-15T00:00:00"/>
    <x v="0"/>
    <x v="0"/>
    <x v="0"/>
    <x v="0"/>
    <s v="Karachi"/>
    <s v="Softworks"/>
    <x v="3"/>
    <n v="3104"/>
    <n v="6822"/>
    <n v="3718"/>
    <n v="1.1978092783505154"/>
    <x v="1"/>
    <n v="-6822"/>
    <x v="12"/>
  </r>
  <r>
    <s v="FIN-00812"/>
    <d v="2025-09-08T00:00:00"/>
    <x v="0"/>
    <x v="0"/>
    <x v="9"/>
    <x v="4"/>
    <s v="Multan"/>
    <s v="Techsource"/>
    <x v="1"/>
    <n v="6111.11"/>
    <n v="7687.64"/>
    <n v="1576.5300000000007"/>
    <n v="0.25797768326866982"/>
    <x v="1"/>
    <n v="-7687.64"/>
    <x v="8"/>
  </r>
  <r>
    <s v="FIN-00813"/>
    <d v="2025-12-25T00:00:00"/>
    <x v="0"/>
    <x v="6"/>
    <x v="1"/>
    <x v="2"/>
    <s v="Lahore"/>
    <s v="Buildcare"/>
    <x v="2"/>
    <n v="2100"/>
    <n v="1650.97"/>
    <n v="-449.03"/>
    <n v="-0.2138238095238095"/>
    <x v="0"/>
    <n v="-1650.97"/>
    <x v="11"/>
  </r>
  <r>
    <s v="FIN-00814"/>
    <d v="2026-05-17T00:00:00"/>
    <x v="1"/>
    <x v="3"/>
    <x v="13"/>
    <x v="3"/>
    <s v="Faisalabad"/>
    <s v="Softworks"/>
    <x v="1"/>
    <n v="5000"/>
    <n v="2984.92"/>
    <n v="-2015.08"/>
    <n v="-0.40301599999999999"/>
    <x v="0"/>
    <n v="2984.92"/>
    <x v="16"/>
  </r>
  <r>
    <s v="FIN-00815"/>
    <d v="2026-03-02T00:00:00"/>
    <x v="0"/>
    <x v="5"/>
    <x v="6"/>
    <x v="3"/>
    <s v="Karachi"/>
    <s v="Adsphere"/>
    <x v="4"/>
    <n v="7200"/>
    <n v="13384.35"/>
    <n v="6184.35"/>
    <n v="0.85893750000000002"/>
    <x v="1"/>
    <n v="-13384.35"/>
    <x v="14"/>
  </r>
  <r>
    <s v="FIN-00816"/>
    <d v="2025-02-05T00:00:00"/>
    <x v="0"/>
    <x v="2"/>
    <x v="6"/>
    <x v="0"/>
    <s v="Karachi"/>
    <s v="Urban Facilities"/>
    <x v="1"/>
    <n v="11640"/>
    <n v="6689.88"/>
    <n v="-4950.12"/>
    <n v="-0.42526804123711337"/>
    <x v="0"/>
    <n v="-6689.88"/>
    <x v="1"/>
  </r>
  <r>
    <s v="FIN-00817"/>
    <d v="2025-01-08T00:00:00"/>
    <x v="1"/>
    <x v="1"/>
    <x v="3"/>
    <x v="4"/>
    <s v="Lahore"/>
    <s v="Legalworks"/>
    <x v="1"/>
    <n v="11022.73"/>
    <n v="17734.11"/>
    <n v="6711.380000000001"/>
    <n v="0.60886731326994326"/>
    <x v="1"/>
    <n v="17734.11"/>
    <x v="0"/>
  </r>
  <r>
    <s v="FIN-00818"/>
    <d v="2025-09-11T00:00:00"/>
    <x v="0"/>
    <x v="0"/>
    <x v="7"/>
    <x v="4"/>
    <s v="Peshawar"/>
    <s v="Officepro"/>
    <x v="4"/>
    <n v="3500"/>
    <n v="4472.3"/>
    <n v="972.30000000000018"/>
    <n v="0.27780000000000005"/>
    <x v="1"/>
    <n v="-4472.3"/>
    <x v="8"/>
  </r>
  <r>
    <s v="FIN-00819"/>
    <d v="2025-12-31T00:00:00"/>
    <x v="0"/>
    <x v="6"/>
    <x v="6"/>
    <x v="4"/>
    <s v="Multan"/>
    <s v="Cloudnet"/>
    <x v="1"/>
    <n v="7875"/>
    <n v="13211.89"/>
    <n v="5336.8899999999994"/>
    <n v="0.67770031746031734"/>
    <x v="1"/>
    <n v="-13211.89"/>
    <x v="11"/>
  </r>
  <r>
    <s v="FIN-00820"/>
    <d v="2025-02-16T00:00:00"/>
    <x v="1"/>
    <x v="3"/>
    <x v="3"/>
    <x v="4"/>
    <s v="Multan"/>
    <s v="Dataserve"/>
    <x v="1"/>
    <n v="13472.22"/>
    <n v="21409.77"/>
    <n v="7937.5500000000011"/>
    <n v="0.58917906625634098"/>
    <x v="1"/>
    <n v="21409.77"/>
    <x v="1"/>
  </r>
  <r>
    <s v="FIN-00821"/>
    <d v="2025-03-12T00:00:00"/>
    <x v="1"/>
    <x v="1"/>
    <x v="3"/>
    <x v="3"/>
    <s v="Lahore"/>
    <s v="Buildcare"/>
    <x v="4"/>
    <n v="8064.52"/>
    <n v="11179.19"/>
    <n v="3114.67"/>
    <n v="0.38621889461493059"/>
    <x v="1"/>
    <n v="11179.19"/>
    <x v="2"/>
  </r>
  <r>
    <s v="FIN-00822"/>
    <d v="2025-12-06T00:00:00"/>
    <x v="0"/>
    <x v="6"/>
    <x v="5"/>
    <x v="3"/>
    <s v="Lahore"/>
    <s v="Peoplefirst"/>
    <x v="3"/>
    <n v="5250"/>
    <n v="8629.27"/>
    <n v="3379.2700000000004"/>
    <n v="0.64367047619047624"/>
    <x v="1"/>
    <n v="-8629.27"/>
    <x v="11"/>
  </r>
  <r>
    <s v="FIN-00823"/>
    <d v="2025-04-19T00:00:00"/>
    <x v="0"/>
    <x v="1"/>
    <x v="10"/>
    <x v="3"/>
    <s v="Faisalabad"/>
    <s v="Buildcare"/>
    <x v="1"/>
    <n v="5714.29"/>
    <n v="4951.3"/>
    <n v="-762.98999999999978"/>
    <n v="-0.13352314985763758"/>
    <x v="0"/>
    <n v="-4951.3"/>
    <x v="3"/>
  </r>
  <r>
    <s v="FIN-00824"/>
    <d v="2025-07-07T00:00:00"/>
    <x v="1"/>
    <x v="1"/>
    <x v="3"/>
    <x v="3"/>
    <s v="Karachi"/>
    <s v="Legalworks"/>
    <x v="3"/>
    <n v="12500"/>
    <n v="21650.67"/>
    <n v="9150.6699999999983"/>
    <n v="0.73205359999999986"/>
    <x v="1"/>
    <n v="21650.67"/>
    <x v="6"/>
  </r>
  <r>
    <s v="FIN-00825"/>
    <d v="2025-08-11T00:00:00"/>
    <x v="0"/>
    <x v="2"/>
    <x v="10"/>
    <x v="4"/>
    <s v="Karachi"/>
    <s v="Buildcare"/>
    <x v="4"/>
    <n v="5714.29"/>
    <n v="1579.76"/>
    <n v="-4134.53"/>
    <n v="-0.7235422073433444"/>
    <x v="0"/>
    <n v="-1579.76"/>
    <x v="7"/>
  </r>
  <r>
    <s v="FIN-00826"/>
    <d v="2025-10-28T00:00:00"/>
    <x v="1"/>
    <x v="3"/>
    <x v="3"/>
    <x v="4"/>
    <s v="Multan"/>
    <s v="Techsource"/>
    <x v="1"/>
    <n v="8928.57"/>
    <n v="18411.11"/>
    <n v="9482.5400000000009"/>
    <n v="1.0620446499271441"/>
    <x v="1"/>
    <n v="18411.11"/>
    <x v="9"/>
  </r>
  <r>
    <s v="FIN-00827"/>
    <d v="2025-10-25T00:00:00"/>
    <x v="1"/>
    <x v="3"/>
    <x v="12"/>
    <x v="4"/>
    <s v="Peshawar"/>
    <s v="Officepro"/>
    <x v="5"/>
    <n v="7692.31"/>
    <n v="9416.23"/>
    <n v="1723.9199999999992"/>
    <n v="0.22410953276714005"/>
    <x v="1"/>
    <n v="9416.23"/>
    <x v="9"/>
  </r>
  <r>
    <s v="FIN-00828"/>
    <d v="2025-06-14T00:00:00"/>
    <x v="0"/>
    <x v="2"/>
    <x v="6"/>
    <x v="4"/>
    <s v="Karachi"/>
    <s v="Buildcare"/>
    <x v="4"/>
    <n v="6428.57"/>
    <n v="14706.19"/>
    <n v="8277.6200000000008"/>
    <n v="1.2876300639177922"/>
    <x v="1"/>
    <n v="-14706.19"/>
    <x v="5"/>
  </r>
  <r>
    <s v="FIN-00829"/>
    <d v="2025-12-04T00:00:00"/>
    <x v="0"/>
    <x v="6"/>
    <x v="11"/>
    <x v="3"/>
    <s v="Islamabad"/>
    <s v="Techsource"/>
    <x v="1"/>
    <n v="3300"/>
    <n v="966.04"/>
    <n v="-2333.96"/>
    <n v="-0.70726060606060603"/>
    <x v="0"/>
    <n v="-966.04"/>
    <x v="11"/>
  </r>
  <r>
    <s v="FIN-00830"/>
    <d v="2025-12-09T00:00:00"/>
    <x v="0"/>
    <x v="2"/>
    <x v="8"/>
    <x v="3"/>
    <s v="Faisalabad"/>
    <s v="Prime Supplies"/>
    <x v="4"/>
    <n v="4500"/>
    <n v="1415.36"/>
    <n v="-3084.6400000000003"/>
    <n v="-0.68547555555555562"/>
    <x v="0"/>
    <n v="-1415.36"/>
    <x v="11"/>
  </r>
  <r>
    <s v="FIN-00831"/>
    <d v="2025-12-22T00:00:00"/>
    <x v="0"/>
    <x v="2"/>
    <x v="6"/>
    <x v="4"/>
    <s v="Karachi"/>
    <s v="Techsource"/>
    <x v="1"/>
    <n v="7875"/>
    <n v="11605.57"/>
    <n v="3730.5699999999997"/>
    <n v="0.47372317460317459"/>
    <x v="1"/>
    <n v="-11605.57"/>
    <x v="11"/>
  </r>
  <r>
    <s v="FIN-00832"/>
    <d v="2026-05-28T00:00:00"/>
    <x v="1"/>
    <x v="1"/>
    <x v="12"/>
    <x v="3"/>
    <s v="Lahore"/>
    <s v="Prime Supplies"/>
    <x v="4"/>
    <n v="5882.35"/>
    <n v="12215.39"/>
    <n v="6333.0399999999991"/>
    <n v="1.076617338308669"/>
    <x v="1"/>
    <n v="12215.39"/>
    <x v="16"/>
  </r>
  <r>
    <s v="FIN-00833"/>
    <d v="2025-03-14T00:00:00"/>
    <x v="0"/>
    <x v="5"/>
    <x v="8"/>
    <x v="0"/>
    <s v="Karachi"/>
    <s v="Shipfast"/>
    <x v="2"/>
    <n v="3000"/>
    <n v="2993.34"/>
    <n v="-6.6599999999998545"/>
    <n v="-2.2199999999999516E-3"/>
    <x v="0"/>
    <n v="-2993.34"/>
    <x v="2"/>
  </r>
  <r>
    <s v="FIN-00834"/>
    <d v="2026-05-26T00:00:00"/>
    <x v="0"/>
    <x v="5"/>
    <x v="8"/>
    <x v="1"/>
    <s v="Karachi"/>
    <s v="Cloudnet"/>
    <x v="4"/>
    <n v="2727.27"/>
    <n v="1942.13"/>
    <n v="-785.13999999999987"/>
    <n v="-0.28788495455162116"/>
    <x v="0"/>
    <n v="-1942.13"/>
    <x v="16"/>
  </r>
  <r>
    <s v="FIN-00835"/>
    <d v="2025-12-15T00:00:00"/>
    <x v="0"/>
    <x v="4"/>
    <x v="5"/>
    <x v="0"/>
    <s v="Karachi"/>
    <s v="Legalworks"/>
    <x v="4"/>
    <n v="5250"/>
    <n v="6639.05"/>
    <n v="1389.0500000000002"/>
    <n v="0.26458095238095242"/>
    <x v="1"/>
    <n v="-6639.05"/>
    <x v="11"/>
  </r>
  <r>
    <s v="FIN-00836"/>
    <d v="2025-11-17T00:00:00"/>
    <x v="0"/>
    <x v="1"/>
    <x v="11"/>
    <x v="2"/>
    <s v="Peshawar"/>
    <s v="Peoplefirst"/>
    <x v="2"/>
    <n v="2310"/>
    <n v="1046.23"/>
    <n v="-1263.77"/>
    <n v="-0.54708658008658007"/>
    <x v="0"/>
    <n v="-1046.23"/>
    <x v="10"/>
  </r>
  <r>
    <s v="FIN-00837"/>
    <d v="2025-07-13T00:00:00"/>
    <x v="0"/>
    <x v="3"/>
    <x v="4"/>
    <x v="1"/>
    <s v="Lahore"/>
    <s v="Shipfast"/>
    <x v="1"/>
    <n v="4666.67"/>
    <n v="3131.93"/>
    <n v="-1534.7400000000002"/>
    <n v="-0.32887262223384128"/>
    <x v="0"/>
    <n v="-3131.93"/>
    <x v="6"/>
  </r>
  <r>
    <s v="FIN-00838"/>
    <d v="2026-02-01T00:00:00"/>
    <x v="1"/>
    <x v="4"/>
    <x v="12"/>
    <x v="3"/>
    <s v="Peshawar"/>
    <s v="Travellink"/>
    <x v="1"/>
    <n v="8083.33"/>
    <n v="4596.8100000000004"/>
    <n v="-3486.5199999999995"/>
    <n v="-0.43132223972051115"/>
    <x v="0"/>
    <n v="4596.8100000000004"/>
    <x v="17"/>
  </r>
  <r>
    <s v="FIN-00839"/>
    <d v="2025-07-06T00:00:00"/>
    <x v="0"/>
    <x v="6"/>
    <x v="6"/>
    <x v="4"/>
    <s v="Karachi"/>
    <s v="Buildcare"/>
    <x v="2"/>
    <n v="6923.08"/>
    <n v="11222.81"/>
    <n v="4299.7299999999996"/>
    <n v="0.6210718350791844"/>
    <x v="1"/>
    <n v="-11222.81"/>
    <x v="6"/>
  </r>
  <r>
    <s v="FIN-00840"/>
    <d v="2026-04-28T00:00:00"/>
    <x v="0"/>
    <x v="1"/>
    <x v="11"/>
    <x v="1"/>
    <s v="Islamabad"/>
    <s v="Powergrid"/>
    <x v="4"/>
    <n v="2750"/>
    <n v="3011.6"/>
    <n v="261.59999999999991"/>
    <n v="9.5127272727272699E-2"/>
    <x v="1"/>
    <n v="-3011.6"/>
    <x v="15"/>
  </r>
  <r>
    <s v="FIN-00841"/>
    <d v="2026-04-04T00:00:00"/>
    <x v="0"/>
    <x v="4"/>
    <x v="1"/>
    <x v="2"/>
    <s v="Karachi"/>
    <s v="Travellink"/>
    <x v="1"/>
    <n v="2250"/>
    <n v="791.93"/>
    <n v="-1458.0700000000002"/>
    <n v="-0.64803111111111122"/>
    <x v="0"/>
    <n v="-791.93"/>
    <x v="15"/>
  </r>
  <r>
    <s v="FIN-00842"/>
    <d v="2025-03-20T00:00:00"/>
    <x v="0"/>
    <x v="6"/>
    <x v="8"/>
    <x v="1"/>
    <s v="Karachi"/>
    <s v="Softworks"/>
    <x v="2"/>
    <n v="3000"/>
    <n v="6905.63"/>
    <n v="3905.63"/>
    <n v="1.3018766666666668"/>
    <x v="1"/>
    <n v="-6905.63"/>
    <x v="2"/>
  </r>
  <r>
    <s v="FIN-00843"/>
    <d v="2025-03-18T00:00:00"/>
    <x v="0"/>
    <x v="2"/>
    <x v="8"/>
    <x v="2"/>
    <s v="Karachi"/>
    <s v="Techsource"/>
    <x v="1"/>
    <n v="3000"/>
    <n v="4989.2700000000004"/>
    <n v="1989.2700000000004"/>
    <n v="0.66309000000000018"/>
    <x v="1"/>
    <n v="-4989.2700000000004"/>
    <x v="2"/>
  </r>
  <r>
    <s v="FIN-00844"/>
    <d v="2026-06-09T00:00:00"/>
    <x v="1"/>
    <x v="4"/>
    <x v="12"/>
    <x v="3"/>
    <s v="Karachi"/>
    <s v="Officepro"/>
    <x v="1"/>
    <n v="4761.8999999999996"/>
    <n v="8470.61"/>
    <n v="3708.7100000000009"/>
    <n v="0.77882987882987909"/>
    <x v="1"/>
    <n v="8470.61"/>
    <x v="13"/>
  </r>
  <r>
    <s v="FIN-00845"/>
    <d v="2025-01-16T00:00:00"/>
    <x v="0"/>
    <x v="4"/>
    <x v="4"/>
    <x v="0"/>
    <s v="Karachi"/>
    <s v="Softworks"/>
    <x v="1"/>
    <n v="13580"/>
    <n v="2811.65"/>
    <n v="-10768.35"/>
    <n v="-0.79295655375552287"/>
    <x v="0"/>
    <n v="-2811.65"/>
    <x v="0"/>
  </r>
  <r>
    <s v="FIN-00846"/>
    <d v="2026-06-13T00:00:00"/>
    <x v="0"/>
    <x v="0"/>
    <x v="0"/>
    <x v="3"/>
    <s v="Faisalabad"/>
    <s v="Techsource"/>
    <x v="4"/>
    <n v="3555.56"/>
    <n v="2323.15"/>
    <n v="-1232.4099999999999"/>
    <n v="-0.34661487923140094"/>
    <x v="0"/>
    <n v="-2323.15"/>
    <x v="13"/>
  </r>
  <r>
    <s v="FIN-00847"/>
    <d v="2025-09-23T00:00:00"/>
    <x v="0"/>
    <x v="6"/>
    <x v="9"/>
    <x v="0"/>
    <s v="Lahore"/>
    <s v="Dataserve"/>
    <x v="4"/>
    <n v="6111.11"/>
    <n v="4342.7700000000004"/>
    <n v="-1768.3399999999992"/>
    <n v="-0.28936477988450532"/>
    <x v="0"/>
    <n v="-4342.7700000000004"/>
    <x v="8"/>
  </r>
  <r>
    <s v="FIN-00848"/>
    <d v="2026-03-30T00:00:00"/>
    <x v="0"/>
    <x v="0"/>
    <x v="9"/>
    <x v="2"/>
    <s v="Islamabad"/>
    <s v="Travellink"/>
    <x v="1"/>
    <n v="5000"/>
    <n v="3611.77"/>
    <n v="-1388.23"/>
    <n v="-0.277646"/>
    <x v="0"/>
    <n v="-3611.77"/>
    <x v="14"/>
  </r>
  <r>
    <s v="FIN-00849"/>
    <d v="2025-11-12T00:00:00"/>
    <x v="0"/>
    <x v="0"/>
    <x v="4"/>
    <x v="1"/>
    <s v="Karachi"/>
    <s v="Peoplefirst"/>
    <x v="4"/>
    <n v="4900"/>
    <n v="2673.23"/>
    <n v="-2226.77"/>
    <n v="-0.45444285714285715"/>
    <x v="0"/>
    <n v="-2673.23"/>
    <x v="10"/>
  </r>
  <r>
    <s v="FIN-00850"/>
    <d v="2025-02-10T00:00:00"/>
    <x v="0"/>
    <x v="6"/>
    <x v="11"/>
    <x v="4"/>
    <s v="Lahore"/>
    <s v="Markethub"/>
    <x v="1"/>
    <n v="5335"/>
    <n v="3136.23"/>
    <n v="-2198.77"/>
    <n v="-0.41214058106841611"/>
    <x v="0"/>
    <n v="-3136.23"/>
    <x v="1"/>
  </r>
  <r>
    <s v="FIN-00851"/>
    <d v="2025-09-24T00:00:00"/>
    <x v="0"/>
    <x v="2"/>
    <x v="4"/>
    <x v="1"/>
    <s v="Lahore"/>
    <s v="Buildcare"/>
    <x v="2"/>
    <n v="3500"/>
    <n v="3106.6"/>
    <n v="-393.40000000000009"/>
    <n v="-0.11240000000000003"/>
    <x v="0"/>
    <n v="-3106.6"/>
    <x v="8"/>
  </r>
  <r>
    <s v="FIN-00852"/>
    <d v="2026-01-07T00:00:00"/>
    <x v="0"/>
    <x v="2"/>
    <x v="6"/>
    <x v="4"/>
    <s v="Lahore"/>
    <s v="Buildcare"/>
    <x v="1"/>
    <n v="6715.38"/>
    <n v="6615.07"/>
    <n v="-100.3100000000004"/>
    <n v="-1.4937352763358202E-2"/>
    <x v="0"/>
    <n v="-6615.07"/>
    <x v="12"/>
  </r>
  <r>
    <s v="FIN-00853"/>
    <d v="2026-02-25T00:00:00"/>
    <x v="1"/>
    <x v="1"/>
    <x v="3"/>
    <x v="0"/>
    <s v="Lahore"/>
    <s v="Peoplefirst"/>
    <x v="1"/>
    <n v="12125"/>
    <n v="16592.71"/>
    <n v="4467.7099999999991"/>
    <n v="0.36847092783505148"/>
    <x v="1"/>
    <n v="16592.71"/>
    <x v="17"/>
  </r>
  <r>
    <s v="FIN-00854"/>
    <d v="2026-02-24T00:00:00"/>
    <x v="0"/>
    <x v="1"/>
    <x v="6"/>
    <x v="1"/>
    <s v="Lahore"/>
    <s v="Shipfast"/>
    <x v="3"/>
    <n v="9189.4699999999993"/>
    <n v="11463.5"/>
    <n v="2274.0300000000007"/>
    <n v="0.24746040848928183"/>
    <x v="1"/>
    <n v="-11463.5"/>
    <x v="17"/>
  </r>
  <r>
    <s v="FIN-00855"/>
    <d v="2025-03-08T00:00:00"/>
    <x v="0"/>
    <x v="4"/>
    <x v="1"/>
    <x v="3"/>
    <s v="Peshawar"/>
    <s v="Cloudnet"/>
    <x v="2"/>
    <n v="3000"/>
    <n v="147.85"/>
    <n v="-2852.15"/>
    <n v="-0.95071666666666665"/>
    <x v="0"/>
    <n v="-147.85"/>
    <x v="2"/>
  </r>
  <r>
    <s v="FIN-00856"/>
    <d v="2026-02-01T00:00:00"/>
    <x v="0"/>
    <x v="2"/>
    <x v="5"/>
    <x v="4"/>
    <s v="Karachi"/>
    <s v="Markethub"/>
    <x v="4"/>
    <n v="6305"/>
    <n v="8211.57"/>
    <n v="1906.5699999999997"/>
    <n v="0.30239016653449641"/>
    <x v="1"/>
    <n v="-8211.57"/>
    <x v="17"/>
  </r>
  <r>
    <s v="FIN-00857"/>
    <d v="2025-11-14T00:00:00"/>
    <x v="0"/>
    <x v="2"/>
    <x v="10"/>
    <x v="2"/>
    <s v="Karachi"/>
    <s v="Cloudnet"/>
    <x v="4"/>
    <n v="4666.67"/>
    <n v="4298.99"/>
    <n v="-367.68000000000029"/>
    <n v="-7.8788515151060667E-2"/>
    <x v="0"/>
    <n v="-4298.99"/>
    <x v="10"/>
  </r>
  <r>
    <s v="FIN-00858"/>
    <d v="2026-03-11T00:00:00"/>
    <x v="1"/>
    <x v="3"/>
    <x v="3"/>
    <x v="0"/>
    <s v="Karachi"/>
    <s v="Cloudnet"/>
    <x v="4"/>
    <n v="11363.64"/>
    <n v="5748.74"/>
    <n v="-5614.9"/>
    <n v="-0.49411104188446658"/>
    <x v="0"/>
    <n v="5748.74"/>
    <x v="14"/>
  </r>
  <r>
    <s v="FIN-00859"/>
    <d v="2025-09-11T00:00:00"/>
    <x v="1"/>
    <x v="3"/>
    <x v="12"/>
    <x v="3"/>
    <s v="Islamabad"/>
    <s v="Legalworks"/>
    <x v="3"/>
    <n v="7142.86"/>
    <n v="11849.97"/>
    <n v="4707.1099999999997"/>
    <n v="0.6589951364019454"/>
    <x v="1"/>
    <n v="11849.97"/>
    <x v="8"/>
  </r>
  <r>
    <s v="FIN-00860"/>
    <d v="2025-06-24T00:00:00"/>
    <x v="1"/>
    <x v="4"/>
    <x v="3"/>
    <x v="2"/>
    <s v="Islamabad"/>
    <s v="Buildcare"/>
    <x v="1"/>
    <n v="9615.3799999999992"/>
    <n v="1040.8900000000001"/>
    <n v="-8574.49"/>
    <n v="-0.89174738803874631"/>
    <x v="0"/>
    <n v="1040.8900000000001"/>
    <x v="5"/>
  </r>
  <r>
    <s v="FIN-00861"/>
    <d v="2026-06-13T00:00:00"/>
    <x v="0"/>
    <x v="1"/>
    <x v="1"/>
    <x v="0"/>
    <s v="Lahore"/>
    <s v="Techsource"/>
    <x v="1"/>
    <n v="3000"/>
    <n v="1690.29"/>
    <n v="-1309.71"/>
    <n v="-0.43657000000000001"/>
    <x v="0"/>
    <n v="-1690.29"/>
    <x v="13"/>
  </r>
  <r>
    <s v="FIN-00862"/>
    <d v="2026-03-11T00:00:00"/>
    <x v="0"/>
    <x v="2"/>
    <x v="11"/>
    <x v="4"/>
    <s v="Karachi"/>
    <s v="Peoplefirst"/>
    <x v="1"/>
    <n v="1833.33"/>
    <n v="442.26"/>
    <n v="-1391.07"/>
    <n v="-0.75876683412151658"/>
    <x v="0"/>
    <n v="-442.26"/>
    <x v="14"/>
  </r>
  <r>
    <s v="FIN-00863"/>
    <d v="2026-03-31T00:00:00"/>
    <x v="1"/>
    <x v="1"/>
    <x v="12"/>
    <x v="3"/>
    <s v="Islamabad"/>
    <s v="Prime Supplies"/>
    <x v="5"/>
    <n v="10000"/>
    <n v="6800.93"/>
    <n v="-3199.0699999999997"/>
    <n v="-0.319907"/>
    <x v="0"/>
    <n v="6800.93"/>
    <x v="14"/>
  </r>
  <r>
    <s v="FIN-00864"/>
    <d v="2025-02-09T00:00:00"/>
    <x v="0"/>
    <x v="1"/>
    <x v="5"/>
    <x v="2"/>
    <s v="Faisalabad"/>
    <s v="Legalworks"/>
    <x v="3"/>
    <n v="10508.33"/>
    <n v="11879.73"/>
    <n v="1371.3999999999996"/>
    <n v="0.13050598905820426"/>
    <x v="1"/>
    <n v="-11879.73"/>
    <x v="1"/>
  </r>
  <r>
    <s v="FIN-00865"/>
    <d v="2025-11-09T00:00:00"/>
    <x v="0"/>
    <x v="1"/>
    <x v="5"/>
    <x v="3"/>
    <s v="Karachi"/>
    <s v="Peoplefirst"/>
    <x v="3"/>
    <n v="17062.5"/>
    <n v="5818.56"/>
    <n v="-11243.939999999999"/>
    <n v="-0.65898549450549437"/>
    <x v="0"/>
    <n v="-5818.56"/>
    <x v="10"/>
  </r>
  <r>
    <s v="FIN-00866"/>
    <d v="2025-11-28T00:00:00"/>
    <x v="0"/>
    <x v="5"/>
    <x v="1"/>
    <x v="4"/>
    <s v="Karachi"/>
    <s v="Softworks"/>
    <x v="2"/>
    <n v="1890"/>
    <n v="634.24"/>
    <n v="-1255.76"/>
    <n v="-0.66442328042328047"/>
    <x v="0"/>
    <n v="-634.24"/>
    <x v="10"/>
  </r>
  <r>
    <s v="FIN-00867"/>
    <d v="2025-03-01T00:00:00"/>
    <x v="0"/>
    <x v="0"/>
    <x v="6"/>
    <x v="3"/>
    <s v="Islamabad"/>
    <s v="Powergrid"/>
    <x v="3"/>
    <n v="6000"/>
    <n v="10671.14"/>
    <n v="4671.1399999999994"/>
    <n v="0.77852333333333323"/>
    <x v="1"/>
    <n v="-10671.14"/>
    <x v="2"/>
  </r>
  <r>
    <s v="FIN-00868"/>
    <d v="2025-01-11T00:00:00"/>
    <x v="0"/>
    <x v="2"/>
    <x v="6"/>
    <x v="3"/>
    <s v="Lahore"/>
    <s v="Prime Supplies"/>
    <x v="3"/>
    <n v="7591.3"/>
    <n v="12981.37"/>
    <n v="5390.0700000000006"/>
    <n v="0.71003253724658499"/>
    <x v="1"/>
    <n v="-12981.37"/>
    <x v="0"/>
  </r>
  <r>
    <s v="FIN-00869"/>
    <d v="2026-06-09T00:00:00"/>
    <x v="0"/>
    <x v="0"/>
    <x v="5"/>
    <x v="0"/>
    <s v="Lahore"/>
    <s v="Travellink"/>
    <x v="2"/>
    <n v="5416.67"/>
    <n v="9295.4500000000007"/>
    <n v="3878.7800000000007"/>
    <n v="0.71608202087260264"/>
    <x v="1"/>
    <n v="-9295.4500000000007"/>
    <x v="13"/>
  </r>
  <r>
    <s v="FIN-00870"/>
    <d v="2025-07-27T00:00:00"/>
    <x v="0"/>
    <x v="5"/>
    <x v="5"/>
    <x v="3"/>
    <s v="Karachi"/>
    <s v="Officepro"/>
    <x v="2"/>
    <n v="5909.09"/>
    <n v="5237.9799999999996"/>
    <n v="-671.11000000000058"/>
    <n v="-0.11357247901115071"/>
    <x v="0"/>
    <n v="-5237.9799999999996"/>
    <x v="6"/>
  </r>
  <r>
    <s v="FIN-00871"/>
    <d v="2025-06-09T00:00:00"/>
    <x v="1"/>
    <x v="3"/>
    <x v="12"/>
    <x v="3"/>
    <s v="Lahore"/>
    <s v="Travellink"/>
    <x v="1"/>
    <n v="6250"/>
    <n v="2178.2199999999998"/>
    <n v="-4071.78"/>
    <n v="-0.65148480000000009"/>
    <x v="0"/>
    <n v="2178.2199999999998"/>
    <x v="5"/>
  </r>
  <r>
    <s v="FIN-00872"/>
    <d v="2025-10-14T00:00:00"/>
    <x v="0"/>
    <x v="2"/>
    <x v="8"/>
    <x v="0"/>
    <s v="Lahore"/>
    <s v="Shipfast"/>
    <x v="1"/>
    <n v="5000"/>
    <n v="2365.6999999999998"/>
    <n v="-2634.3"/>
    <n v="-0.52685999999999999"/>
    <x v="0"/>
    <n v="-2365.6999999999998"/>
    <x v="9"/>
  </r>
  <r>
    <s v="FIN-00873"/>
    <d v="2026-01-20T00:00:00"/>
    <x v="1"/>
    <x v="5"/>
    <x v="2"/>
    <x v="0"/>
    <s v="Karachi"/>
    <s v="Dataserve"/>
    <x v="0"/>
    <n v="8622.2199999999993"/>
    <n v="7753.63"/>
    <n v="-868.58999999999924"/>
    <n v="-0.10073855689138056"/>
    <x v="0"/>
    <n v="7753.63"/>
    <x v="12"/>
  </r>
  <r>
    <s v="FIN-00874"/>
    <d v="2026-06-28T00:00:00"/>
    <x v="0"/>
    <x v="3"/>
    <x v="11"/>
    <x v="4"/>
    <s v="Karachi"/>
    <s v="Powergrid"/>
    <x v="1"/>
    <n v="3142.86"/>
    <n v="219.69"/>
    <n v="-2923.17"/>
    <n v="-0.93009869991027283"/>
    <x v="0"/>
    <n v="-219.69"/>
    <x v="13"/>
  </r>
  <r>
    <s v="FIN-00875"/>
    <d v="2026-02-21T00:00:00"/>
    <x v="0"/>
    <x v="1"/>
    <x v="8"/>
    <x v="2"/>
    <s v="Multan"/>
    <s v="Prime Supplies"/>
    <x v="0"/>
    <n v="2910"/>
    <n v="6012.07"/>
    <n v="3102.0699999999997"/>
    <n v="1.0660034364261168"/>
    <x v="1"/>
    <n v="-6012.07"/>
    <x v="17"/>
  </r>
  <r>
    <s v="FIN-00876"/>
    <d v="2025-08-07T00:00:00"/>
    <x v="0"/>
    <x v="6"/>
    <x v="11"/>
    <x v="2"/>
    <s v="Faisalabad"/>
    <s v="Softworks"/>
    <x v="1"/>
    <n v="3666.67"/>
    <n v="3582.62"/>
    <n v="-84.050000000000182"/>
    <n v="-2.2922706433903289E-2"/>
    <x v="0"/>
    <n v="-3582.62"/>
    <x v="7"/>
  </r>
  <r>
    <s v="FIN-00877"/>
    <d v="2025-05-19T00:00:00"/>
    <x v="0"/>
    <x v="1"/>
    <x v="6"/>
    <x v="1"/>
    <s v="Karachi"/>
    <s v="Techsource"/>
    <x v="2"/>
    <n v="0"/>
    <n v="894.62"/>
    <n v="894.62"/>
    <n v="0"/>
    <x v="2"/>
    <n v="-894.62"/>
    <x v="4"/>
  </r>
  <r>
    <s v="FIN-00878"/>
    <d v="2025-10-05T00:00:00"/>
    <x v="1"/>
    <x v="4"/>
    <x v="3"/>
    <x v="0"/>
    <s v="Karachi"/>
    <s v="Travellink"/>
    <x v="4"/>
    <n v="8928.57"/>
    <n v="24673.11"/>
    <n v="15744.54"/>
    <n v="1.7633887621422022"/>
    <x v="1"/>
    <n v="24673.11"/>
    <x v="9"/>
  </r>
  <r>
    <s v="FIN-00879"/>
    <d v="2025-11-21T00:00:00"/>
    <x v="0"/>
    <x v="2"/>
    <x v="11"/>
    <x v="0"/>
    <s v="Karachi"/>
    <s v="Officepro"/>
    <x v="1"/>
    <n v="2310"/>
    <n v="2526.0300000000002"/>
    <n v="216.0300000000002"/>
    <n v="9.3519480519480599E-2"/>
    <x v="1"/>
    <n v="-2526.0300000000002"/>
    <x v="10"/>
  </r>
  <r>
    <s v="FIN-00880"/>
    <d v="2025-05-26T00:00:00"/>
    <x v="1"/>
    <x v="2"/>
    <x v="3"/>
    <x v="1"/>
    <s v="Multan"/>
    <s v="Cloudnet"/>
    <x v="2"/>
    <n v="9615.3799999999992"/>
    <n v="2926.28"/>
    <n v="-6689.0999999999985"/>
    <n v="-0.6956667339200322"/>
    <x v="0"/>
    <n v="2926.28"/>
    <x v="4"/>
  </r>
  <r>
    <s v="FIN-00881"/>
    <d v="2025-03-03T00:00:00"/>
    <x v="1"/>
    <x v="3"/>
    <x v="3"/>
    <x v="0"/>
    <s v="Karachi"/>
    <s v="Peoplefirst"/>
    <x v="4"/>
    <n v="8064.52"/>
    <n v="24064.15"/>
    <n v="15999.630000000001"/>
    <n v="1.9839531677024795"/>
    <x v="1"/>
    <n v="24064.15"/>
    <x v="2"/>
  </r>
  <r>
    <s v="FIN-00882"/>
    <d v="2025-08-16T00:00:00"/>
    <x v="1"/>
    <x v="3"/>
    <x v="13"/>
    <x v="2"/>
    <s v="Karachi"/>
    <s v="Legalworks"/>
    <x v="4"/>
    <n v="6666.67"/>
    <n v="1908.8"/>
    <n v="-4757.87"/>
    <n v="-0.71368014315992845"/>
    <x v="0"/>
    <n v="1908.8"/>
    <x v="7"/>
  </r>
  <r>
    <s v="FIN-00883"/>
    <d v="2025-06-22T00:00:00"/>
    <x v="1"/>
    <x v="3"/>
    <x v="12"/>
    <x v="4"/>
    <s v="Karachi"/>
    <s v="Dataserve"/>
    <x v="1"/>
    <n v="6250"/>
    <n v="3484.39"/>
    <n v="-2765.61"/>
    <n v="-0.44249760000000005"/>
    <x v="0"/>
    <n v="3484.39"/>
    <x v="5"/>
  </r>
  <r>
    <s v="FIN-00884"/>
    <d v="2025-07-29T00:00:00"/>
    <x v="0"/>
    <x v="1"/>
    <x v="5"/>
    <x v="3"/>
    <s v="Islamabad"/>
    <s v="Travellink"/>
    <x v="1"/>
    <n v="5909.09"/>
    <n v="6556.65"/>
    <n v="647.55999999999949"/>
    <n v="0.10958709378262972"/>
    <x v="1"/>
    <n v="-6556.65"/>
    <x v="6"/>
  </r>
  <r>
    <s v="FIN-00885"/>
    <d v="2025-12-01T00:00:00"/>
    <x v="0"/>
    <x v="5"/>
    <x v="8"/>
    <x v="0"/>
    <s v="Karachi"/>
    <s v="Powergrid"/>
    <x v="2"/>
    <n v="4500"/>
    <n v="2208.06"/>
    <n v="-2291.94"/>
    <n v="-0.50931999999999999"/>
    <x v="0"/>
    <n v="-2208.06"/>
    <x v="11"/>
  </r>
  <r>
    <s v="FIN-00886"/>
    <d v="2026-02-19T00:00:00"/>
    <x v="0"/>
    <x v="2"/>
    <x v="8"/>
    <x v="1"/>
    <s v="Faisalabad"/>
    <s v="Dataserve"/>
    <x v="1"/>
    <n v="2910"/>
    <n v="5244.37"/>
    <n v="2334.37"/>
    <n v="0.80218900343642607"/>
    <x v="1"/>
    <n v="-5244.37"/>
    <x v="17"/>
  </r>
  <r>
    <s v="FIN-00887"/>
    <d v="2025-03-05T00:00:00"/>
    <x v="1"/>
    <x v="4"/>
    <x v="3"/>
    <x v="1"/>
    <s v="Islamabad"/>
    <s v="Adsphere"/>
    <x v="1"/>
    <n v="8064.52"/>
    <n v="20988.98"/>
    <n v="12924.46"/>
    <n v="1.6026322707365099"/>
    <x v="1"/>
    <n v="20988.98"/>
    <x v="2"/>
  </r>
  <r>
    <s v="FIN-00888"/>
    <d v="2025-12-04T00:00:00"/>
    <x v="1"/>
    <x v="3"/>
    <x v="3"/>
    <x v="4"/>
    <s v="Lahore"/>
    <s v="Legalworks"/>
    <x v="1"/>
    <n v="15441.18"/>
    <n v="8750.76"/>
    <n v="-6690.42"/>
    <n v="-0.43328424382074426"/>
    <x v="0"/>
    <n v="8750.76"/>
    <x v="11"/>
  </r>
  <r>
    <s v="FIN-00889"/>
    <d v="2026-03-12T00:00:00"/>
    <x v="1"/>
    <x v="4"/>
    <x v="12"/>
    <x v="4"/>
    <s v="Peshawar"/>
    <s v="Powergrid"/>
    <x v="3"/>
    <n v="10000"/>
    <n v="6405.9"/>
    <n v="-3594.1000000000004"/>
    <n v="-0.35941000000000006"/>
    <x v="0"/>
    <n v="6405.9"/>
    <x v="14"/>
  </r>
  <r>
    <s v="FIN-00890"/>
    <d v="2026-01-20T00:00:00"/>
    <x v="0"/>
    <x v="1"/>
    <x v="8"/>
    <x v="3"/>
    <s v="Karachi"/>
    <s v="Markethub"/>
    <x v="3"/>
    <n v="3637.5"/>
    <n v="3370.33"/>
    <n v="-267.17000000000007"/>
    <n v="-7.3448797250859121E-2"/>
    <x v="0"/>
    <n v="-3370.33"/>
    <x v="12"/>
  </r>
  <r>
    <s v="FIN-00891"/>
    <d v="2026-02-21T00:00:00"/>
    <x v="1"/>
    <x v="0"/>
    <x v="13"/>
    <x v="0"/>
    <s v="Karachi"/>
    <s v="Travellink"/>
    <x v="4"/>
    <n v="3880"/>
    <n v="1525.1"/>
    <n v="-2354.9"/>
    <n v="-0.60693298969072162"/>
    <x v="0"/>
    <n v="1525.1"/>
    <x v="17"/>
  </r>
  <r>
    <s v="FIN-00892"/>
    <d v="2026-04-06T00:00:00"/>
    <x v="1"/>
    <x v="2"/>
    <x v="3"/>
    <x v="2"/>
    <s v="Karachi"/>
    <s v="Dataserve"/>
    <x v="3"/>
    <n v="8333.33"/>
    <n v="3609.5"/>
    <n v="-4723.83"/>
    <n v="-0.56685982674393065"/>
    <x v="0"/>
    <n v="3609.5"/>
    <x v="15"/>
  </r>
  <r>
    <s v="FIN-00893"/>
    <d v="2025-11-06T00:00:00"/>
    <x v="1"/>
    <x v="3"/>
    <x v="12"/>
    <x v="1"/>
    <s v="Faisalabad"/>
    <s v="Adsphere"/>
    <x v="1"/>
    <n v="9545.4500000000007"/>
    <n v="7885.34"/>
    <n v="-1660.1100000000006"/>
    <n v="-0.17391636853160411"/>
    <x v="0"/>
    <n v="7885.34"/>
    <x v="10"/>
  </r>
  <r>
    <s v="FIN-00894"/>
    <d v="2026-03-09T00:00:00"/>
    <x v="0"/>
    <x v="1"/>
    <x v="9"/>
    <x v="3"/>
    <s v="Lahore"/>
    <s v="Dataserve"/>
    <x v="0"/>
    <n v="5000"/>
    <n v="6636.2"/>
    <n v="1636.1999999999998"/>
    <n v="0.32723999999999998"/>
    <x v="1"/>
    <n v="-6636.2"/>
    <x v="14"/>
  </r>
  <r>
    <s v="FIN-00895"/>
    <d v="2025-01-16T00:00:00"/>
    <x v="0"/>
    <x v="0"/>
    <x v="8"/>
    <x v="0"/>
    <s v="Karachi"/>
    <s v="Urban Facilities"/>
    <x v="1"/>
    <n v="3637.5"/>
    <n v="6918.56"/>
    <n v="3281.0600000000004"/>
    <n v="0.90200962199312729"/>
    <x v="1"/>
    <n v="-6918.56"/>
    <x v="0"/>
  </r>
  <r>
    <s v="FIN-00896"/>
    <d v="2026-06-26T00:00:00"/>
    <x v="0"/>
    <x v="1"/>
    <x v="7"/>
    <x v="2"/>
    <s v="Islamabad"/>
    <s v="Shipfast"/>
    <x v="1"/>
    <n v="5000"/>
    <n v="4665.3999999999996"/>
    <n v="-334.60000000000036"/>
    <n v="-6.6920000000000077E-2"/>
    <x v="0"/>
    <n v="-4665.3999999999996"/>
    <x v="13"/>
  </r>
  <r>
    <s v="FIN-00897"/>
    <d v="2025-09-25T00:00:00"/>
    <x v="1"/>
    <x v="4"/>
    <x v="12"/>
    <x v="3"/>
    <s v="Karachi"/>
    <s v="Shipfast"/>
    <x v="1"/>
    <n v="7142.86"/>
    <n v="13370.29"/>
    <n v="6227.4300000000012"/>
    <n v="0.87183985126405972"/>
    <x v="1"/>
    <n v="13370.29"/>
    <x v="8"/>
  </r>
  <r>
    <s v="FIN-00898"/>
    <d v="2025-07-16T00:00:00"/>
    <x v="0"/>
    <x v="2"/>
    <x v="10"/>
    <x v="2"/>
    <s v="Islamabad"/>
    <s v="Officepro"/>
    <x v="4"/>
    <n v="3333.33"/>
    <n v="1664.29"/>
    <n v="-1669.04"/>
    <n v="-0.50071250071250073"/>
    <x v="0"/>
    <n v="-1664.29"/>
    <x v="6"/>
  </r>
  <r>
    <s v="FIN-00899"/>
    <d v="2025-05-05T00:00:00"/>
    <x v="0"/>
    <x v="2"/>
    <x v="9"/>
    <x v="3"/>
    <s v="Lahore"/>
    <s v="Officepro"/>
    <x v="1"/>
    <n v="5500"/>
    <n v="1717.73"/>
    <n v="-3782.27"/>
    <n v="-0.68768545454545449"/>
    <x v="0"/>
    <n v="-1717.73"/>
    <x v="4"/>
  </r>
  <r>
    <s v="FIN-00900"/>
    <d v="2026-01-13T00:00:00"/>
    <x v="0"/>
    <x v="1"/>
    <x v="8"/>
    <x v="0"/>
    <s v="Islamabad"/>
    <s v="Shipfast"/>
    <x v="3"/>
    <n v="3637.5"/>
    <n v="1480.03"/>
    <n v="-2157.4700000000003"/>
    <n v="-0.59311890034364267"/>
    <x v="0"/>
    <n v="-1480.03"/>
    <x v="12"/>
  </r>
  <r>
    <s v="FIN-00901"/>
    <d v="2025-02-19T00:00:00"/>
    <x v="1"/>
    <x v="1"/>
    <x v="3"/>
    <x v="2"/>
    <s v="Lahore"/>
    <s v="Travellink"/>
    <x v="1"/>
    <n v="13472.22"/>
    <n v="15320.04"/>
    <n v="1847.8200000000015"/>
    <n v="0.13715779581984272"/>
    <x v="1"/>
    <n v="15320.04"/>
    <x v="1"/>
  </r>
  <r>
    <s v="FIN-00902"/>
    <d v="2026-05-05T00:00:00"/>
    <x v="0"/>
    <x v="1"/>
    <x v="7"/>
    <x v="3"/>
    <s v="Faisalabad"/>
    <s v="Adsphere"/>
    <x v="1"/>
    <n v="2692.31"/>
    <n v="3327.84"/>
    <n v="635.5300000000002"/>
    <n v="0.2360537976681735"/>
    <x v="1"/>
    <n v="-3327.84"/>
    <x v="16"/>
  </r>
  <r>
    <s v="FIN-00903"/>
    <d v="2026-05-13T00:00:00"/>
    <x v="0"/>
    <x v="4"/>
    <x v="9"/>
    <x v="4"/>
    <s v="Lahore"/>
    <s v="Markethub"/>
    <x v="1"/>
    <n v="7857.14"/>
    <n v="2160.52"/>
    <n v="-5696.6200000000008"/>
    <n v="-0.72502462728168271"/>
    <x v="0"/>
    <n v="-2160.52"/>
    <x v="16"/>
  </r>
  <r>
    <s v="FIN-00904"/>
    <d v="2025-10-07T00:00:00"/>
    <x v="1"/>
    <x v="3"/>
    <x v="3"/>
    <x v="0"/>
    <s v="Karachi"/>
    <s v="Peoplefirst"/>
    <x v="1"/>
    <n v="8928.57"/>
    <n v="5119.75"/>
    <n v="-3808.8199999999997"/>
    <n v="-0.42658790825406528"/>
    <x v="0"/>
    <n v="5119.75"/>
    <x v="9"/>
  </r>
  <r>
    <s v="FIN-00905"/>
    <d v="2026-02-24T00:00:00"/>
    <x v="0"/>
    <x v="1"/>
    <x v="14"/>
    <x v="3"/>
    <s v="Lahore"/>
    <s v="Adsphere"/>
    <x v="2"/>
    <n v="2667.5"/>
    <n v="1585.39"/>
    <n v="-1082.1099999999999"/>
    <n v="-0.40566447985004683"/>
    <x v="0"/>
    <n v="-1585.39"/>
    <x v="17"/>
  </r>
  <r>
    <s v="FIN-00906"/>
    <d v="2026-06-05T00:00:00"/>
    <x v="1"/>
    <x v="0"/>
    <x v="12"/>
    <x v="0"/>
    <s v="Multan"/>
    <s v="Shipfast"/>
    <x v="1"/>
    <n v="4761.8999999999996"/>
    <n v="8645.2099999999991"/>
    <n v="3883.3099999999995"/>
    <n v="0.81549591549591549"/>
    <x v="1"/>
    <n v="8645.2099999999991"/>
    <x v="13"/>
  </r>
  <r>
    <s v="FIN-00907"/>
    <d v="2026-04-08T00:00:00"/>
    <x v="0"/>
    <x v="5"/>
    <x v="7"/>
    <x v="3"/>
    <s v="Lahore"/>
    <s v="Softworks"/>
    <x v="1"/>
    <n v="5833.33"/>
    <n v="4281.71"/>
    <n v="-1551.62"/>
    <n v="-0.2659921519955154"/>
    <x v="0"/>
    <n v="-4281.71"/>
    <x v="15"/>
  </r>
  <r>
    <s v="FIN-00908"/>
    <d v="2025-06-22T00:00:00"/>
    <x v="0"/>
    <x v="3"/>
    <x v="5"/>
    <x v="1"/>
    <s v="Lahore"/>
    <s v="Buildcare"/>
    <x v="1"/>
    <n v="8125"/>
    <n v="10897.93"/>
    <n v="2772.9300000000003"/>
    <n v="0.34128369230769234"/>
    <x v="1"/>
    <n v="-10897.93"/>
    <x v="5"/>
  </r>
  <r>
    <s v="FIN-00909"/>
    <d v="2026-02-18T00:00:00"/>
    <x v="1"/>
    <x v="2"/>
    <x v="3"/>
    <x v="2"/>
    <s v="Multan"/>
    <s v="Shipfast"/>
    <x v="2"/>
    <n v="12125"/>
    <n v="22857.66"/>
    <n v="10732.66"/>
    <n v="0.88516783505154639"/>
    <x v="1"/>
    <n v="22857.66"/>
    <x v="17"/>
  </r>
  <r>
    <s v="FIN-00910"/>
    <d v="2025-07-08T00:00:00"/>
    <x v="1"/>
    <x v="6"/>
    <x v="12"/>
    <x v="3"/>
    <s v="Islamabad"/>
    <s v="Techsource"/>
    <x v="0"/>
    <n v="7142.86"/>
    <n v="7367.29"/>
    <n v="224.43000000000029"/>
    <n v="3.1420187431925067E-2"/>
    <x v="1"/>
    <n v="7367.29"/>
    <x v="6"/>
  </r>
  <r>
    <s v="FIN-00911"/>
    <d v="2025-03-29T00:00:00"/>
    <x v="1"/>
    <x v="3"/>
    <x v="3"/>
    <x v="0"/>
    <s v="Faisalabad"/>
    <s v="Markethub"/>
    <x v="1"/>
    <n v="8064.52"/>
    <n v="23339.01"/>
    <n v="15274.489999999998"/>
    <n v="1.8940358508627912"/>
    <x v="1"/>
    <n v="23339.01"/>
    <x v="2"/>
  </r>
  <r>
    <s v="FIN-00912"/>
    <d v="2025-06-30T00:00:00"/>
    <x v="1"/>
    <x v="3"/>
    <x v="3"/>
    <x v="4"/>
    <s v="Islamabad"/>
    <s v="Shipfast"/>
    <x v="2"/>
    <n v="9615.3799999999992"/>
    <n v="20791.7"/>
    <n v="11176.320000000002"/>
    <n v="1.1623378379221625"/>
    <x v="1"/>
    <n v="20791.7"/>
    <x v="5"/>
  </r>
  <r>
    <s v="FIN-00913"/>
    <d v="2025-12-17T00:00:00"/>
    <x v="1"/>
    <x v="2"/>
    <x v="2"/>
    <x v="3"/>
    <s v="Multan"/>
    <s v="Markethub"/>
    <x v="4"/>
    <n v="9333.33"/>
    <n v="3704.86"/>
    <n v="-5628.4699999999993"/>
    <n v="-0.6030505725180616"/>
    <x v="0"/>
    <n v="3704.86"/>
    <x v="11"/>
  </r>
  <r>
    <s v="FIN-00914"/>
    <d v="2025-07-06T00:00:00"/>
    <x v="0"/>
    <x v="1"/>
    <x v="6"/>
    <x v="2"/>
    <s v="Karachi"/>
    <s v="Legalworks"/>
    <x v="1"/>
    <n v="6923.08"/>
    <n v="2974.28"/>
    <n v="-3948.7999999999997"/>
    <n v="-0.57038196871912494"/>
    <x v="0"/>
    <n v="-2974.28"/>
    <x v="6"/>
  </r>
  <r>
    <s v="FIN-00915"/>
    <d v="2025-03-09T00:00:00"/>
    <x v="0"/>
    <x v="4"/>
    <x v="9"/>
    <x v="0"/>
    <s v="Lahore"/>
    <s v="Buildcare"/>
    <x v="4"/>
    <n v="3928.57"/>
    <n v="7863.5"/>
    <n v="3934.93"/>
    <n v="1.0016189096796035"/>
    <x v="1"/>
    <n v="-7863.5"/>
    <x v="2"/>
  </r>
  <r>
    <s v="FIN-00916"/>
    <d v="2025-04-22T00:00:00"/>
    <x v="1"/>
    <x v="1"/>
    <x v="3"/>
    <x v="2"/>
    <s v="Peshawar"/>
    <s v="Techsource"/>
    <x v="4"/>
    <n v="11363.64"/>
    <n v="18375.43"/>
    <n v="7011.7900000000009"/>
    <n v="0.61703732254805688"/>
    <x v="1"/>
    <n v="18375.43"/>
    <x v="3"/>
  </r>
  <r>
    <s v="FIN-00917"/>
    <d v="2025-03-19T00:00:00"/>
    <x v="0"/>
    <x v="1"/>
    <x v="6"/>
    <x v="3"/>
    <s v="Karachi"/>
    <s v="Powergrid"/>
    <x v="2"/>
    <n v="6000"/>
    <n v="7012.18"/>
    <n v="1012.1800000000003"/>
    <n v="0.16869666666666672"/>
    <x v="1"/>
    <n v="-7012.18"/>
    <x v="2"/>
  </r>
  <r>
    <s v="FIN-00918"/>
    <d v="2025-04-19T00:00:00"/>
    <x v="0"/>
    <x v="1"/>
    <x v="6"/>
    <x v="2"/>
    <s v="Multan"/>
    <s v="Peoplefirst"/>
    <x v="1"/>
    <n v="13846.15"/>
    <n v="10205.25"/>
    <n v="-3640.8999999999996"/>
    <n v="-0.2629539619316561"/>
    <x v="0"/>
    <n v="-10205.25"/>
    <x v="3"/>
  </r>
  <r>
    <s v="FIN-00919"/>
    <d v="2025-07-16T00:00:00"/>
    <x v="0"/>
    <x v="5"/>
    <x v="9"/>
    <x v="4"/>
    <s v="Karachi"/>
    <s v="Powergrid"/>
    <x v="1"/>
    <n v="3437.5"/>
    <n v="2599.5500000000002"/>
    <n v="-837.94999999999982"/>
    <n v="-0.24376727272727267"/>
    <x v="0"/>
    <n v="-2599.5500000000002"/>
    <x v="6"/>
  </r>
  <r>
    <s v="FIN-00920"/>
    <d v="2025-11-10T00:00:00"/>
    <x v="0"/>
    <x v="2"/>
    <x v="4"/>
    <x v="4"/>
    <s v="Karachi"/>
    <s v="Urban Facilities"/>
    <x v="3"/>
    <n v="4900"/>
    <n v="2502.8000000000002"/>
    <n v="-2397.1999999999998"/>
    <n v="-0.48922448979591832"/>
    <x v="0"/>
    <n v="-2502.8000000000002"/>
    <x v="10"/>
  </r>
  <r>
    <s v="FIN-00921"/>
    <d v="2025-11-09T00:00:00"/>
    <x v="0"/>
    <x v="1"/>
    <x v="0"/>
    <x v="4"/>
    <s v="Karachi"/>
    <s v="Legalworks"/>
    <x v="0"/>
    <n v="5600"/>
    <n v="1411.82"/>
    <n v="-4188.18"/>
    <n v="-0.74788928571428581"/>
    <x v="0"/>
    <n v="-1411.82"/>
    <x v="10"/>
  </r>
  <r>
    <s v="FIN-00922"/>
    <d v="2025-08-28T00:00:00"/>
    <x v="0"/>
    <x v="1"/>
    <x v="9"/>
    <x v="1"/>
    <s v="Lahore"/>
    <s v="Prime Supplies"/>
    <x v="1"/>
    <n v="3928.57"/>
    <n v="4965.25"/>
    <n v="1036.6799999999998"/>
    <n v="0.26388227777537371"/>
    <x v="1"/>
    <n v="-4965.25"/>
    <x v="7"/>
  </r>
  <r>
    <s v="FIN-00923"/>
    <d v="2025-02-04T00:00:00"/>
    <x v="0"/>
    <x v="2"/>
    <x v="1"/>
    <x v="2"/>
    <s v="Peshawar"/>
    <s v="Officepro"/>
    <x v="1"/>
    <n v="1940"/>
    <n v="673.53"/>
    <n v="-1266.47"/>
    <n v="-0.65281958762886594"/>
    <x v="0"/>
    <n v="-673.53"/>
    <x v="1"/>
  </r>
  <r>
    <s v="FIN-00924"/>
    <d v="2025-10-15T00:00:00"/>
    <x v="0"/>
    <x v="4"/>
    <x v="7"/>
    <x v="4"/>
    <s v="Karachi"/>
    <s v="Officepro"/>
    <x v="1"/>
    <n v="3500"/>
    <n v="268.85000000000002"/>
    <n v="-3231.15"/>
    <n v="-0.92318571428571428"/>
    <x v="0"/>
    <n v="-268.85000000000002"/>
    <x v="9"/>
  </r>
  <r>
    <s v="FIN-00925"/>
    <d v="2025-03-14T00:00:00"/>
    <x v="0"/>
    <x v="1"/>
    <x v="0"/>
    <x v="2"/>
    <s v="Peshawar"/>
    <s v="Cloudnet"/>
    <x v="0"/>
    <n v="4571.43"/>
    <n v="2820.91"/>
    <n v="-1750.5200000000004"/>
    <n v="-0.38292613033558431"/>
    <x v="0"/>
    <n v="-2820.91"/>
    <x v="2"/>
  </r>
  <r>
    <s v="FIN-00926"/>
    <d v="2026-05-26T00:00:00"/>
    <x v="1"/>
    <x v="4"/>
    <x v="3"/>
    <x v="4"/>
    <s v="Peshawar"/>
    <s v="Shipfast"/>
    <x v="3"/>
    <n v="10869.57"/>
    <n v="13735.24"/>
    <n v="2865.67"/>
    <n v="0.26364152399772944"/>
    <x v="1"/>
    <n v="13735.24"/>
    <x v="16"/>
  </r>
  <r>
    <s v="FIN-00927"/>
    <d v="2026-05-10T00:00:00"/>
    <x v="1"/>
    <x v="6"/>
    <x v="2"/>
    <x v="3"/>
    <s v="Islamabad"/>
    <s v="Shipfast"/>
    <x v="2"/>
    <n v="6153.85"/>
    <n v="851.75"/>
    <n v="-5302.1"/>
    <n v="-0.86159071150580535"/>
    <x v="0"/>
    <n v="851.75"/>
    <x v="16"/>
  </r>
  <r>
    <s v="FIN-00928"/>
    <d v="2025-09-01T00:00:00"/>
    <x v="0"/>
    <x v="4"/>
    <x v="4"/>
    <x v="4"/>
    <s v="Karachi"/>
    <s v="Cloudnet"/>
    <x v="4"/>
    <n v="3500"/>
    <n v="441.22"/>
    <n v="-3058.7799999999997"/>
    <n v="-0.87393714285714275"/>
    <x v="0"/>
    <n v="-441.22"/>
    <x v="8"/>
  </r>
  <r>
    <s v="FIN-00929"/>
    <d v="2025-03-25T00:00:00"/>
    <x v="1"/>
    <x v="3"/>
    <x v="13"/>
    <x v="0"/>
    <s v="Faisalabad"/>
    <s v="Softworks"/>
    <x v="3"/>
    <n v="2857.14"/>
    <n v="3036.95"/>
    <n v="179.80999999999995"/>
    <n v="6.293356293356292E-2"/>
    <x v="1"/>
    <n v="3036.95"/>
    <x v="2"/>
  </r>
  <r>
    <s v="FIN-00930"/>
    <d v="2026-02-05T00:00:00"/>
    <x v="1"/>
    <x v="3"/>
    <x v="3"/>
    <x v="2"/>
    <s v="Karachi"/>
    <s v="Markethub"/>
    <x v="2"/>
    <n v="12125"/>
    <n v="2602.17"/>
    <n v="-9522.83"/>
    <n v="-0.78538804123711337"/>
    <x v="0"/>
    <n v="2602.17"/>
    <x v="17"/>
  </r>
  <r>
    <s v="FIN-00931"/>
    <d v="2025-07-31T00:00:00"/>
    <x v="0"/>
    <x v="4"/>
    <x v="5"/>
    <x v="3"/>
    <s v="Islamabad"/>
    <s v="Prime Supplies"/>
    <x v="4"/>
    <n v="5909.09"/>
    <n v="2959.49"/>
    <n v="-2949.6000000000004"/>
    <n v="-0.49916315371740833"/>
    <x v="0"/>
    <n v="-2959.49"/>
    <x v="6"/>
  </r>
  <r>
    <s v="FIN-00932"/>
    <d v="2025-11-22T00:00:00"/>
    <x v="0"/>
    <x v="2"/>
    <x v="6"/>
    <x v="3"/>
    <s v="Peshawar"/>
    <s v="Legalworks"/>
    <x v="3"/>
    <n v="9947.3700000000008"/>
    <n v="7996.3"/>
    <n v="-1951.0700000000006"/>
    <n v="-0.19613928103609302"/>
    <x v="0"/>
    <n v="-7996.3"/>
    <x v="10"/>
  </r>
  <r>
    <s v="FIN-00933"/>
    <d v="2025-10-02T00:00:00"/>
    <x v="0"/>
    <x v="0"/>
    <x v="6"/>
    <x v="3"/>
    <s v="Karachi"/>
    <s v="Markethub"/>
    <x v="2"/>
    <n v="7826.09"/>
    <n v="9092.2999999999993"/>
    <n v="1266.2099999999991"/>
    <n v="0.16179343708032992"/>
    <x v="1"/>
    <n v="-9092.2999999999993"/>
    <x v="9"/>
  </r>
  <r>
    <s v="FIN-00934"/>
    <d v="2025-11-10T00:00:00"/>
    <x v="1"/>
    <x v="3"/>
    <x v="3"/>
    <x v="3"/>
    <s v="Karachi"/>
    <s v="Urban Facilities"/>
    <x v="2"/>
    <n v="13125"/>
    <n v="19620.09"/>
    <n v="6495.09"/>
    <n v="0.49486400000000003"/>
    <x v="1"/>
    <n v="19620.09"/>
    <x v="10"/>
  </r>
  <r>
    <s v="FIN-00935"/>
    <d v="2025-07-18T00:00:00"/>
    <x v="0"/>
    <x v="6"/>
    <x v="1"/>
    <x v="4"/>
    <s v="Lahore"/>
    <s v="Travellink"/>
    <x v="2"/>
    <n v="2250"/>
    <n v="890.25"/>
    <n v="-1359.75"/>
    <n v="-0.60433333333333328"/>
    <x v="0"/>
    <n v="-890.25"/>
    <x v="6"/>
  </r>
  <r>
    <s v="FIN-00936"/>
    <d v="2025-10-16T00:00:00"/>
    <x v="0"/>
    <x v="1"/>
    <x v="7"/>
    <x v="1"/>
    <s v="Karachi"/>
    <s v="Legalworks"/>
    <x v="1"/>
    <n v="3500"/>
    <n v="1538.6"/>
    <n v="-1961.4"/>
    <n v="-0.56040000000000001"/>
    <x v="0"/>
    <n v="-1538.6"/>
    <x v="9"/>
  </r>
  <r>
    <s v="FIN-00937"/>
    <d v="2025-09-13T00:00:00"/>
    <x v="1"/>
    <x v="1"/>
    <x v="13"/>
    <x v="4"/>
    <s v="Multan"/>
    <s v="Adsphere"/>
    <x v="0"/>
    <n v="3333.33"/>
    <n v="3834.93"/>
    <n v="501.59999999999991"/>
    <n v="0.15048015048015045"/>
    <x v="1"/>
    <n v="3834.93"/>
    <x v="8"/>
  </r>
  <r>
    <s v="FIN-00938"/>
    <d v="2026-05-22T00:00:00"/>
    <x v="0"/>
    <x v="3"/>
    <x v="5"/>
    <x v="1"/>
    <s v="Karachi"/>
    <s v="Powergrid"/>
    <x v="4"/>
    <n v="6500"/>
    <n v="7264.64"/>
    <n v="764.64000000000033"/>
    <n v="0.11763692307692312"/>
    <x v="1"/>
    <n v="-7264.64"/>
    <x v="16"/>
  </r>
  <r>
    <s v="FIN-00939"/>
    <d v="2026-06-22T00:00:00"/>
    <x v="0"/>
    <x v="1"/>
    <x v="10"/>
    <x v="3"/>
    <s v="Islamabad"/>
    <s v="Legalworks"/>
    <x v="3"/>
    <n v="3076.92"/>
    <n v="3785.88"/>
    <n v="708.96"/>
    <n v="0.23041223041223041"/>
    <x v="1"/>
    <n v="-3785.88"/>
    <x v="13"/>
  </r>
  <r>
    <s v="FIN-00940"/>
    <d v="2025-06-18T00:00:00"/>
    <x v="0"/>
    <x v="5"/>
    <x v="5"/>
    <x v="3"/>
    <s v="Karachi"/>
    <s v="Techsource"/>
    <x v="1"/>
    <n v="8125"/>
    <n v="10768.68"/>
    <n v="2643.6800000000003"/>
    <n v="0.32537600000000005"/>
    <x v="1"/>
    <n v="-10768.68"/>
    <x v="5"/>
  </r>
  <r>
    <s v="FIN-00941"/>
    <d v="2026-04-29T00:00:00"/>
    <x v="1"/>
    <x v="3"/>
    <x v="3"/>
    <x v="4"/>
    <s v="Faisalabad"/>
    <s v="Techsource"/>
    <x v="0"/>
    <n v="8333.33"/>
    <n v="5057.4799999999996"/>
    <n v="-3275.8500000000004"/>
    <n v="-0.39310215724086295"/>
    <x v="0"/>
    <n v="5057.4799999999996"/>
    <x v="15"/>
  </r>
  <r>
    <s v="FIN-00942"/>
    <d v="2026-01-26T00:00:00"/>
    <x v="1"/>
    <x v="3"/>
    <x v="3"/>
    <x v="4"/>
    <s v="Karachi"/>
    <s v="Travellink"/>
    <x v="2"/>
    <n v="11547.62"/>
    <n v="10025.469999999999"/>
    <n v="-1522.1500000000015"/>
    <n v="-0.13181504067504832"/>
    <x v="0"/>
    <n v="10025.469999999999"/>
    <x v="12"/>
  </r>
  <r>
    <s v="FIN-00943"/>
    <d v="2025-12-02T00:00:00"/>
    <x v="0"/>
    <x v="2"/>
    <x v="6"/>
    <x v="2"/>
    <s v="Islamabad"/>
    <s v="Legalworks"/>
    <x v="2"/>
    <n v="7875"/>
    <n v="17080.599999999999"/>
    <n v="9205.5999999999985"/>
    <n v="1.1689650793650792"/>
    <x v="1"/>
    <n v="-17080.599999999999"/>
    <x v="11"/>
  </r>
  <r>
    <s v="FIN-00944"/>
    <d v="2025-09-18T00:00:00"/>
    <x v="1"/>
    <x v="3"/>
    <x v="12"/>
    <x v="4"/>
    <s v="Multan"/>
    <s v="Shipfast"/>
    <x v="3"/>
    <n v="7142.86"/>
    <n v="2466.4699999999998"/>
    <n v="-4676.3899999999994"/>
    <n v="-0.65469433812226474"/>
    <x v="0"/>
    <n v="2466.4699999999998"/>
    <x v="8"/>
  </r>
  <r>
    <s v="FIN-00945"/>
    <d v="2026-01-01T00:00:00"/>
    <x v="1"/>
    <x v="1"/>
    <x v="12"/>
    <x v="2"/>
    <s v="Multan"/>
    <s v="Powergrid"/>
    <x v="2"/>
    <n v="6062.5"/>
    <n v="5734.93"/>
    <n v="-327.56999999999971"/>
    <n v="-5.4032164948453559E-2"/>
    <x v="0"/>
    <n v="5734.93"/>
    <x v="12"/>
  </r>
  <r>
    <s v="FIN-00946"/>
    <d v="2026-04-27T00:00:00"/>
    <x v="1"/>
    <x v="3"/>
    <x v="3"/>
    <x v="0"/>
    <s v="Karachi"/>
    <s v="Prime Supplies"/>
    <x v="3"/>
    <n v="8333.33"/>
    <n v="7675.82"/>
    <n v="-657.51000000000022"/>
    <n v="-7.8901231560492655E-2"/>
    <x v="0"/>
    <n v="7675.82"/>
    <x v="15"/>
  </r>
  <r>
    <s v="FIN-00947"/>
    <d v="2025-03-14T00:00:00"/>
    <x v="0"/>
    <x v="1"/>
    <x v="11"/>
    <x v="2"/>
    <s v="Karachi"/>
    <s v="Prime Supplies"/>
    <x v="2"/>
    <n v="3142.86"/>
    <n v="487.51"/>
    <n v="-2655.3500000000004"/>
    <n v="-0.844883322833343"/>
    <x v="0"/>
    <n v="-487.51"/>
    <x v="2"/>
  </r>
  <r>
    <s v="FIN-00948"/>
    <d v="2025-10-20T00:00:00"/>
    <x v="1"/>
    <x v="3"/>
    <x v="3"/>
    <x v="1"/>
    <s v="Karachi"/>
    <s v="Prime Supplies"/>
    <x v="2"/>
    <n v="8928.57"/>
    <n v="6760.03"/>
    <n v="-2168.54"/>
    <n v="-0.24287651886024303"/>
    <x v="0"/>
    <n v="6760.03"/>
    <x v="9"/>
  </r>
  <r>
    <s v="FIN-00949"/>
    <d v="2025-08-12T00:00:00"/>
    <x v="0"/>
    <x v="1"/>
    <x v="6"/>
    <x v="2"/>
    <s v="Karachi"/>
    <s v="Shipfast"/>
    <x v="2"/>
    <n v="8181.82"/>
    <n v="11429.36"/>
    <n v="3247.5400000000009"/>
    <n v="0.39692146735078515"/>
    <x v="1"/>
    <n v="-11429.36"/>
    <x v="7"/>
  </r>
  <r>
    <s v="FIN-00950"/>
    <d v="2026-05-19T00:00:00"/>
    <x v="0"/>
    <x v="1"/>
    <x v="11"/>
    <x v="3"/>
    <s v="Karachi"/>
    <s v="Dataserve"/>
    <x v="3"/>
    <n v="4400"/>
    <n v="1337.26"/>
    <n v="-3062.74"/>
    <n v="-0.69607727272727271"/>
    <x v="0"/>
    <n v="-1337.26"/>
    <x v="16"/>
  </r>
  <r>
    <s v="FIN-00951"/>
    <d v="2025-01-20T00:00:00"/>
    <x v="0"/>
    <x v="6"/>
    <x v="7"/>
    <x v="0"/>
    <s v="Faisalabad"/>
    <s v="Urban Facilities"/>
    <x v="1"/>
    <n v="5658.33"/>
    <n v="4496.88"/>
    <n v="-1161.4499999999998"/>
    <n v="-0.20526374389616722"/>
    <x v="0"/>
    <n v="-4496.88"/>
    <x v="0"/>
  </r>
  <r>
    <s v="FIN-00952"/>
    <d v="2025-08-05T00:00:00"/>
    <x v="0"/>
    <x v="0"/>
    <x v="8"/>
    <x v="2"/>
    <s v="Karachi"/>
    <s v="Powergrid"/>
    <x v="2"/>
    <n v="15000"/>
    <n v="5509.42"/>
    <n v="-9490.58"/>
    <n v="-0.63270533333333334"/>
    <x v="0"/>
    <n v="-5509.42"/>
    <x v="7"/>
  </r>
  <r>
    <s v="FIN-00953"/>
    <d v="2025-07-05T00:00:00"/>
    <x v="0"/>
    <x v="1"/>
    <x v="5"/>
    <x v="1"/>
    <s v="Karachi"/>
    <s v="Powergrid"/>
    <x v="1"/>
    <n v="5909.09"/>
    <n v="5538.91"/>
    <n v="-370.18000000000029"/>
    <n v="-6.2645855791670174E-2"/>
    <x v="0"/>
    <n v="-5538.91"/>
    <x v="6"/>
  </r>
  <r>
    <s v="FIN-00954"/>
    <d v="2026-06-23T00:00:00"/>
    <x v="1"/>
    <x v="1"/>
    <x v="13"/>
    <x v="1"/>
    <s v="Lahore"/>
    <s v="Buildcare"/>
    <x v="3"/>
    <n v="10000"/>
    <n v="339.78"/>
    <n v="-9660.2199999999993"/>
    <n v="-0.96602199999999994"/>
    <x v="0"/>
    <n v="339.78"/>
    <x v="13"/>
  </r>
  <r>
    <s v="FIN-00955"/>
    <d v="2026-05-28T00:00:00"/>
    <x v="0"/>
    <x v="3"/>
    <x v="6"/>
    <x v="0"/>
    <s v="Lahore"/>
    <s v="Prime Supplies"/>
    <x v="4"/>
    <n v="16363.64"/>
    <n v="9347.0499999999993"/>
    <n v="-7016.59"/>
    <n v="-0.42879151582410763"/>
    <x v="0"/>
    <n v="-9347.0499999999993"/>
    <x v="16"/>
  </r>
  <r>
    <s v="FIN-00956"/>
    <d v="2025-02-18T00:00:00"/>
    <x v="0"/>
    <x v="0"/>
    <x v="9"/>
    <x v="4"/>
    <s v="Karachi"/>
    <s v="Techsource"/>
    <x v="4"/>
    <n v="7621.43"/>
    <n v="6339.86"/>
    <n v="-1281.5700000000006"/>
    <n v="-0.16815348300778207"/>
    <x v="0"/>
    <n v="-6339.86"/>
    <x v="1"/>
  </r>
  <r>
    <s v="FIN-00957"/>
    <d v="2026-06-19T00:00:00"/>
    <x v="0"/>
    <x v="2"/>
    <x v="8"/>
    <x v="4"/>
    <s v="Karachi"/>
    <s v="Powergrid"/>
    <x v="0"/>
    <n v="6000"/>
    <n v="4461.7299999999996"/>
    <n v="-1538.2700000000004"/>
    <n v="-0.25637833333333343"/>
    <x v="0"/>
    <n v="-4461.7299999999996"/>
    <x v="13"/>
  </r>
  <r>
    <s v="FIN-00958"/>
    <d v="2025-04-21T00:00:00"/>
    <x v="0"/>
    <x v="6"/>
    <x v="6"/>
    <x v="0"/>
    <s v="Islamabad"/>
    <s v="Softworks"/>
    <x v="2"/>
    <n v="13846.15"/>
    <n v="8070.58"/>
    <n v="-5775.57"/>
    <n v="-0.41712461586794886"/>
    <x v="0"/>
    <n v="-8070.58"/>
    <x v="3"/>
  </r>
  <r>
    <s v="FIN-00959"/>
    <d v="2025-09-17T00:00:00"/>
    <x v="0"/>
    <x v="2"/>
    <x v="8"/>
    <x v="3"/>
    <s v="Peshawar"/>
    <s v="Adsphere"/>
    <x v="1"/>
    <n v="5000"/>
    <n v="5243.81"/>
    <n v="243.8100000000004"/>
    <n v="4.8762000000000083E-2"/>
    <x v="1"/>
    <n v="-5243.81"/>
    <x v="8"/>
  </r>
  <r>
    <s v="FIN-00960"/>
    <d v="2026-03-13T00:00:00"/>
    <x v="0"/>
    <x v="6"/>
    <x v="4"/>
    <x v="0"/>
    <s v="Multan"/>
    <s v="Urban Facilities"/>
    <x v="2"/>
    <n v="4000"/>
    <n v="987.55"/>
    <n v="-3012.45"/>
    <n v="-0.75311249999999996"/>
    <x v="0"/>
    <n v="-987.55"/>
    <x v="14"/>
  </r>
  <r>
    <s v="FIN-00961"/>
    <d v="2025-07-28T00:00:00"/>
    <x v="0"/>
    <x v="1"/>
    <x v="4"/>
    <x v="1"/>
    <s v="Lahore"/>
    <s v="Urban Facilities"/>
    <x v="3"/>
    <n v="4666.67"/>
    <n v="161.41"/>
    <n v="-4505.26"/>
    <n v="-0.96541216756273751"/>
    <x v="0"/>
    <n v="-161.41"/>
    <x v="6"/>
  </r>
  <r>
    <s v="FIN-00962"/>
    <d v="2025-12-29T00:00:00"/>
    <x v="0"/>
    <x v="5"/>
    <x v="6"/>
    <x v="4"/>
    <s v="Karachi"/>
    <s v="Travellink"/>
    <x v="3"/>
    <n v="7875"/>
    <n v="7823.69"/>
    <n v="-51.3100000000004"/>
    <n v="-6.515555555555606E-3"/>
    <x v="0"/>
    <n v="-7823.69"/>
    <x v="11"/>
  </r>
  <r>
    <s v="FIN-00963"/>
    <d v="2025-06-19T00:00:00"/>
    <x v="0"/>
    <x v="6"/>
    <x v="6"/>
    <x v="3"/>
    <s v="Lahore"/>
    <s v="Powergrid"/>
    <x v="3"/>
    <n v="6428.57"/>
    <n v="3552.77"/>
    <n v="-2875.7999999999997"/>
    <n v="-0.44734676607705909"/>
    <x v="0"/>
    <n v="-3552.77"/>
    <x v="5"/>
  </r>
  <r>
    <s v="FIN-00964"/>
    <d v="2025-01-18T00:00:00"/>
    <x v="0"/>
    <x v="5"/>
    <x v="6"/>
    <x v="3"/>
    <s v="Lahore"/>
    <s v="Buildcare"/>
    <x v="0"/>
    <n v="7591.3"/>
    <n v="7216.12"/>
    <n v="-375.18000000000029"/>
    <n v="-4.9422365075810507E-2"/>
    <x v="0"/>
    <n v="-7216.12"/>
    <x v="0"/>
  </r>
  <r>
    <s v="FIN-00965"/>
    <d v="2026-02-02T00:00:00"/>
    <x v="1"/>
    <x v="3"/>
    <x v="3"/>
    <x v="1"/>
    <s v="Faisalabad"/>
    <s v="Buildcare"/>
    <x v="4"/>
    <n v="12125"/>
    <n v="13682"/>
    <n v="1557"/>
    <n v="0.12841237113402063"/>
    <x v="1"/>
    <n v="13682"/>
    <x v="17"/>
  </r>
  <r>
    <s v="FIN-00966"/>
    <d v="2025-08-21T00:00:00"/>
    <x v="0"/>
    <x v="2"/>
    <x v="6"/>
    <x v="2"/>
    <s v="Karachi"/>
    <s v="Adsphere"/>
    <x v="1"/>
    <n v="8181.82"/>
    <n v="15533.78"/>
    <n v="7351.9600000000009"/>
    <n v="0.89857268920606925"/>
    <x v="1"/>
    <n v="-15533.78"/>
    <x v="7"/>
  </r>
  <r>
    <s v="FIN-00967"/>
    <d v="2026-05-20T00:00:00"/>
    <x v="1"/>
    <x v="3"/>
    <x v="12"/>
    <x v="4"/>
    <s v="Faisalabad"/>
    <s v="Peoplefirst"/>
    <x v="4"/>
    <n v="5882.35"/>
    <n v="6351.82"/>
    <n v="469.46999999999935"/>
    <n v="7.9809939904969832E-2"/>
    <x v="1"/>
    <n v="6351.82"/>
    <x v="16"/>
  </r>
  <r>
    <s v="FIN-00968"/>
    <d v="2025-10-29T00:00:00"/>
    <x v="0"/>
    <x v="5"/>
    <x v="6"/>
    <x v="2"/>
    <s v="Faisalabad"/>
    <s v="Softworks"/>
    <x v="2"/>
    <n v="7826.09"/>
    <n v="9532.23"/>
    <n v="1706.1399999999994"/>
    <n v="0.21800669299739708"/>
    <x v="1"/>
    <n v="-9532.23"/>
    <x v="9"/>
  </r>
  <r>
    <s v="FIN-00969"/>
    <d v="2025-05-01T00:00:00"/>
    <x v="0"/>
    <x v="6"/>
    <x v="7"/>
    <x v="1"/>
    <s v="Multan"/>
    <s v="Softworks"/>
    <x v="1"/>
    <n v="3888.89"/>
    <n v="1510.37"/>
    <n v="-2378.52"/>
    <n v="-0.61161925382307036"/>
    <x v="0"/>
    <n v="-1510.37"/>
    <x v="4"/>
  </r>
  <r>
    <s v="FIN-00970"/>
    <d v="2025-04-17T00:00:00"/>
    <x v="0"/>
    <x v="1"/>
    <x v="1"/>
    <x v="4"/>
    <s v="Karachi"/>
    <s v="Prime Supplies"/>
    <x v="3"/>
    <n v="2250"/>
    <n v="260.77"/>
    <n v="-1989.23"/>
    <n v="-0.88410222222222223"/>
    <x v="0"/>
    <n v="-260.77"/>
    <x v="3"/>
  </r>
  <r>
    <s v="FIN-00971"/>
    <d v="2026-04-04T00:00:00"/>
    <x v="0"/>
    <x v="2"/>
    <x v="9"/>
    <x v="4"/>
    <s v="Islamabad"/>
    <s v="Travellink"/>
    <x v="4"/>
    <n v="9166.67"/>
    <n v="5823"/>
    <n v="-3343.67"/>
    <n v="-0.36476386735859367"/>
    <x v="0"/>
    <n v="-5823"/>
    <x v="15"/>
  </r>
  <r>
    <s v="FIN-00972"/>
    <d v="2025-05-23T00:00:00"/>
    <x v="0"/>
    <x v="4"/>
    <x v="6"/>
    <x v="0"/>
    <s v="Islamabad"/>
    <s v="Urban Facilities"/>
    <x v="4"/>
    <n v="7200"/>
    <n v="2316.4899999999998"/>
    <n v="-4883.51"/>
    <n v="-0.67826527777777779"/>
    <x v="0"/>
    <n v="-2316.4899999999998"/>
    <x v="4"/>
  </r>
  <r>
    <s v="FIN-00973"/>
    <d v="2025-09-03T00:00:00"/>
    <x v="0"/>
    <x v="0"/>
    <x v="6"/>
    <x v="2"/>
    <s v="Lahore"/>
    <s v="Cloudnet"/>
    <x v="1"/>
    <n v="7500"/>
    <n v="13929.18"/>
    <n v="6429.18"/>
    <n v="0.85722399999999999"/>
    <x v="1"/>
    <n v="-13929.18"/>
    <x v="8"/>
  </r>
  <r>
    <s v="FIN-00974"/>
    <d v="2025-05-20T00:00:00"/>
    <x v="0"/>
    <x v="1"/>
    <x v="5"/>
    <x v="4"/>
    <s v="Islamabad"/>
    <s v="Travellink"/>
    <x v="4"/>
    <n v="4642.8599999999997"/>
    <n v="7635.7"/>
    <n v="2992.84"/>
    <n v="0.64461129562381814"/>
    <x v="1"/>
    <n v="-7635.7"/>
    <x v="4"/>
  </r>
  <r>
    <s v="FIN-00975"/>
    <d v="2026-04-12T00:00:00"/>
    <x v="0"/>
    <x v="0"/>
    <x v="11"/>
    <x v="0"/>
    <s v="Karachi"/>
    <s v="Adsphere"/>
    <x v="1"/>
    <n v="2750"/>
    <n v="1124.24"/>
    <n v="-1625.76"/>
    <n v="-0.59118545454545457"/>
    <x v="0"/>
    <n v="-1124.24"/>
    <x v="15"/>
  </r>
  <r>
    <s v="FIN-00976"/>
    <d v="2026-06-13T00:00:00"/>
    <x v="0"/>
    <x v="5"/>
    <x v="9"/>
    <x v="3"/>
    <s v="Faisalabad"/>
    <s v="Adsphere"/>
    <x v="4"/>
    <n v="3666.67"/>
    <n v="2238.5300000000002"/>
    <n v="-1428.1399999999999"/>
    <n v="-0.38949237318875163"/>
    <x v="0"/>
    <n v="-2238.5300000000002"/>
    <x v="13"/>
  </r>
  <r>
    <s v="FIN-00977"/>
    <d v="2025-06-10T00:00:00"/>
    <x v="1"/>
    <x v="4"/>
    <x v="3"/>
    <x v="4"/>
    <s v="Lahore"/>
    <s v="Urban Facilities"/>
    <x v="4"/>
    <n v="9615.3799999999992"/>
    <n v="17654.61"/>
    <n v="8039.2300000000014"/>
    <n v="0.83608032131855448"/>
    <x v="1"/>
    <n v="17654.61"/>
    <x v="5"/>
  </r>
  <r>
    <s v="FIN-00978"/>
    <d v="2025-01-06T00:00:00"/>
    <x v="0"/>
    <x v="5"/>
    <x v="10"/>
    <x v="3"/>
    <s v="Karachi"/>
    <s v="Shipfast"/>
    <x v="1"/>
    <n v="5542.86"/>
    <n v="3942.06"/>
    <n v="-1600.7999999999997"/>
    <n v="-0.28880397484331188"/>
    <x v="0"/>
    <n v="-3942.06"/>
    <x v="0"/>
  </r>
  <r>
    <s v="FIN-00979"/>
    <d v="2025-11-07T00:00:00"/>
    <x v="1"/>
    <x v="3"/>
    <x v="2"/>
    <x v="4"/>
    <s v="Peshawar"/>
    <s v="Urban Facilities"/>
    <x v="3"/>
    <n v="8400"/>
    <n v="6454.38"/>
    <n v="-1945.62"/>
    <n v="-0.23162142857142856"/>
    <x v="0"/>
    <n v="6454.38"/>
    <x v="10"/>
  </r>
  <r>
    <s v="FIN-00980"/>
    <d v="2025-07-16T00:00:00"/>
    <x v="0"/>
    <x v="2"/>
    <x v="11"/>
    <x v="1"/>
    <s v="Faisalabad"/>
    <s v="Officepro"/>
    <x v="4"/>
    <n v="2750"/>
    <n v="1190.8"/>
    <n v="-1559.2"/>
    <n v="-0.56698181818181825"/>
    <x v="0"/>
    <n v="-1190.8"/>
    <x v="6"/>
  </r>
  <r>
    <s v="FIN-00981"/>
    <d v="2026-05-20T00:00:00"/>
    <x v="1"/>
    <x v="4"/>
    <x v="3"/>
    <x v="4"/>
    <s v="Lahore"/>
    <s v="Prime Supplies"/>
    <x v="1"/>
    <n v="10869.57"/>
    <n v="3033.94"/>
    <n v="-7835.6299999999992"/>
    <n v="-0.72087764281383715"/>
    <x v="0"/>
    <n v="3033.94"/>
    <x v="16"/>
  </r>
  <r>
    <s v="FIN-00982"/>
    <d v="2025-09-05T00:00:00"/>
    <x v="0"/>
    <x v="1"/>
    <x v="7"/>
    <x v="3"/>
    <s v="Karachi"/>
    <s v="Cloudnet"/>
    <x v="2"/>
    <n v="3500"/>
    <n v="2948.07"/>
    <n v="-551.92999999999984"/>
    <n v="-0.15769428571428568"/>
    <x v="0"/>
    <n v="-2948.07"/>
    <x v="8"/>
  </r>
  <r>
    <s v="FIN-00983"/>
    <d v="2025-06-21T00:00:00"/>
    <x v="1"/>
    <x v="6"/>
    <x v="2"/>
    <x v="4"/>
    <s v="Karachi"/>
    <s v="Adsphere"/>
    <x v="4"/>
    <n v="5333.33"/>
    <n v="4941.7"/>
    <n v="-391.63000000000011"/>
    <n v="-7.3430670894169325E-2"/>
    <x v="0"/>
    <n v="4941.7"/>
    <x v="5"/>
  </r>
  <r>
    <s v="FIN-00984"/>
    <d v="2025-02-19T00:00:00"/>
    <x v="0"/>
    <x v="4"/>
    <x v="6"/>
    <x v="3"/>
    <s v="Karachi"/>
    <s v="Softworks"/>
    <x v="1"/>
    <n v="11640"/>
    <n v="10926.79"/>
    <n v="-713.20999999999913"/>
    <n v="-6.1272336769759378E-2"/>
    <x v="0"/>
    <n v="-10926.79"/>
    <x v="1"/>
  </r>
  <r>
    <s v="FIN-00985"/>
    <d v="2026-06-30T00:00:00"/>
    <x v="1"/>
    <x v="3"/>
    <x v="12"/>
    <x v="1"/>
    <s v="Peshawar"/>
    <s v="Cloudnet"/>
    <x v="2"/>
    <n v="4761.8999999999996"/>
    <n v="11843.84"/>
    <n v="7081.9400000000005"/>
    <n v="1.4872088872088873"/>
    <x v="1"/>
    <n v="11843.84"/>
    <x v="13"/>
  </r>
  <r>
    <s v="FIN-00986"/>
    <d v="2025-03-11T00:00:00"/>
    <x v="1"/>
    <x v="5"/>
    <x v="3"/>
    <x v="2"/>
    <s v="Karachi"/>
    <s v="Powergrid"/>
    <x v="1"/>
    <n v="8064.52"/>
    <n v="1871.11"/>
    <n v="-6193.4100000000008"/>
    <n v="-0.7679824713684138"/>
    <x v="0"/>
    <n v="1871.11"/>
    <x v="2"/>
  </r>
  <r>
    <s v="FIN-00987"/>
    <d v="2025-05-26T00:00:00"/>
    <x v="0"/>
    <x v="1"/>
    <x v="7"/>
    <x v="4"/>
    <s v="Karachi"/>
    <s v="Markethub"/>
    <x v="3"/>
    <n v="3888.89"/>
    <n v="605.38"/>
    <n v="-3283.5099999999998"/>
    <n v="-0.84433090161974234"/>
    <x v="0"/>
    <n v="-605.38"/>
    <x v="4"/>
  </r>
  <r>
    <s v="FIN-00988"/>
    <d v="2025-09-11T00:00:00"/>
    <x v="1"/>
    <x v="3"/>
    <x v="13"/>
    <x v="3"/>
    <s v="Peshawar"/>
    <s v="Shipfast"/>
    <x v="3"/>
    <n v="3333.33"/>
    <n v="1858.97"/>
    <n v="-1474.36"/>
    <n v="-0.4423084423084423"/>
    <x v="0"/>
    <n v="1858.97"/>
    <x v="8"/>
  </r>
  <r>
    <s v="FIN-00989"/>
    <d v="2025-10-01T00:00:00"/>
    <x v="1"/>
    <x v="0"/>
    <x v="12"/>
    <x v="2"/>
    <s v="Peshawar"/>
    <s v="Urban Facilities"/>
    <x v="1"/>
    <n v="7692.31"/>
    <n v="9407.93"/>
    <n v="1715.62"/>
    <n v="0.22303053309084006"/>
    <x v="1"/>
    <n v="9407.93"/>
    <x v="9"/>
  </r>
  <r>
    <s v="FIN-00990"/>
    <d v="2026-01-16T00:00:00"/>
    <x v="0"/>
    <x v="1"/>
    <x v="0"/>
    <x v="4"/>
    <s v="Peshawar"/>
    <s v="Buildcare"/>
    <x v="4"/>
    <n v="3104"/>
    <n v="6211.21"/>
    <n v="3107.21"/>
    <n v="1.0010341494845361"/>
    <x v="1"/>
    <n v="-6211.21"/>
    <x v="12"/>
  </r>
  <r>
    <s v="FIN-00991"/>
    <d v="2025-11-09T00:00:00"/>
    <x v="0"/>
    <x v="6"/>
    <x v="8"/>
    <x v="4"/>
    <s v="Karachi"/>
    <s v="Peoplefirst"/>
    <x v="4"/>
    <n v="7875"/>
    <n v="6841.58"/>
    <n v="-1033.42"/>
    <n v="-0.13122793650793652"/>
    <x v="0"/>
    <n v="-6841.58"/>
    <x v="10"/>
  </r>
  <r>
    <s v="FIN-00992"/>
    <d v="2025-04-30T00:00:00"/>
    <x v="0"/>
    <x v="6"/>
    <x v="9"/>
    <x v="4"/>
    <s v="Islamabad"/>
    <s v="Techsource"/>
    <x v="4"/>
    <n v="6111.11"/>
    <n v="909.03"/>
    <n v="-5202.08"/>
    <n v="-0.85124960931811078"/>
    <x v="0"/>
    <n v="-909.03"/>
    <x v="3"/>
  </r>
  <r>
    <s v="FIN-00993"/>
    <d v="2025-03-17T00:00:00"/>
    <x v="1"/>
    <x v="2"/>
    <x v="3"/>
    <x v="2"/>
    <s v="Islamabad"/>
    <s v="Cloudnet"/>
    <x v="4"/>
    <n v="8064.52"/>
    <n v="4525.2"/>
    <n v="-3539.3200000000006"/>
    <n v="-0.43887546933977478"/>
    <x v="0"/>
    <n v="4525.2"/>
    <x v="2"/>
  </r>
  <r>
    <s v="FIN-00994"/>
    <d v="2025-10-04T00:00:00"/>
    <x v="1"/>
    <x v="3"/>
    <x v="13"/>
    <x v="0"/>
    <s v="Islamabad"/>
    <s v="Shipfast"/>
    <x v="3"/>
    <n v="6666.67"/>
    <n v="1506.12"/>
    <n v="-5160.55"/>
    <n v="-0.77408211295894358"/>
    <x v="0"/>
    <n v="1506.12"/>
    <x v="9"/>
  </r>
  <r>
    <s v="FIN-00995"/>
    <d v="2025-06-04T00:00:00"/>
    <x v="1"/>
    <x v="2"/>
    <x v="2"/>
    <x v="4"/>
    <s v="Karachi"/>
    <s v="Unknown"/>
    <x v="2"/>
    <n v="5333.33"/>
    <n v="2943.94"/>
    <n v="-2389.39"/>
    <n v="-0.44801090500681562"/>
    <x v="0"/>
    <n v="2943.94"/>
    <x v="5"/>
  </r>
  <r>
    <s v="FIN-00996"/>
    <d v="2026-01-21T00:00:00"/>
    <x v="1"/>
    <x v="5"/>
    <x v="12"/>
    <x v="1"/>
    <s v="Lahore"/>
    <s v="Adsphere"/>
    <x v="2"/>
    <n v="6062.5"/>
    <n v="3313.45"/>
    <n v="-2749.05"/>
    <n v="-0.45345154639175261"/>
    <x v="0"/>
    <n v="3313.45"/>
    <x v="12"/>
  </r>
  <r>
    <s v="FIN-00997"/>
    <d v="2026-03-21T00:00:00"/>
    <x v="1"/>
    <x v="3"/>
    <x v="12"/>
    <x v="4"/>
    <s v="Faisalabad"/>
    <s v="Officepro"/>
    <x v="2"/>
    <n v="10000"/>
    <n v="9686.61"/>
    <n v="-313.38999999999942"/>
    <n v="-3.1338999999999943E-2"/>
    <x v="0"/>
    <n v="9686.61"/>
    <x v="14"/>
  </r>
  <r>
    <s v="FIN-00998"/>
    <d v="2026-03-21T00:00:00"/>
    <x v="0"/>
    <x v="5"/>
    <x v="0"/>
    <x v="0"/>
    <s v="Peshawar"/>
    <s v="Dataserve"/>
    <x v="2"/>
    <n v="4000"/>
    <n v="2878.69"/>
    <n v="-1121.31"/>
    <n v="-0.28032750000000001"/>
    <x v="0"/>
    <n v="-2878.69"/>
    <x v="14"/>
  </r>
  <r>
    <s v="FIN-00999"/>
    <d v="2025-11-26T00:00:00"/>
    <x v="1"/>
    <x v="1"/>
    <x v="13"/>
    <x v="1"/>
    <s v="Lahore"/>
    <s v="Softworks"/>
    <x v="2"/>
    <n v="10500"/>
    <n v="3364.04"/>
    <n v="-7135.96"/>
    <n v="-0.67961523809523805"/>
    <x v="0"/>
    <n v="3364.04"/>
    <x v="10"/>
  </r>
  <r>
    <s v="FIN-01000"/>
    <d v="2025-05-26T00:00:00"/>
    <x v="0"/>
    <x v="2"/>
    <x v="6"/>
    <x v="3"/>
    <s v="Karachi"/>
    <s v="Officepro"/>
    <x v="2"/>
    <n v="7200"/>
    <n v="3127.6"/>
    <n v="-4072.4"/>
    <n v="-0.56561111111111118"/>
    <x v="0"/>
    <n v="-3127.6"/>
    <x v="4"/>
  </r>
  <r>
    <s v="FIN-01001"/>
    <d v="2026-06-29T00:00:00"/>
    <x v="0"/>
    <x v="3"/>
    <x v="9"/>
    <x v="3"/>
    <s v="Lahore"/>
    <s v="Shipfast"/>
    <x v="2"/>
    <n v="3666.67"/>
    <n v="7048.2"/>
    <n v="3381.5299999999997"/>
    <n v="0.92223461615034885"/>
    <x v="1"/>
    <n v="-7048.2"/>
    <x v="13"/>
  </r>
  <r>
    <s v="FIN-01002"/>
    <d v="2025-08-09T00:00:00"/>
    <x v="0"/>
    <x v="0"/>
    <x v="10"/>
    <x v="2"/>
    <s v="Karachi"/>
    <s v="Dataserve"/>
    <x v="1"/>
    <n v="5714.29"/>
    <n v="4109.72"/>
    <n v="-1604.5699999999997"/>
    <n v="-0.28079953940034541"/>
    <x v="0"/>
    <n v="-4109.72"/>
    <x v="7"/>
  </r>
  <r>
    <s v="FIN-01003"/>
    <d v="2025-10-07T00:00:00"/>
    <x v="0"/>
    <x v="6"/>
    <x v="9"/>
    <x v="4"/>
    <s v="Peshawar"/>
    <s v="Softworks"/>
    <x v="4"/>
    <n v="3928.57"/>
    <n v="1999"/>
    <n v="-1929.5700000000002"/>
    <n v="-0.49116345133216416"/>
    <x v="0"/>
    <n v="-1999"/>
    <x v="9"/>
  </r>
  <r>
    <s v="FIN-01004"/>
    <d v="2025-08-28T00:00:00"/>
    <x v="0"/>
    <x v="0"/>
    <x v="1"/>
    <x v="3"/>
    <s v="Lahore"/>
    <s v="Cloudnet"/>
    <x v="4"/>
    <n v="3000"/>
    <n v="1733.7"/>
    <n v="-1266.3"/>
    <n v="-0.42209999999999998"/>
    <x v="0"/>
    <n v="-1733.7"/>
    <x v="7"/>
  </r>
  <r>
    <s v="FIN-01005"/>
    <d v="2025-03-20T00:00:00"/>
    <x v="1"/>
    <x v="0"/>
    <x v="3"/>
    <x v="3"/>
    <s v="Karachi"/>
    <s v="Shipfast"/>
    <x v="2"/>
    <n v="8064.52"/>
    <n v="10964.32"/>
    <n v="2899.7999999999993"/>
    <n v="0.35957502740398672"/>
    <x v="1"/>
    <n v="10964.32"/>
    <x v="2"/>
  </r>
  <r>
    <s v="FIN-01006"/>
    <d v="2025-11-07T00:00:00"/>
    <x v="0"/>
    <x v="5"/>
    <x v="0"/>
    <x v="4"/>
    <s v="Islamabad"/>
    <s v="Adsphere"/>
    <x v="2"/>
    <n v="5600"/>
    <n v="6528.39"/>
    <n v="928.39000000000033"/>
    <n v="0.16578392857142862"/>
    <x v="1"/>
    <n v="-6528.39"/>
    <x v="10"/>
  </r>
  <r>
    <s v="FIN-01007"/>
    <d v="2025-06-12T00:00:00"/>
    <x v="0"/>
    <x v="1"/>
    <x v="1"/>
    <x v="3"/>
    <s v="Peshawar"/>
    <s v="Shipfast"/>
    <x v="3"/>
    <n v="2000"/>
    <n v="1640.53"/>
    <n v="-359.47"/>
    <n v="-0.17973500000000001"/>
    <x v="0"/>
    <n v="-1640.53"/>
    <x v="5"/>
  </r>
  <r>
    <s v="FIN-01008"/>
    <d v="2025-01-19T00:00:00"/>
    <x v="1"/>
    <x v="0"/>
    <x v="12"/>
    <x v="4"/>
    <s v="Lahore"/>
    <s v="Shipfast"/>
    <x v="0"/>
    <n v="9700"/>
    <n v="11810.53"/>
    <n v="2110.5300000000007"/>
    <n v="0.2175804123711341"/>
    <x v="1"/>
    <n v="11810.53"/>
    <x v="0"/>
  </r>
  <r>
    <s v="FIN-01009"/>
    <d v="2025-08-29T00:00:00"/>
    <x v="1"/>
    <x v="3"/>
    <x v="3"/>
    <x v="0"/>
    <s v="Lahore"/>
    <s v="Urban Facilities"/>
    <x v="3"/>
    <n v="10416.67"/>
    <n v="3490.03"/>
    <n v="-6926.6399999999994"/>
    <n v="-0.66495722721368722"/>
    <x v="0"/>
    <n v="3490.03"/>
    <x v="7"/>
  </r>
  <r>
    <s v="FIN-01010"/>
    <d v="2026-06-16T00:00:00"/>
    <x v="0"/>
    <x v="5"/>
    <x v="10"/>
    <x v="4"/>
    <s v="Peshawar"/>
    <s v="Cloudnet"/>
    <x v="2"/>
    <n v="3076.92"/>
    <n v="201.62"/>
    <n v="-2875.3"/>
    <n v="-0.93447343447343456"/>
    <x v="0"/>
    <n v="-201.62"/>
    <x v="13"/>
  </r>
  <r>
    <s v="FIN-01011"/>
    <d v="2025-11-26T00:00:00"/>
    <x v="0"/>
    <x v="6"/>
    <x v="6"/>
    <x v="1"/>
    <s v="Peshawar"/>
    <s v="Cloudnet"/>
    <x v="1"/>
    <n v="9947.3700000000008"/>
    <n v="2965.84"/>
    <n v="-6981.5300000000007"/>
    <n v="-0.70184681981267416"/>
    <x v="0"/>
    <n v="-2965.84"/>
    <x v="10"/>
  </r>
  <r>
    <s v="FIN-01012"/>
    <d v="2025-11-11T00:00:00"/>
    <x v="1"/>
    <x v="3"/>
    <x v="3"/>
    <x v="0"/>
    <s v="Karachi"/>
    <s v="Buildcare"/>
    <x v="2"/>
    <n v="13125"/>
    <n v="6907.84"/>
    <n v="-6217.16"/>
    <n v="-0.47368838095238092"/>
    <x v="0"/>
    <n v="6907.84"/>
    <x v="10"/>
  </r>
  <r>
    <s v="FIN-01013"/>
    <d v="2025-08-31T00:00:00"/>
    <x v="0"/>
    <x v="1"/>
    <x v="4"/>
    <x v="4"/>
    <s v="Faisalabad"/>
    <s v="Officepro"/>
    <x v="0"/>
    <n v="4666.67"/>
    <n v="760.75"/>
    <n v="-3905.92"/>
    <n v="-0.83698225929838621"/>
    <x v="0"/>
    <n v="-760.75"/>
    <x v="7"/>
  </r>
  <r>
    <s v="FIN-01014"/>
    <d v="2025-05-04T00:00:00"/>
    <x v="1"/>
    <x v="0"/>
    <x v="3"/>
    <x v="3"/>
    <s v="Karachi"/>
    <s v="Markethub"/>
    <x v="1"/>
    <n v="9615.3799999999992"/>
    <n v="15181.11"/>
    <n v="5565.7300000000014"/>
    <n v="0.57883619784137519"/>
    <x v="1"/>
    <n v="15181.11"/>
    <x v="4"/>
  </r>
  <r>
    <s v="FIN-01015"/>
    <d v="2026-05-11T00:00:00"/>
    <x v="0"/>
    <x v="1"/>
    <x v="6"/>
    <x v="2"/>
    <s v="Karachi"/>
    <s v="Urban Facilities"/>
    <x v="0"/>
    <n v="16363.64"/>
    <n v="10816.77"/>
    <n v="-5546.869999999999"/>
    <n v="-0.33897531356104138"/>
    <x v="0"/>
    <n v="-10816.77"/>
    <x v="16"/>
  </r>
  <r>
    <s v="FIN-01016"/>
    <d v="2025-07-22T00:00:00"/>
    <x v="0"/>
    <x v="4"/>
    <x v="5"/>
    <x v="2"/>
    <s v="Karachi"/>
    <s v="Travellink"/>
    <x v="3"/>
    <n v="5909.09"/>
    <n v="11470.29"/>
    <n v="5561.2000000000007"/>
    <n v="0.94112629863481523"/>
    <x v="1"/>
    <n v="-11470.29"/>
    <x v="6"/>
  </r>
  <r>
    <s v="FIN-01017"/>
    <d v="2025-04-27T00:00:00"/>
    <x v="0"/>
    <x v="1"/>
    <x v="11"/>
    <x v="1"/>
    <s v="Karachi"/>
    <s v="Peoplefirst"/>
    <x v="4"/>
    <n v="2750"/>
    <n v="3241.08"/>
    <n v="491.07999999999993"/>
    <n v="0.17857454545454543"/>
    <x v="1"/>
    <n v="-3241.08"/>
    <x v="3"/>
  </r>
  <r>
    <s v="FIN-01018"/>
    <d v="2025-06-15T00:00:00"/>
    <x v="1"/>
    <x v="3"/>
    <x v="2"/>
    <x v="4"/>
    <s v="Karachi"/>
    <s v="Shipfast"/>
    <x v="4"/>
    <n v="5333.33"/>
    <n v="2332.5100000000002"/>
    <n v="-3000.8199999999997"/>
    <n v="-0.56265410165881347"/>
    <x v="0"/>
    <n v="2332.5100000000002"/>
    <x v="5"/>
  </r>
  <r>
    <s v="FIN-01019"/>
    <d v="2026-02-17T00:00:00"/>
    <x v="0"/>
    <x v="2"/>
    <x v="9"/>
    <x v="4"/>
    <s v="Lahore"/>
    <s v="Peoplefirst"/>
    <x v="4"/>
    <n v="4850"/>
    <n v="7489.32"/>
    <n v="2639.3199999999997"/>
    <n v="0.54418969072164947"/>
    <x v="1"/>
    <n v="-7489.32"/>
    <x v="17"/>
  </r>
  <r>
    <s v="FIN-01020"/>
    <d v="2026-01-10T00:00:00"/>
    <x v="0"/>
    <x v="1"/>
    <x v="11"/>
    <x v="4"/>
    <s v="Karachi"/>
    <s v="Shipfast"/>
    <x v="4"/>
    <n v="3556.67"/>
    <n v="3511.14"/>
    <n v="-45.5300000000002"/>
    <n v="-1.2801300092502313E-2"/>
    <x v="0"/>
    <n v="-3511.14"/>
    <x v="12"/>
  </r>
  <r>
    <s v="FIN-01021"/>
    <d v="2026-01-08T00:00:00"/>
    <x v="0"/>
    <x v="2"/>
    <x v="6"/>
    <x v="3"/>
    <s v="Islamabad"/>
    <s v="Travellink"/>
    <x v="2"/>
    <n v="6715.38"/>
    <n v="7359.91"/>
    <n v="644.52999999999975"/>
    <n v="9.5978187384779381E-2"/>
    <x v="1"/>
    <n v="-7359.91"/>
    <x v="12"/>
  </r>
  <r>
    <s v="FIN-01022"/>
    <d v="2026-05-07T00:00:00"/>
    <x v="0"/>
    <x v="0"/>
    <x v="10"/>
    <x v="3"/>
    <s v="Karachi"/>
    <s v="Cloudnet"/>
    <x v="2"/>
    <n v="5714.29"/>
    <n v="3614.83"/>
    <n v="-2099.46"/>
    <n v="-0.3674052244460817"/>
    <x v="0"/>
    <n v="-3614.83"/>
    <x v="16"/>
  </r>
  <r>
    <s v="FIN-01023"/>
    <d v="2026-01-10T00:00:00"/>
    <x v="0"/>
    <x v="2"/>
    <x v="7"/>
    <x v="1"/>
    <s v="Lahore"/>
    <s v="Peoplefirst"/>
    <x v="1"/>
    <n v="3395"/>
    <n v="1347.86"/>
    <n v="-2047.14"/>
    <n v="-0.60298674521354934"/>
    <x v="0"/>
    <n v="-1347.86"/>
    <x v="12"/>
  </r>
  <r>
    <s v="FIN-01024"/>
    <d v="2025-10-20T00:00:00"/>
    <x v="0"/>
    <x v="5"/>
    <x v="1"/>
    <x v="1"/>
    <s v="Islamabad"/>
    <s v="Travellink"/>
    <x v="2"/>
    <n v="3000"/>
    <n v="1141.93"/>
    <n v="-1858.07"/>
    <n v="-0.61935666666666667"/>
    <x v="0"/>
    <n v="-1141.93"/>
    <x v="9"/>
  </r>
  <r>
    <s v="FIN-01025"/>
    <d v="2025-01-25T00:00:00"/>
    <x v="0"/>
    <x v="5"/>
    <x v="0"/>
    <x v="4"/>
    <s v="Lahore"/>
    <s v="Officepro"/>
    <x v="1"/>
    <n v="7760"/>
    <n v="4429.4799999999996"/>
    <n v="-3330.5200000000004"/>
    <n v="-0.42919072164948457"/>
    <x v="0"/>
    <n v="-4429.4799999999996"/>
    <x v="0"/>
  </r>
  <r>
    <s v="FIN-01026"/>
    <d v="2025-06-28T00:00:00"/>
    <x v="0"/>
    <x v="6"/>
    <x v="9"/>
    <x v="2"/>
    <s v="Karachi"/>
    <s v="Techsource"/>
    <x v="4"/>
    <n v="5500"/>
    <n v="2912.18"/>
    <n v="-2587.8200000000002"/>
    <n v="-0.4705127272727273"/>
    <x v="0"/>
    <n v="-2912.18"/>
    <x v="5"/>
  </r>
  <r>
    <s v="FIN-01027"/>
    <d v="2026-04-06T00:00:00"/>
    <x v="0"/>
    <x v="1"/>
    <x v="1"/>
    <x v="3"/>
    <s v="Karachi"/>
    <s v="Peoplefirst"/>
    <x v="1"/>
    <n v="2250"/>
    <n v="1218.6500000000001"/>
    <n v="-1031.3499999999999"/>
    <n v="-0.45837777777777772"/>
    <x v="0"/>
    <n v="-1218.6500000000001"/>
    <x v="15"/>
  </r>
  <r>
    <s v="FIN-01028"/>
    <d v="2026-02-02T00:00:00"/>
    <x v="0"/>
    <x v="1"/>
    <x v="1"/>
    <x v="1"/>
    <s v="Karachi"/>
    <s v="Dataserve"/>
    <x v="2"/>
    <n v="2182.5"/>
    <n v="593.52"/>
    <n v="-1588.98"/>
    <n v="-0.7280549828178694"/>
    <x v="0"/>
    <n v="-593.52"/>
    <x v="17"/>
  </r>
  <r>
    <s v="FIN-01029"/>
    <d v="2025-04-22T00:00:00"/>
    <x v="1"/>
    <x v="3"/>
    <x v="12"/>
    <x v="3"/>
    <s v="Karachi"/>
    <s v="Powergrid"/>
    <x v="1"/>
    <n v="14285.71"/>
    <n v="17113.849999999999"/>
    <n v="2828.1399999999994"/>
    <n v="0.19796985939095779"/>
    <x v="1"/>
    <n v="17113.849999999999"/>
    <x v="3"/>
  </r>
  <r>
    <s v="FIN-01030"/>
    <d v="2025-12-01T00:00:00"/>
    <x v="0"/>
    <x v="4"/>
    <x v="0"/>
    <x v="3"/>
    <s v="Islamabad"/>
    <s v="Prime Supplies"/>
    <x v="4"/>
    <n v="4800"/>
    <n v="6488.94"/>
    <n v="1688.9399999999996"/>
    <n v="0.35186249999999991"/>
    <x v="1"/>
    <n v="-6488.94"/>
    <x v="11"/>
  </r>
  <r>
    <s v="FIN-01031"/>
    <d v="2026-05-01T00:00:00"/>
    <x v="0"/>
    <x v="2"/>
    <x v="10"/>
    <x v="4"/>
    <s v="Karachi"/>
    <s v="Techsource"/>
    <x v="1"/>
    <n v="5714.29"/>
    <n v="5671.63"/>
    <n v="-42.659999999999854"/>
    <n v="-7.4654944008791741E-3"/>
    <x v="0"/>
    <n v="-5671.63"/>
    <x v="16"/>
  </r>
  <r>
    <s v="FIN-01032"/>
    <d v="2025-09-30T00:00:00"/>
    <x v="1"/>
    <x v="3"/>
    <x v="3"/>
    <x v="1"/>
    <s v="Islamabad"/>
    <s v="Travellink"/>
    <x v="1"/>
    <n v="11904.76"/>
    <n v="18370.98"/>
    <n v="6466.2199999999993"/>
    <n v="0.54316256690601061"/>
    <x v="1"/>
    <n v="18370.98"/>
    <x v="8"/>
  </r>
  <r>
    <s v="FIN-01033"/>
    <d v="2025-10-20T00:00:00"/>
    <x v="1"/>
    <x v="4"/>
    <x v="2"/>
    <x v="4"/>
    <s v="Faisalabad"/>
    <s v="Softworks"/>
    <x v="2"/>
    <n v="4705.88"/>
    <n v="2997.03"/>
    <n v="-1708.85"/>
    <n v="-0.36313080656540325"/>
    <x v="0"/>
    <n v="2997.03"/>
    <x v="9"/>
  </r>
  <r>
    <s v="FIN-01034"/>
    <d v="2026-05-22T00:00:00"/>
    <x v="0"/>
    <x v="4"/>
    <x v="10"/>
    <x v="2"/>
    <s v="Lahore"/>
    <s v="Peoplefirst"/>
    <x v="1"/>
    <n v="5714.29"/>
    <n v="4427.59"/>
    <n v="-1286.6999999999998"/>
    <n v="-0.22517233112075163"/>
    <x v="0"/>
    <n v="-4427.59"/>
    <x v="16"/>
  </r>
  <r>
    <s v="FIN-01035"/>
    <d v="2025-06-25T00:00:00"/>
    <x v="0"/>
    <x v="2"/>
    <x v="9"/>
    <x v="1"/>
    <s v="Peshawar"/>
    <s v="Urban Facilities"/>
    <x v="4"/>
    <n v="5500"/>
    <n v="3975.6"/>
    <n v="-1524.4"/>
    <n v="-0.27716363636363639"/>
    <x v="0"/>
    <n v="-3975.6"/>
    <x v="5"/>
  </r>
  <r>
    <s v="FIN-01036"/>
    <d v="2025-10-12T00:00:00"/>
    <x v="0"/>
    <x v="5"/>
    <x v="1"/>
    <x v="4"/>
    <s v="Karachi"/>
    <s v="Legalworks"/>
    <x v="2"/>
    <n v="3000"/>
    <n v="234.99"/>
    <n v="-2765.01"/>
    <n v="-0.9216700000000001"/>
    <x v="0"/>
    <n v="-234.99"/>
    <x v="9"/>
  </r>
  <r>
    <s v="FIN-01037"/>
    <d v="2025-02-06T00:00:00"/>
    <x v="1"/>
    <x v="7"/>
    <x v="2"/>
    <x v="4"/>
    <s v="Islamabad"/>
    <s v="Travellink"/>
    <x v="4"/>
    <n v="4850"/>
    <n v="3727.08"/>
    <n v="-1122.92"/>
    <n v="-0.23152989690721651"/>
    <x v="0"/>
    <n v="3727.08"/>
    <x v="1"/>
  </r>
  <r>
    <s v="FIN-01038"/>
    <d v="2026-04-17T00:00:00"/>
    <x v="1"/>
    <x v="3"/>
    <x v="3"/>
    <x v="2"/>
    <s v="Karachi"/>
    <s v="Markethub"/>
    <x v="4"/>
    <n v="8333.33"/>
    <n v="17737.89"/>
    <n v="9404.56"/>
    <n v="1.1285476514190604"/>
    <x v="1"/>
    <n v="17737.89"/>
    <x v="15"/>
  </r>
  <r>
    <s v="FIN-01039"/>
    <d v="2026-02-20T00:00:00"/>
    <x v="1"/>
    <x v="2"/>
    <x v="12"/>
    <x v="0"/>
    <s v="Multan"/>
    <s v="Softworks"/>
    <x v="4"/>
    <n v="8083.33"/>
    <n v="6987.91"/>
    <n v="-1095.42"/>
    <n v="-0.13551593217151844"/>
    <x v="0"/>
    <n v="6987.91"/>
    <x v="17"/>
  </r>
  <r>
    <s v="FIN-01040"/>
    <d v="2025-06-26T00:00:00"/>
    <x v="1"/>
    <x v="4"/>
    <x v="3"/>
    <x v="0"/>
    <s v="Karachi"/>
    <s v="Techsource"/>
    <x v="4"/>
    <n v="9615.3799999999992"/>
    <n v="23001.11"/>
    <n v="13385.730000000001"/>
    <n v="1.3921165882159625"/>
    <x v="1"/>
    <n v="23001.11"/>
    <x v="5"/>
  </r>
  <r>
    <s v="FIN-01041"/>
    <d v="2026-06-14T00:00:00"/>
    <x v="0"/>
    <x v="1"/>
    <x v="6"/>
    <x v="4"/>
    <s v="Islamabad"/>
    <s v="Techsource"/>
    <x v="3"/>
    <n v="8571.43"/>
    <n v="15711.26"/>
    <n v="7139.83"/>
    <n v="0.83298002783666203"/>
    <x v="1"/>
    <n v="-15711.26"/>
    <x v="13"/>
  </r>
  <r>
    <s v="FIN-01042"/>
    <d v="2025-12-24T00:00:00"/>
    <x v="0"/>
    <x v="6"/>
    <x v="6"/>
    <x v="3"/>
    <s v="Karachi"/>
    <s v="Dataserve"/>
    <x v="3"/>
    <n v="7875"/>
    <n v="2180.8200000000002"/>
    <n v="-5694.18"/>
    <n v="-0.72307047619047626"/>
    <x v="0"/>
    <n v="-2180.8200000000002"/>
    <x v="11"/>
  </r>
  <r>
    <s v="FIN-01043"/>
    <d v="2025-06-13T00:00:00"/>
    <x v="1"/>
    <x v="6"/>
    <x v="3"/>
    <x v="3"/>
    <s v="Islamabad"/>
    <s v="Dataserve"/>
    <x v="5"/>
    <n v="9615.3799999999992"/>
    <n v="4427.1000000000004"/>
    <n v="-5188.2799999999988"/>
    <n v="-0.53958137899906189"/>
    <x v="0"/>
    <n v="4427.1000000000004"/>
    <x v="5"/>
  </r>
  <r>
    <s v="FIN-01044"/>
    <d v="2025-10-29T00:00:00"/>
    <x v="0"/>
    <x v="4"/>
    <x v="11"/>
    <x v="4"/>
    <s v="Multan"/>
    <s v="Dataserve"/>
    <x v="2"/>
    <n v="5500"/>
    <n v="288.01"/>
    <n v="-5211.99"/>
    <n v="-0.9476345454545454"/>
    <x v="0"/>
    <n v="-288.01"/>
    <x v="9"/>
  </r>
  <r>
    <s v="FIN-01045"/>
    <d v="2026-02-03T00:00:00"/>
    <x v="1"/>
    <x v="6"/>
    <x v="12"/>
    <x v="4"/>
    <s v="Multan"/>
    <s v="Dataserve"/>
    <x v="1"/>
    <n v="8083.33"/>
    <n v="12306.71"/>
    <n v="4223.3799999999992"/>
    <n v="0.52248021545575885"/>
    <x v="1"/>
    <n v="12306.71"/>
    <x v="17"/>
  </r>
  <r>
    <s v="FIN-01046"/>
    <d v="2026-03-15T00:00:00"/>
    <x v="0"/>
    <x v="2"/>
    <x v="4"/>
    <x v="0"/>
    <s v="Karachi"/>
    <s v="Adsphere"/>
    <x v="0"/>
    <n v="4000"/>
    <n v="1973.51"/>
    <n v="-2026.49"/>
    <n v="-0.50662249999999998"/>
    <x v="0"/>
    <n v="-1973.51"/>
    <x v="14"/>
  </r>
  <r>
    <s v="FIN-01047"/>
    <d v="2025-10-25T00:00:00"/>
    <x v="1"/>
    <x v="4"/>
    <x v="3"/>
    <x v="2"/>
    <s v="Islamabad"/>
    <s v="Travellink"/>
    <x v="3"/>
    <n v="8928.57"/>
    <n v="5466.66"/>
    <n v="-3461.91"/>
    <n v="-0.38773398203743714"/>
    <x v="0"/>
    <n v="5466.66"/>
    <x v="9"/>
  </r>
  <r>
    <s v="FIN-01048"/>
    <d v="2025-05-01T00:00:00"/>
    <x v="0"/>
    <x v="5"/>
    <x v="1"/>
    <x v="3"/>
    <s v="Karachi"/>
    <s v="Markethub"/>
    <x v="4"/>
    <n v="2250"/>
    <n v="919.21"/>
    <n v="-1330.79"/>
    <n v="-0.59146222222222222"/>
    <x v="0"/>
    <n v="-919.21"/>
    <x v="4"/>
  </r>
  <r>
    <s v="FIN-01049"/>
    <d v="2025-11-21T00:00:00"/>
    <x v="0"/>
    <x v="6"/>
    <x v="10"/>
    <x v="3"/>
    <s v="Islamabad"/>
    <s v="Adsphere"/>
    <x v="4"/>
    <n v="4666.67"/>
    <n v="2661.88"/>
    <n v="-2004.79"/>
    <n v="-0.42959755028746405"/>
    <x v="0"/>
    <n v="-2661.88"/>
    <x v="10"/>
  </r>
  <r>
    <s v="FIN-01050"/>
    <d v="2025-07-19T00:00:00"/>
    <x v="0"/>
    <x v="6"/>
    <x v="6"/>
    <x v="1"/>
    <s v="Peshawar"/>
    <s v="Buildcare"/>
    <x v="2"/>
    <n v="6923.08"/>
    <n v="10214.040000000001"/>
    <n v="3290.9600000000009"/>
    <n v="0.47536067761747675"/>
    <x v="1"/>
    <n v="-10214.040000000001"/>
    <x v="6"/>
  </r>
  <r>
    <s v="FIN-01051"/>
    <d v="2025-08-24T00:00:00"/>
    <x v="1"/>
    <x v="0"/>
    <x v="12"/>
    <x v="1"/>
    <s v="Karachi"/>
    <s v="Legalworks"/>
    <x v="0"/>
    <n v="7142.86"/>
    <n v="16817.25"/>
    <n v="9674.39"/>
    <n v="1.3544140582343767"/>
    <x v="1"/>
    <n v="16817.25"/>
    <x v="7"/>
  </r>
  <r>
    <s v="FIN-01052"/>
    <d v="2026-04-17T00:00:00"/>
    <x v="0"/>
    <x v="5"/>
    <x v="5"/>
    <x v="2"/>
    <s v="Karachi"/>
    <s v="Prime Supplies"/>
    <x v="2"/>
    <n v="10833.33"/>
    <n v="8551.27"/>
    <n v="-2282.0599999999995"/>
    <n v="-0.21065175712361753"/>
    <x v="0"/>
    <n v="-8551.27"/>
    <x v="15"/>
  </r>
  <r>
    <s v="FIN-01053"/>
    <d v="2025-12-24T00:00:00"/>
    <x v="0"/>
    <x v="4"/>
    <x v="9"/>
    <x v="1"/>
    <s v="Islamabad"/>
    <s v="Urban Facilities"/>
    <x v="2"/>
    <n v="4125"/>
    <n v="2737.2"/>
    <n v="-1387.8000000000002"/>
    <n v="-0.3364363636363637"/>
    <x v="0"/>
    <n v="-2737.2"/>
    <x v="11"/>
  </r>
  <r>
    <s v="FIN-01054"/>
    <d v="2025-03-22T00:00:00"/>
    <x v="0"/>
    <x v="2"/>
    <x v="8"/>
    <x v="3"/>
    <s v="Karachi"/>
    <s v="Travellink"/>
    <x v="1"/>
    <n v="3000"/>
    <n v="7730.67"/>
    <n v="4730.67"/>
    <n v="1.5768900000000001"/>
    <x v="1"/>
    <n v="-7730.67"/>
    <x v="2"/>
  </r>
  <r>
    <s v="FIN-01055"/>
    <d v="2025-09-04T00:00:00"/>
    <x v="0"/>
    <x v="1"/>
    <x v="8"/>
    <x v="1"/>
    <s v="Peshawar"/>
    <s v="Prime Supplies"/>
    <x v="1"/>
    <n v="5000"/>
    <n v="3653.45"/>
    <n v="-1346.5500000000002"/>
    <n v="-0.26931000000000005"/>
    <x v="0"/>
    <n v="-3653.45"/>
    <x v="8"/>
  </r>
  <r>
    <s v="FIN-01056"/>
    <d v="2026-01-27T00:00:00"/>
    <x v="1"/>
    <x v="3"/>
    <x v="3"/>
    <x v="4"/>
    <s v="Lahore"/>
    <s v="Softworks"/>
    <x v="3"/>
    <n v="11547.62"/>
    <n v="21647.5"/>
    <n v="10099.879999999999"/>
    <n v="0.87462871137082776"/>
    <x v="1"/>
    <n v="21647.5"/>
    <x v="12"/>
  </r>
  <r>
    <s v="FIN-01057"/>
    <d v="2025-06-11T00:00:00"/>
    <x v="0"/>
    <x v="4"/>
    <x v="10"/>
    <x v="0"/>
    <s v="Karachi"/>
    <s v="Officepro"/>
    <x v="1"/>
    <n v="6666.67"/>
    <n v="1044.75"/>
    <n v="-5621.92"/>
    <n v="-0.84328757835621082"/>
    <x v="0"/>
    <n v="-1044.75"/>
    <x v="5"/>
  </r>
  <r>
    <s v="FIN-01058"/>
    <d v="2025-06-22T00:00:00"/>
    <x v="0"/>
    <x v="6"/>
    <x v="11"/>
    <x v="3"/>
    <s v="Islamabad"/>
    <s v="Urban Facilities"/>
    <x v="2"/>
    <n v="3666.67"/>
    <n v="3693.08"/>
    <n v="26.409999999999854"/>
    <n v="7.2027207247993014E-3"/>
    <x v="1"/>
    <n v="-3693.08"/>
    <x v="5"/>
  </r>
  <r>
    <s v="FIN-01059"/>
    <d v="2025-05-03T00:00:00"/>
    <x v="0"/>
    <x v="5"/>
    <x v="1"/>
    <x v="2"/>
    <s v="Lahore"/>
    <s v="Peoplefirst"/>
    <x v="2"/>
    <n v="2250"/>
    <n v="964.34"/>
    <n v="-1285.6599999999999"/>
    <n v="-0.57140444444444438"/>
    <x v="0"/>
    <n v="-964.34"/>
    <x v="4"/>
  </r>
  <r>
    <s v="FIN-01060"/>
    <d v="2026-03-19T00:00:00"/>
    <x v="1"/>
    <x v="3"/>
    <x v="3"/>
    <x v="2"/>
    <s v="Karachi"/>
    <s v="Buildcare"/>
    <x v="2"/>
    <n v="11363.64"/>
    <n v="19922.12"/>
    <n v="8558.48"/>
    <n v="0.75314599899328027"/>
    <x v="1"/>
    <n v="19922.12"/>
    <x v="14"/>
  </r>
  <r>
    <s v="FIN-01061"/>
    <d v="2025-02-26T00:00:00"/>
    <x v="1"/>
    <x v="4"/>
    <x v="2"/>
    <x v="1"/>
    <s v="Peshawar"/>
    <s v="Techsource"/>
    <x v="1"/>
    <n v="4850"/>
    <n v="6211.83"/>
    <n v="1361.83"/>
    <n v="0.28078969072164944"/>
    <x v="1"/>
    <n v="6211.83"/>
    <x v="1"/>
  </r>
  <r>
    <s v="FIN-01062"/>
    <d v="2025-06-10T00:00:00"/>
    <x v="0"/>
    <x v="1"/>
    <x v="6"/>
    <x v="0"/>
    <s v="Islamabad"/>
    <s v="Softworks"/>
    <x v="4"/>
    <n v="6428.57"/>
    <n v="7752.27"/>
    <n v="1323.7000000000007"/>
    <n v="0.20590893464643004"/>
    <x v="1"/>
    <n v="-7752.27"/>
    <x v="5"/>
  </r>
  <r>
    <s v="FIN-01063"/>
    <d v="2025-01-07T00:00:00"/>
    <x v="0"/>
    <x v="3"/>
    <x v="7"/>
    <x v="1"/>
    <s v="Karachi"/>
    <s v="Adsphere"/>
    <x v="3"/>
    <n v="5658.33"/>
    <n v="189.59"/>
    <n v="-5468.74"/>
    <n v="-0.96649364741893806"/>
    <x v="0"/>
    <n v="-189.59"/>
    <x v="0"/>
  </r>
  <r>
    <s v="FIN-01064"/>
    <d v="2025-08-08T00:00:00"/>
    <x v="1"/>
    <x v="3"/>
    <x v="12"/>
    <x v="0"/>
    <s v="Karachi"/>
    <s v="Markethub"/>
    <x v="4"/>
    <n v="7142.86"/>
    <n v="17060.52"/>
    <n v="9917.66"/>
    <n v="1.3884718446112623"/>
    <x v="1"/>
    <n v="17060.52"/>
    <x v="7"/>
  </r>
  <r>
    <s v="FIN-01065"/>
    <d v="2026-03-02T00:00:00"/>
    <x v="0"/>
    <x v="6"/>
    <x v="1"/>
    <x v="4"/>
    <s v="Lahore"/>
    <s v="Legalworks"/>
    <x v="1"/>
    <n v="2571.4299999999998"/>
    <n v="1675.24"/>
    <n v="-896.18999999999983"/>
    <n v="-0.34851813971214457"/>
    <x v="0"/>
    <n v="-1675.24"/>
    <x v="14"/>
  </r>
  <r>
    <s v="FIN-01066"/>
    <d v="2025-09-17T00:00:00"/>
    <x v="0"/>
    <x v="5"/>
    <x v="10"/>
    <x v="1"/>
    <s v="Faisalabad"/>
    <s v="Peoplefirst"/>
    <x v="3"/>
    <n v="5000"/>
    <n v="946.7"/>
    <n v="-4053.3"/>
    <n v="-0.81066000000000005"/>
    <x v="0"/>
    <n v="-946.7"/>
    <x v="8"/>
  </r>
  <r>
    <s v="FIN-01067"/>
    <d v="2026-06-04T00:00:00"/>
    <x v="1"/>
    <x v="3"/>
    <x v="12"/>
    <x v="0"/>
    <s v="Islamabad"/>
    <s v="Softworks"/>
    <x v="1"/>
    <n v="4761.8999999999996"/>
    <n v="3945.58"/>
    <n v="-816.31999999999971"/>
    <n v="-0.17142737142737138"/>
    <x v="0"/>
    <n v="3945.58"/>
    <x v="13"/>
  </r>
  <r>
    <s v="FIN-01068"/>
    <d v="2026-03-20T00:00:00"/>
    <x v="0"/>
    <x v="2"/>
    <x v="6"/>
    <x v="4"/>
    <s v="Karachi"/>
    <s v="Officepro"/>
    <x v="2"/>
    <n v="7200"/>
    <n v="3941.3"/>
    <n v="-3258.7"/>
    <n v="-0.45259722222222221"/>
    <x v="0"/>
    <n v="-3941.3"/>
    <x v="14"/>
  </r>
  <r>
    <s v="FIN-01069"/>
    <d v="2026-04-07T00:00:00"/>
    <x v="0"/>
    <x v="6"/>
    <x v="5"/>
    <x v="3"/>
    <s v="Islamabad"/>
    <s v="Travellink"/>
    <x v="3"/>
    <n v="10833.33"/>
    <n v="9564.1200000000008"/>
    <n v="-1269.2099999999991"/>
    <n v="-0.11715788220242521"/>
    <x v="0"/>
    <n v="-9564.1200000000008"/>
    <x v="15"/>
  </r>
  <r>
    <s v="FIN-01070"/>
    <d v="2025-05-20T00:00:00"/>
    <x v="0"/>
    <x v="4"/>
    <x v="8"/>
    <x v="1"/>
    <s v="Karachi"/>
    <s v="Softworks"/>
    <x v="2"/>
    <n v="2307.69"/>
    <n v="5582.55"/>
    <n v="3274.86"/>
    <n v="1.4191074191074191"/>
    <x v="1"/>
    <n v="-5582.55"/>
    <x v="4"/>
  </r>
  <r>
    <s v="FIN-01071"/>
    <d v="2026-05-05T00:00:00"/>
    <x v="1"/>
    <x v="3"/>
    <x v="2"/>
    <x v="2"/>
    <s v="Multan"/>
    <s v="Powergrid"/>
    <x v="4"/>
    <n v="6153.85"/>
    <n v="3382.47"/>
    <n v="-2771.3800000000006"/>
    <n v="-0.45034896853189471"/>
    <x v="0"/>
    <n v="3382.47"/>
    <x v="16"/>
  </r>
  <r>
    <s v="FIN-01072"/>
    <d v="2026-03-29T00:00:00"/>
    <x v="0"/>
    <x v="1"/>
    <x v="11"/>
    <x v="2"/>
    <s v="Peshawar"/>
    <s v="Markethub"/>
    <x v="4"/>
    <n v="1833.33"/>
    <n v="3249.53"/>
    <n v="1416.2000000000003"/>
    <n v="0.77247413177114888"/>
    <x v="1"/>
    <n v="-3249.53"/>
    <x v="14"/>
  </r>
  <r>
    <s v="FIN-01073"/>
    <d v="2026-01-07T00:00:00"/>
    <x v="1"/>
    <x v="3"/>
    <x v="12"/>
    <x v="2"/>
    <s v="Lahore"/>
    <s v="Techsource"/>
    <x v="1"/>
    <n v="6062.5"/>
    <n v="10721.19"/>
    <n v="4658.6900000000005"/>
    <n v="0.76844371134020628"/>
    <x v="1"/>
    <n v="10721.19"/>
    <x v="12"/>
  </r>
  <r>
    <s v="FIN-01074"/>
    <d v="2025-10-17T00:00:00"/>
    <x v="0"/>
    <x v="5"/>
    <x v="6"/>
    <x v="3"/>
    <s v="Lahore"/>
    <s v="Dataserve"/>
    <x v="1"/>
    <n v="7826.09"/>
    <n v="9162.25"/>
    <n v="1336.1599999999999"/>
    <n v="0.17073148915997641"/>
    <x v="1"/>
    <n v="-9162.25"/>
    <x v="9"/>
  </r>
  <r>
    <s v="FIN-01075"/>
    <d v="2025-07-30T00:00:00"/>
    <x v="0"/>
    <x v="1"/>
    <x v="6"/>
    <x v="3"/>
    <s v="Lahore"/>
    <s v="Prime Supplies"/>
    <x v="4"/>
    <n v="6923.08"/>
    <n v="12154.66"/>
    <n v="5231.58"/>
    <n v="0.75567233081229745"/>
    <x v="1"/>
    <n v="-12154.66"/>
    <x v="6"/>
  </r>
  <r>
    <s v="FIN-01076"/>
    <d v="2026-04-18T00:00:00"/>
    <x v="1"/>
    <x v="1"/>
    <x v="3"/>
    <x v="2"/>
    <s v="Karachi"/>
    <s v="Shipfast"/>
    <x v="0"/>
    <n v="8333.33"/>
    <n v="16689.939999999999"/>
    <n v="8356.6099999999988"/>
    <n v="1.0027936011174403"/>
    <x v="1"/>
    <n v="16689.939999999999"/>
    <x v="15"/>
  </r>
  <r>
    <s v="FIN-01077"/>
    <d v="2025-12-23T00:00:00"/>
    <x v="1"/>
    <x v="5"/>
    <x v="3"/>
    <x v="4"/>
    <s v="Karachi"/>
    <s v="Cloudnet"/>
    <x v="3"/>
    <n v="15441.18"/>
    <n v="16213.13"/>
    <n v="771.94999999999891"/>
    <n v="4.9992940953994376E-2"/>
    <x v="1"/>
    <n v="16213.13"/>
    <x v="11"/>
  </r>
  <r>
    <s v="FIN-01078"/>
    <d v="2026-02-19T00:00:00"/>
    <x v="0"/>
    <x v="0"/>
    <x v="6"/>
    <x v="3"/>
    <s v="Karachi"/>
    <s v="Shipfast"/>
    <x v="3"/>
    <n v="9189.4699999999993"/>
    <n v="16900.86"/>
    <n v="7711.3900000000012"/>
    <n v="0.8391550328800248"/>
    <x v="1"/>
    <n v="-16900.86"/>
    <x v="17"/>
  </r>
  <r>
    <s v="FIN-01079"/>
    <d v="2026-01-11T00:00:00"/>
    <x v="1"/>
    <x v="1"/>
    <x v="3"/>
    <x v="0"/>
    <s v="Lahore"/>
    <s v="Travellink"/>
    <x v="4"/>
    <n v="11547.62"/>
    <n v="10514.03"/>
    <n v="-1033.5900000000001"/>
    <n v="-8.9506755504597496E-2"/>
    <x v="0"/>
    <n v="10514.03"/>
    <x v="12"/>
  </r>
  <r>
    <s v="FIN-01080"/>
    <d v="2025-07-27T00:00:00"/>
    <x v="0"/>
    <x v="5"/>
    <x v="6"/>
    <x v="2"/>
    <s v="Lahore"/>
    <s v="Techsource"/>
    <x v="1"/>
    <n v="6923.08"/>
    <n v="5277.45"/>
    <n v="-1645.63"/>
    <n v="-0.23770200546577536"/>
    <x v="0"/>
    <n v="-5277.45"/>
    <x v="6"/>
  </r>
  <r>
    <s v="FIN-01081"/>
    <d v="2025-03-13T00:00:00"/>
    <x v="0"/>
    <x v="2"/>
    <x v="6"/>
    <x v="2"/>
    <s v="Islamabad"/>
    <s v="Powergrid"/>
    <x v="1"/>
    <n v="6000"/>
    <n v="6328.45"/>
    <n v="328.44999999999982"/>
    <n v="5.4741666666666633E-2"/>
    <x v="1"/>
    <n v="-6328.45"/>
    <x v="2"/>
  </r>
  <r>
    <s v="FIN-01082"/>
    <d v="2025-08-15T00:00:00"/>
    <x v="0"/>
    <x v="1"/>
    <x v="9"/>
    <x v="4"/>
    <s v="Karachi"/>
    <s v="Buildcare"/>
    <x v="1"/>
    <n v="3928.57"/>
    <n v="8823.15"/>
    <n v="4894.58"/>
    <n v="1.2458935439612886"/>
    <x v="1"/>
    <n v="-8823.15"/>
    <x v="7"/>
  </r>
  <r>
    <s v="FIN-01083"/>
    <d v="2025-03-24T00:00:00"/>
    <x v="0"/>
    <x v="5"/>
    <x v="7"/>
    <x v="4"/>
    <s v="Peshawar"/>
    <s v="Adsphere"/>
    <x v="2"/>
    <n v="4375"/>
    <n v="1435.52"/>
    <n v="-2939.48"/>
    <n v="-0.67188114285714284"/>
    <x v="0"/>
    <n v="-1435.52"/>
    <x v="2"/>
  </r>
  <r>
    <s v="FIN-01084"/>
    <d v="2026-04-12T00:00:00"/>
    <x v="0"/>
    <x v="0"/>
    <x v="4"/>
    <x v="0"/>
    <s v="Karachi"/>
    <s v="Officepro"/>
    <x v="4"/>
    <n v="5600"/>
    <n v="2121.61"/>
    <n v="-3478.39"/>
    <n v="-0.62114107142857145"/>
    <x v="0"/>
    <n v="-2121.61"/>
    <x v="15"/>
  </r>
  <r>
    <s v="FIN-01085"/>
    <d v="2025-11-28T00:00:00"/>
    <x v="1"/>
    <x v="5"/>
    <x v="3"/>
    <x v="3"/>
    <s v="Faisalabad"/>
    <s v="Urban Facilities"/>
    <x v="3"/>
    <n v="13125"/>
    <n v="19524.900000000001"/>
    <n v="6399.9000000000015"/>
    <n v="0.4876114285714287"/>
    <x v="1"/>
    <n v="19524.900000000001"/>
    <x v="10"/>
  </r>
  <r>
    <s v="FIN-01086"/>
    <d v="2025-04-13T00:00:00"/>
    <x v="0"/>
    <x v="1"/>
    <x v="8"/>
    <x v="4"/>
    <s v="Faisalabad"/>
    <s v="Adsphere"/>
    <x v="1"/>
    <n v="3750"/>
    <n v="2346.7600000000002"/>
    <n v="-1403.2399999999998"/>
    <n v="-0.37419733333333327"/>
    <x v="0"/>
    <n v="-2346.7600000000002"/>
    <x v="3"/>
  </r>
  <r>
    <s v="FIN-01087"/>
    <d v="2025-04-01T00:00:00"/>
    <x v="0"/>
    <x v="2"/>
    <x v="7"/>
    <x v="4"/>
    <s v="Faisalabad"/>
    <s v="Techsource"/>
    <x v="4"/>
    <n v="4375"/>
    <n v="156"/>
    <n v="-4219"/>
    <n v="-0.96434285714285717"/>
    <x v="0"/>
    <n v="-156"/>
    <x v="3"/>
  </r>
  <r>
    <s v="FIN-01088"/>
    <d v="2025-04-30T00:00:00"/>
    <x v="1"/>
    <x v="3"/>
    <x v="3"/>
    <x v="3"/>
    <s v="Karachi"/>
    <s v="Adsphere"/>
    <x v="4"/>
    <n v="11363.64"/>
    <n v="7197.17"/>
    <n v="-4166.4699999999993"/>
    <n v="-0.3666492426722423"/>
    <x v="0"/>
    <n v="7197.17"/>
    <x v="3"/>
  </r>
  <r>
    <s v="FIN-01089"/>
    <d v="2025-07-06T00:00:00"/>
    <x v="0"/>
    <x v="3"/>
    <x v="6"/>
    <x v="2"/>
    <s v="Islamabad"/>
    <s v="Legalworks"/>
    <x v="1"/>
    <n v="6923.08"/>
    <n v="1409.89"/>
    <n v="-5513.19"/>
    <n v="-0.79634931273363874"/>
    <x v="0"/>
    <n v="-1409.89"/>
    <x v="6"/>
  </r>
  <r>
    <s v="FIN-01090"/>
    <d v="2025-07-31T00:00:00"/>
    <x v="0"/>
    <x v="3"/>
    <x v="6"/>
    <x v="4"/>
    <s v="Lahore"/>
    <s v="Softworks"/>
    <x v="1"/>
    <n v="6923.08"/>
    <n v="4154.57"/>
    <n v="-2768.51"/>
    <n v="-0.39989571115746175"/>
    <x v="0"/>
    <n v="-4154.57"/>
    <x v="6"/>
  </r>
  <r>
    <s v="FIN-01091"/>
    <d v="2025-09-09T00:00:00"/>
    <x v="0"/>
    <x v="1"/>
    <x v="5"/>
    <x v="0"/>
    <s v="Peshawar"/>
    <s v="Dataserve"/>
    <x v="4"/>
    <n v="9285.7099999999991"/>
    <n v="7314.26"/>
    <n v="-1971.4499999999989"/>
    <n v="-0.21231009798927589"/>
    <x v="0"/>
    <n v="-7314.26"/>
    <x v="8"/>
  </r>
  <r>
    <s v="FIN-01092"/>
    <d v="2025-03-01T00:00:00"/>
    <x v="0"/>
    <x v="6"/>
    <x v="6"/>
    <x v="3"/>
    <s v="Faisalabad"/>
    <s v="Officepro"/>
    <x v="1"/>
    <n v="6000"/>
    <n v="7308.27"/>
    <n v="1308.2700000000004"/>
    <n v="0.21804500000000007"/>
    <x v="1"/>
    <n v="-7308.27"/>
    <x v="2"/>
  </r>
  <r>
    <s v="FIN-01093"/>
    <d v="2026-02-16T00:00:00"/>
    <x v="1"/>
    <x v="2"/>
    <x v="2"/>
    <x v="3"/>
    <s v="Karachi"/>
    <s v="Shipfast"/>
    <x v="0"/>
    <n v="12933.33"/>
    <n v="167.19"/>
    <n v="-12766.14"/>
    <n v="-0.98707293481261205"/>
    <x v="0"/>
    <n v="167.19"/>
    <x v="17"/>
  </r>
  <r>
    <s v="FIN-01094"/>
    <d v="2026-04-14T00:00:00"/>
    <x v="0"/>
    <x v="1"/>
    <x v="5"/>
    <x v="3"/>
    <s v="Islamabad"/>
    <s v="Shipfast"/>
    <x v="4"/>
    <n v="10833.33"/>
    <n v="9898.07"/>
    <n v="-935.26000000000022"/>
    <n v="-8.6331718871298133E-2"/>
    <x v="0"/>
    <n v="-9898.07"/>
    <x v="15"/>
  </r>
  <r>
    <s v="FIN-01095"/>
    <d v="2026-03-15T00:00:00"/>
    <x v="0"/>
    <x v="2"/>
    <x v="6"/>
    <x v="4"/>
    <s v="Karachi"/>
    <s v="Softworks"/>
    <x v="1"/>
    <n v="7200"/>
    <n v="5443.81"/>
    <n v="-1756.1899999999996"/>
    <n v="-0.24391527777777772"/>
    <x v="0"/>
    <n v="-5443.81"/>
    <x v="14"/>
  </r>
  <r>
    <s v="FIN-01096"/>
    <d v="2026-05-14T00:00:00"/>
    <x v="1"/>
    <x v="2"/>
    <x v="3"/>
    <x v="2"/>
    <s v="Faisalabad"/>
    <s v="Shipfast"/>
    <x v="2"/>
    <n v="10869.57"/>
    <n v="10204.209999999999"/>
    <n v="-665.36000000000058"/>
    <n v="-6.1213093066239108E-2"/>
    <x v="0"/>
    <n v="10204.209999999999"/>
    <x v="16"/>
  </r>
  <r>
    <s v="FIN-01097"/>
    <d v="2025-02-24T00:00:00"/>
    <x v="1"/>
    <x v="1"/>
    <x v="3"/>
    <x v="1"/>
    <s v="Islamabad"/>
    <s v="Shipfast"/>
    <x v="1"/>
    <n v="13472.22"/>
    <n v="17109.18"/>
    <n v="3636.9600000000009"/>
    <n v="0.26995996205525158"/>
    <x v="1"/>
    <n v="17109.18"/>
    <x v="1"/>
  </r>
  <r>
    <s v="FIN-01098"/>
    <d v="2025-10-04T00:00:00"/>
    <x v="0"/>
    <x v="2"/>
    <x v="0"/>
    <x v="4"/>
    <s v="Peshawar"/>
    <s v="Buildcare"/>
    <x v="1"/>
    <n v="2666.67"/>
    <n v="4232.34"/>
    <n v="1565.67"/>
    <n v="0.58712551609310493"/>
    <x v="1"/>
    <n v="-4232.34"/>
    <x v="9"/>
  </r>
  <r>
    <s v="FIN-01099"/>
    <d v="2025-09-19T00:00:00"/>
    <x v="1"/>
    <x v="2"/>
    <x v="12"/>
    <x v="1"/>
    <s v="Multan"/>
    <s v="Markethub"/>
    <x v="2"/>
    <n v="7142.86"/>
    <n v="6247.49"/>
    <n v="-895.36999999999989"/>
    <n v="-0.12535174985930006"/>
    <x v="0"/>
    <n v="6247.49"/>
    <x v="8"/>
  </r>
  <r>
    <s v="FIN-01100"/>
    <d v="2025-04-07T00:00:00"/>
    <x v="0"/>
    <x v="6"/>
    <x v="7"/>
    <x v="3"/>
    <s v="Karachi"/>
    <s v="Powergrid"/>
    <x v="4"/>
    <n v="4375"/>
    <n v="2439.38"/>
    <n v="-1935.62"/>
    <n v="-0.44242742857142853"/>
    <x v="0"/>
    <n v="-2439.38"/>
    <x v="3"/>
  </r>
  <r>
    <s v="FIN-01101"/>
    <d v="2025-03-29T00:00:00"/>
    <x v="1"/>
    <x v="3"/>
    <x v="3"/>
    <x v="3"/>
    <s v="Karachi"/>
    <s v="Adsphere"/>
    <x v="0"/>
    <n v="8064.52"/>
    <n v="19635.46"/>
    <n v="11570.939999999999"/>
    <n v="1.4347958712979816"/>
    <x v="1"/>
    <n v="19635.46"/>
    <x v="2"/>
  </r>
  <r>
    <s v="FIN-01102"/>
    <d v="2025-05-24T00:00:00"/>
    <x v="0"/>
    <x v="1"/>
    <x v="8"/>
    <x v="0"/>
    <s v="Peshawar"/>
    <s v="Prime Supplies"/>
    <x v="4"/>
    <n v="2307.69"/>
    <n v="4898.01"/>
    <n v="2590.3200000000002"/>
    <n v="1.1224731224731226"/>
    <x v="1"/>
    <n v="-4898.01"/>
    <x v="4"/>
  </r>
  <r>
    <s v="FIN-01103"/>
    <d v="2025-10-13T00:00:00"/>
    <x v="0"/>
    <x v="1"/>
    <x v="8"/>
    <x v="2"/>
    <s v="Islamabad"/>
    <s v="Dataserve"/>
    <x v="0"/>
    <n v="5000"/>
    <n v="3381.43"/>
    <n v="-1618.5700000000002"/>
    <n v="-0.32371400000000006"/>
    <x v="0"/>
    <n v="-3381.43"/>
    <x v="9"/>
  </r>
  <r>
    <s v="FIN-01104"/>
    <d v="2026-06-26T00:00:00"/>
    <x v="0"/>
    <x v="1"/>
    <x v="5"/>
    <x v="0"/>
    <s v="Karachi"/>
    <s v="Prime Supplies"/>
    <x v="3"/>
    <n v="5416.67"/>
    <n v="4196.97"/>
    <n v="-1219.6999999999998"/>
    <n v="-0.22517524604600239"/>
    <x v="0"/>
    <n v="-4196.97"/>
    <x v="13"/>
  </r>
  <r>
    <s v="FIN-01105"/>
    <d v="2025-10-27T00:00:00"/>
    <x v="0"/>
    <x v="4"/>
    <x v="1"/>
    <x v="1"/>
    <s v="Karachi"/>
    <s v="Officepro"/>
    <x v="3"/>
    <n v="3000"/>
    <n v="1184.2"/>
    <n v="-1815.8"/>
    <n v="-0.60526666666666662"/>
    <x v="0"/>
    <n v="-1184.2"/>
    <x v="9"/>
  </r>
  <r>
    <s v="FIN-01106"/>
    <d v="2025-01-11T00:00:00"/>
    <x v="1"/>
    <x v="4"/>
    <x v="3"/>
    <x v="3"/>
    <s v="Faisalabad"/>
    <s v="Adsphere"/>
    <x v="3"/>
    <n v="11022.73"/>
    <n v="19558.25"/>
    <n v="8535.52"/>
    <n v="0.77435626201494556"/>
    <x v="1"/>
    <n v="19558.25"/>
    <x v="0"/>
  </r>
  <r>
    <s v="FIN-01107"/>
    <d v="2026-02-24T00:00:00"/>
    <x v="0"/>
    <x v="4"/>
    <x v="1"/>
    <x v="3"/>
    <s v="Lahore"/>
    <s v="Softworks"/>
    <x v="1"/>
    <n v="2182.5"/>
    <n v="286.94"/>
    <n v="-1895.56"/>
    <n v="-0.86852691867124854"/>
    <x v="0"/>
    <n v="-286.94"/>
    <x v="17"/>
  </r>
  <r>
    <s v="FIN-01108"/>
    <d v="2025-06-12T00:00:00"/>
    <x v="0"/>
    <x v="2"/>
    <x v="9"/>
    <x v="2"/>
    <s v="Multan"/>
    <s v="Prime Supplies"/>
    <x v="3"/>
    <n v="5500"/>
    <n v="2161.12"/>
    <n v="-3338.88"/>
    <n v="-0.60706909090909089"/>
    <x v="0"/>
    <n v="-2161.12"/>
    <x v="5"/>
  </r>
  <r>
    <s v="FIN-01109"/>
    <d v="2025-01-14T00:00:00"/>
    <x v="0"/>
    <x v="5"/>
    <x v="6"/>
    <x v="3"/>
    <s v="Lahore"/>
    <s v="Officepro"/>
    <x v="2"/>
    <n v="7591.3"/>
    <n v="7740.55"/>
    <n v="149.25"/>
    <n v="1.9660664181365511E-2"/>
    <x v="1"/>
    <n v="-7740.55"/>
    <x v="0"/>
  </r>
  <r>
    <s v="FIN-01110"/>
    <d v="2025-06-05T00:00:00"/>
    <x v="0"/>
    <x v="2"/>
    <x v="6"/>
    <x v="3"/>
    <s v="Karachi"/>
    <s v="Techsource"/>
    <x v="4"/>
    <n v="6428.57"/>
    <n v="0"/>
    <n v="-6428.57"/>
    <n v="-1"/>
    <x v="0"/>
    <n v="0"/>
    <x v="5"/>
  </r>
  <r>
    <s v="FIN-01111"/>
    <d v="2025-03-21T00:00:00"/>
    <x v="0"/>
    <x v="3"/>
    <x v="11"/>
    <x v="4"/>
    <s v="Karachi"/>
    <s v="Markethub"/>
    <x v="3"/>
    <n v="3142.86"/>
    <n v="2098.87"/>
    <n v="-1043.9900000000002"/>
    <n v="-0.33217833438333244"/>
    <x v="0"/>
    <n v="-2098.87"/>
    <x v="2"/>
  </r>
  <r>
    <s v="FIN-01112"/>
    <d v="2026-03-29T00:00:00"/>
    <x v="1"/>
    <x v="5"/>
    <x v="2"/>
    <x v="4"/>
    <s v="Karachi"/>
    <s v="Softworks"/>
    <x v="1"/>
    <n v="10000"/>
    <n v="6040.7"/>
    <n v="-3959.3"/>
    <n v="-0.39593"/>
    <x v="0"/>
    <n v="6040.7"/>
    <x v="14"/>
  </r>
  <r>
    <s v="FIN-01113"/>
    <d v="2025-11-06T00:00:00"/>
    <x v="1"/>
    <x v="3"/>
    <x v="3"/>
    <x v="0"/>
    <s v="Faisalabad"/>
    <s v="Cloudnet"/>
    <x v="4"/>
    <n v="13125"/>
    <n v="5042.3100000000004"/>
    <n v="-8082.69"/>
    <n v="-0.61582399999999993"/>
    <x v="0"/>
    <n v="5042.3100000000004"/>
    <x v="10"/>
  </r>
  <r>
    <s v="FIN-01114"/>
    <d v="2025-07-03T00:00:00"/>
    <x v="1"/>
    <x v="0"/>
    <x v="3"/>
    <x v="4"/>
    <s v="Karachi"/>
    <s v="Urban Facilities"/>
    <x v="4"/>
    <n v="12500"/>
    <n v="11295"/>
    <n v="-1205"/>
    <n v="-9.64E-2"/>
    <x v="0"/>
    <n v="11295"/>
    <x v="6"/>
  </r>
  <r>
    <s v="FIN-01115"/>
    <d v="2025-05-26T00:00:00"/>
    <x v="0"/>
    <x v="2"/>
    <x v="4"/>
    <x v="4"/>
    <s v="Multan"/>
    <s v="Peoplefirst"/>
    <x v="0"/>
    <n v="4000"/>
    <n v="1910.89"/>
    <n v="-2089.1099999999997"/>
    <n v="-0.52227749999999995"/>
    <x v="0"/>
    <n v="-1910.89"/>
    <x v="4"/>
  </r>
  <r>
    <s v="FIN-01116"/>
    <d v="2025-09-17T00:00:00"/>
    <x v="0"/>
    <x v="2"/>
    <x v="6"/>
    <x v="3"/>
    <s v="Faisalabad"/>
    <s v="Buildcare"/>
    <x v="2"/>
    <n v="7500"/>
    <n v="8373.18"/>
    <n v="873.18000000000029"/>
    <n v="0.11642400000000004"/>
    <x v="1"/>
    <n v="-8373.18"/>
    <x v="8"/>
  </r>
  <r>
    <s v="FIN-01117"/>
    <d v="2026-03-27T00:00:00"/>
    <x v="1"/>
    <x v="3"/>
    <x v="12"/>
    <x v="0"/>
    <s v="Faisalabad"/>
    <s v="Travellink"/>
    <x v="2"/>
    <n v="10000"/>
    <n v="2973.63"/>
    <n v="-7026.37"/>
    <n v="-0.70263699999999996"/>
    <x v="0"/>
    <n v="2973.63"/>
    <x v="14"/>
  </r>
  <r>
    <s v="FIN-01118"/>
    <d v="2026-05-29T00:00:00"/>
    <x v="1"/>
    <x v="1"/>
    <x v="3"/>
    <x v="4"/>
    <s v="Karachi"/>
    <s v="Cloudnet"/>
    <x v="0"/>
    <n v="10869.57"/>
    <n v="3802.8"/>
    <n v="-7066.7699999999995"/>
    <n v="-0.65014255393727627"/>
    <x v="0"/>
    <n v="3802.8"/>
    <x v="16"/>
  </r>
  <r>
    <s v="FIN-01119"/>
    <d v="2026-04-23T00:00:00"/>
    <x v="0"/>
    <x v="0"/>
    <x v="6"/>
    <x v="4"/>
    <s v="Karachi"/>
    <s v="Softworks"/>
    <x v="4"/>
    <n v="8571.43"/>
    <n v="8516.42"/>
    <n v="-55.010000000000218"/>
    <n v="-6.4178322636946478E-3"/>
    <x v="0"/>
    <n v="-8516.42"/>
    <x v="15"/>
  </r>
  <r>
    <s v="FIN-01120"/>
    <d v="2025-09-18T00:00:00"/>
    <x v="0"/>
    <x v="2"/>
    <x v="4"/>
    <x v="3"/>
    <s v="Karachi"/>
    <s v="Powergrid"/>
    <x v="3"/>
    <n v="3500"/>
    <n v="2382.23"/>
    <n v="-1117.77"/>
    <n v="-0.31936285714285712"/>
    <x v="0"/>
    <n v="-2382.23"/>
    <x v="8"/>
  </r>
  <r>
    <s v="FIN-01121"/>
    <d v="2025-08-14T00:00:00"/>
    <x v="0"/>
    <x v="6"/>
    <x v="5"/>
    <x v="4"/>
    <s v="Lahore"/>
    <s v="Cloudnet"/>
    <x v="4"/>
    <n v="10833.33"/>
    <n v="6002.22"/>
    <n v="-4831.1099999999997"/>
    <n v="-0.44594875259961614"/>
    <x v="0"/>
    <n v="-6002.22"/>
    <x v="7"/>
  </r>
  <r>
    <s v="FIN-01122"/>
    <d v="2026-01-30T00:00:00"/>
    <x v="0"/>
    <x v="2"/>
    <x v="0"/>
    <x v="4"/>
    <s v="Karachi"/>
    <s v="Prime Supplies"/>
    <x v="1"/>
    <n v="3104"/>
    <n v="5817.94"/>
    <n v="2713.9399999999996"/>
    <n v="0.87433634020618545"/>
    <x v="1"/>
    <n v="-5817.94"/>
    <x v="12"/>
  </r>
  <r>
    <s v="FIN-01123"/>
    <d v="2025-02-15T00:00:00"/>
    <x v="0"/>
    <x v="6"/>
    <x v="5"/>
    <x v="3"/>
    <s v="Islamabad"/>
    <s v="Techsource"/>
    <x v="2"/>
    <n v="10508.33"/>
    <n v="7558.68"/>
    <n v="-2949.6499999999996"/>
    <n v="-0.28069636183865559"/>
    <x v="0"/>
    <n v="-7558.68"/>
    <x v="1"/>
  </r>
  <r>
    <s v="FIN-01124"/>
    <d v="2025-09-30T00:00:00"/>
    <x v="0"/>
    <x v="1"/>
    <x v="9"/>
    <x v="2"/>
    <s v="Multan"/>
    <s v="Shipfast"/>
    <x v="1"/>
    <n v="6111.11"/>
    <n v="577.51"/>
    <n v="-5533.5999999999995"/>
    <n v="-0.90549834645424476"/>
    <x v="0"/>
    <n v="-577.51"/>
    <x v="8"/>
  </r>
  <r>
    <s v="FIN-01125"/>
    <d v="2026-03-29T00:00:00"/>
    <x v="0"/>
    <x v="1"/>
    <x v="1"/>
    <x v="3"/>
    <s v="Peshawar"/>
    <s v="Adsphere"/>
    <x v="3"/>
    <n v="2571.4299999999998"/>
    <n v="1513.21"/>
    <n v="-1058.2199999999998"/>
    <n v="-0.4115297713723492"/>
    <x v="0"/>
    <n v="-1513.21"/>
    <x v="14"/>
  </r>
  <r>
    <s v="FIN-01126"/>
    <d v="2026-02-01T00:00:00"/>
    <x v="1"/>
    <x v="3"/>
    <x v="12"/>
    <x v="3"/>
    <s v="Karachi"/>
    <s v="Unknown"/>
    <x v="3"/>
    <n v="8083.33"/>
    <n v="655.4"/>
    <n v="-7427.93"/>
    <n v="-0.91891955419363069"/>
    <x v="0"/>
    <n v="655.4"/>
    <x v="17"/>
  </r>
  <r>
    <s v="FIN-01127"/>
    <d v="2026-04-17T00:00:00"/>
    <x v="1"/>
    <x v="2"/>
    <x v="3"/>
    <x v="2"/>
    <s v="Peshawar"/>
    <s v="Markethub"/>
    <x v="2"/>
    <n v="8333.33"/>
    <n v="22287.38"/>
    <n v="13954.050000000001"/>
    <n v="1.6744866697946681"/>
    <x v="1"/>
    <n v="22287.38"/>
    <x v="15"/>
  </r>
  <r>
    <s v="FIN-01128"/>
    <d v="2025-05-02T00:00:00"/>
    <x v="0"/>
    <x v="1"/>
    <x v="5"/>
    <x v="0"/>
    <s v="Multan"/>
    <s v="Peoplefirst"/>
    <x v="4"/>
    <n v="4642.8599999999997"/>
    <n v="5381.35"/>
    <n v="738.49000000000069"/>
    <n v="0.15905928673274677"/>
    <x v="1"/>
    <n v="-5381.35"/>
    <x v="4"/>
  </r>
  <r>
    <s v="FIN-01129"/>
    <d v="2026-03-27T00:00:00"/>
    <x v="0"/>
    <x v="1"/>
    <x v="8"/>
    <x v="4"/>
    <s v="Karachi"/>
    <s v="Markethub"/>
    <x v="2"/>
    <n v="6000"/>
    <n v="674.17"/>
    <n v="-5325.83"/>
    <n v="-0.88763833333333331"/>
    <x v="0"/>
    <n v="-674.17"/>
    <x v="14"/>
  </r>
  <r>
    <s v="FIN-01130"/>
    <d v="2025-09-10T00:00:00"/>
    <x v="0"/>
    <x v="2"/>
    <x v="4"/>
    <x v="3"/>
    <s v="Karachi"/>
    <s v="Travellink"/>
    <x v="1"/>
    <n v="3500"/>
    <n v="3160.21"/>
    <n v="-339.78999999999996"/>
    <n v="-9.7082857142857137E-2"/>
    <x v="0"/>
    <n v="-3160.21"/>
    <x v="8"/>
  </r>
  <r>
    <s v="FIN-01131"/>
    <d v="2026-05-11T00:00:00"/>
    <x v="1"/>
    <x v="2"/>
    <x v="3"/>
    <x v="4"/>
    <s v="Karachi"/>
    <s v="Officepro"/>
    <x v="4"/>
    <n v="10869.57"/>
    <n v="7966.72"/>
    <n v="-2902.8499999999995"/>
    <n v="-0.26706208249268365"/>
    <x v="0"/>
    <n v="7966.72"/>
    <x v="16"/>
  </r>
  <r>
    <s v="FIN-01132"/>
    <d v="2025-09-04T00:00:00"/>
    <x v="0"/>
    <x v="6"/>
    <x v="6"/>
    <x v="1"/>
    <s v="Faisalabad"/>
    <s v="Urban Facilities"/>
    <x v="2"/>
    <n v="7500"/>
    <n v="16617.810000000001"/>
    <n v="9117.8100000000013"/>
    <n v="1.2157080000000002"/>
    <x v="1"/>
    <n v="-16617.810000000001"/>
    <x v="8"/>
  </r>
  <r>
    <s v="FIN-01133"/>
    <d v="2025-10-13T00:00:00"/>
    <x v="0"/>
    <x v="1"/>
    <x v="6"/>
    <x v="0"/>
    <s v="Lahore"/>
    <s v="Peoplefirst"/>
    <x v="0"/>
    <n v="7826.09"/>
    <n v="15540.58"/>
    <n v="7714.49"/>
    <n v="0.9857400055455533"/>
    <x v="1"/>
    <n v="-15540.58"/>
    <x v="9"/>
  </r>
  <r>
    <s v="FIN-01134"/>
    <d v="2025-06-22T00:00:00"/>
    <x v="0"/>
    <x v="6"/>
    <x v="9"/>
    <x v="2"/>
    <s v="Karachi"/>
    <s v="Adsphere"/>
    <x v="4"/>
    <n v="5500"/>
    <n v="6177.38"/>
    <n v="677.38000000000011"/>
    <n v="0.12316000000000002"/>
    <x v="1"/>
    <n v="-6177.38"/>
    <x v="5"/>
  </r>
  <r>
    <s v="FIN-01135"/>
    <d v="2026-01-06T00:00:00"/>
    <x v="0"/>
    <x v="4"/>
    <x v="5"/>
    <x v="3"/>
    <s v="Karachi"/>
    <s v="Peoplefirst"/>
    <x v="4"/>
    <n v="6305"/>
    <n v="10275.92"/>
    <n v="3970.92"/>
    <n v="0.62980491673275174"/>
    <x v="1"/>
    <n v="-10275.92"/>
    <x v="12"/>
  </r>
  <r>
    <s v="FIN-01136"/>
    <d v="2026-03-10T00:00:00"/>
    <x v="0"/>
    <x v="2"/>
    <x v="6"/>
    <x v="4"/>
    <s v="Karachi"/>
    <s v="Legalworks"/>
    <x v="2"/>
    <n v="7200"/>
    <n v="1222.46"/>
    <n v="-5977.54"/>
    <n v="-0.83021388888888892"/>
    <x v="0"/>
    <n v="-1222.46"/>
    <x v="14"/>
  </r>
  <r>
    <s v="FIN-01137"/>
    <d v="2025-01-15T00:00:00"/>
    <x v="0"/>
    <x v="6"/>
    <x v="5"/>
    <x v="4"/>
    <s v="Karachi"/>
    <s v="Legalworks"/>
    <x v="3"/>
    <n v="12610"/>
    <n v="3749.38"/>
    <n v="-8860.619999999999"/>
    <n v="-0.70266613798572553"/>
    <x v="0"/>
    <n v="-3749.38"/>
    <x v="0"/>
  </r>
  <r>
    <s v="FIN-01138"/>
    <d v="2026-03-24T00:00:00"/>
    <x v="0"/>
    <x v="1"/>
    <x v="7"/>
    <x v="3"/>
    <s v="Lahore"/>
    <s v="Buildcare"/>
    <x v="0"/>
    <n v="3181.82"/>
    <n v="1639.55"/>
    <n v="-1542.2700000000002"/>
    <n v="-0.48471315159248485"/>
    <x v="0"/>
    <n v="-1639.55"/>
    <x v="14"/>
  </r>
  <r>
    <s v="FIN-01139"/>
    <d v="2025-11-10T00:00:00"/>
    <x v="0"/>
    <x v="5"/>
    <x v="6"/>
    <x v="2"/>
    <s v="Peshawar"/>
    <s v="Markethub"/>
    <x v="4"/>
    <n v="9947.3700000000008"/>
    <n v="14752.2"/>
    <n v="4804.83"/>
    <n v="0.48302516142457752"/>
    <x v="1"/>
    <n v="-14752.2"/>
    <x v="10"/>
  </r>
  <r>
    <s v="FIN-01140"/>
    <d v="2026-02-07T00:00:00"/>
    <x v="0"/>
    <x v="1"/>
    <x v="4"/>
    <x v="3"/>
    <s v="Islamabad"/>
    <s v="Legalworks"/>
    <x v="2"/>
    <n v="3880"/>
    <n v="611.04"/>
    <n v="-3268.96"/>
    <n v="-0.84251546391752574"/>
    <x v="0"/>
    <n v="-611.04"/>
    <x v="17"/>
  </r>
  <r>
    <s v="FIN-01141"/>
    <d v="2025-11-24T00:00:00"/>
    <x v="0"/>
    <x v="2"/>
    <x v="0"/>
    <x v="0"/>
    <s v="Karachi"/>
    <s v="Peoplefirst"/>
    <x v="3"/>
    <n v="5600"/>
    <n v="6040.36"/>
    <n v="440.35999999999967"/>
    <n v="7.8635714285714226E-2"/>
    <x v="1"/>
    <n v="-6040.36"/>
    <x v="10"/>
  </r>
  <r>
    <s v="FIN-01142"/>
    <d v="2025-08-04T00:00:00"/>
    <x v="0"/>
    <x v="0"/>
    <x v="6"/>
    <x v="3"/>
    <s v="Karachi"/>
    <s v="Powergrid"/>
    <x v="3"/>
    <n v="8181.82"/>
    <n v="8020.9"/>
    <n v="-160.92000000000007"/>
    <n v="-1.9667995629334314E-2"/>
    <x v="0"/>
    <n v="-8020.9"/>
    <x v="7"/>
  </r>
  <r>
    <s v="FIN-01143"/>
    <d v="2025-03-01T00:00:00"/>
    <x v="0"/>
    <x v="4"/>
    <x v="9"/>
    <x v="0"/>
    <s v="Karachi"/>
    <s v="Legalworks"/>
    <x v="3"/>
    <n v="3928.57"/>
    <n v="4088.23"/>
    <n v="159.65999999999985"/>
    <n v="4.0640742051178888E-2"/>
    <x v="1"/>
    <n v="-4088.23"/>
    <x v="2"/>
  </r>
  <r>
    <s v="FIN-01144"/>
    <d v="2025-10-25T00:00:00"/>
    <x v="0"/>
    <x v="5"/>
    <x v="6"/>
    <x v="4"/>
    <s v="Karachi"/>
    <s v="Techsource"/>
    <x v="4"/>
    <n v="7826.09"/>
    <n v="7125.35"/>
    <n v="-700.73999999999978"/>
    <n v="-8.9538965179291288E-2"/>
    <x v="0"/>
    <n v="-7125.35"/>
    <x v="9"/>
  </r>
  <r>
    <s v="FIN-01145"/>
    <d v="2026-01-12T00:00:00"/>
    <x v="0"/>
    <x v="1"/>
    <x v="4"/>
    <x v="4"/>
    <s v="Karachi"/>
    <s v="Legalworks"/>
    <x v="4"/>
    <n v="5432"/>
    <n v="1658.53"/>
    <n v="-3773.4700000000003"/>
    <n v="-0.69467415316642123"/>
    <x v="0"/>
    <n v="-1658.53"/>
    <x v="12"/>
  </r>
  <r>
    <s v="FIN-01146"/>
    <d v="2025-01-26T00:00:00"/>
    <x v="0"/>
    <x v="6"/>
    <x v="5"/>
    <x v="2"/>
    <s v="Islamabad"/>
    <s v="Powergrid"/>
    <x v="1"/>
    <n v="12610"/>
    <n v="7166.68"/>
    <n v="-5443.32"/>
    <n v="-0.43166693100713716"/>
    <x v="0"/>
    <n v="-7166.68"/>
    <x v="0"/>
  </r>
  <r>
    <s v="FIN-01147"/>
    <d v="2026-05-10T00:00:00"/>
    <x v="1"/>
    <x v="2"/>
    <x v="3"/>
    <x v="4"/>
    <s v="Multan"/>
    <s v="Adsphere"/>
    <x v="2"/>
    <n v="10869.57"/>
    <n v="1009.3"/>
    <n v="-9860.27"/>
    <n v="-0.90714444085644608"/>
    <x v="0"/>
    <n v="1009.3"/>
    <x v="16"/>
  </r>
  <r>
    <s v="FIN-01148"/>
    <d v="2025-03-03T00:00:00"/>
    <x v="0"/>
    <x v="3"/>
    <x v="8"/>
    <x v="4"/>
    <s v="Karachi"/>
    <s v="Legalworks"/>
    <x v="2"/>
    <n v="3000"/>
    <n v="3702.66"/>
    <n v="702.65999999999985"/>
    <n v="0.23421999999999996"/>
    <x v="1"/>
    <n v="-3702.66"/>
    <x v="2"/>
  </r>
  <r>
    <s v="FIN-01149"/>
    <d v="2025-05-05T00:00:00"/>
    <x v="0"/>
    <x v="6"/>
    <x v="5"/>
    <x v="3"/>
    <s v="Lahore"/>
    <s v="Softworks"/>
    <x v="1"/>
    <n v="4642.8599999999997"/>
    <n v="9665.1"/>
    <n v="5022.2400000000007"/>
    <n v="1.0817125650999602"/>
    <x v="1"/>
    <n v="-9665.1"/>
    <x v="4"/>
  </r>
  <r>
    <s v="FIN-01150"/>
    <d v="2026-05-28T00:00:00"/>
    <x v="1"/>
    <x v="3"/>
    <x v="12"/>
    <x v="4"/>
    <s v="Karachi"/>
    <s v="Legalworks"/>
    <x v="4"/>
    <n v="5882.35"/>
    <n v="10394.41"/>
    <n v="4512.0599999999995"/>
    <n v="0.76705058352529165"/>
    <x v="1"/>
    <n v="10394.41"/>
    <x v="16"/>
  </r>
  <r>
    <s v="FIN-01151"/>
    <d v="2025-09-14T00:00:00"/>
    <x v="0"/>
    <x v="2"/>
    <x v="4"/>
    <x v="1"/>
    <s v="Islamabad"/>
    <s v="Adsphere"/>
    <x v="4"/>
    <n v="3500"/>
    <n v="179.85"/>
    <n v="-3320.15"/>
    <n v="-0.94861428571428574"/>
    <x v="0"/>
    <n v="-179.85"/>
    <x v="8"/>
  </r>
  <r>
    <s v="FIN-01152"/>
    <d v="2025-05-19T00:00:00"/>
    <x v="0"/>
    <x v="2"/>
    <x v="10"/>
    <x v="4"/>
    <s v="Karachi"/>
    <s v="Cloudnet"/>
    <x v="0"/>
    <n v="5000"/>
    <n v="939.03"/>
    <n v="-4060.9700000000003"/>
    <n v="-0.81219400000000008"/>
    <x v="0"/>
    <n v="-939.03"/>
    <x v="4"/>
  </r>
  <r>
    <s v="FIN-01153"/>
    <d v="2026-05-03T00:00:00"/>
    <x v="0"/>
    <x v="4"/>
    <x v="8"/>
    <x v="2"/>
    <s v="Karachi"/>
    <s v="Urban Facilities"/>
    <x v="3"/>
    <n v="2727.27"/>
    <n v="7832.82"/>
    <n v="5105.5499999999993"/>
    <n v="1.8720368720368719"/>
    <x v="1"/>
    <n v="-7832.82"/>
    <x v="16"/>
  </r>
  <r>
    <s v="FIN-01154"/>
    <d v="2025-07-27T00:00:00"/>
    <x v="0"/>
    <x v="1"/>
    <x v="10"/>
    <x v="2"/>
    <s v="Karachi"/>
    <s v="Techsource"/>
    <x v="2"/>
    <n v="3333.33"/>
    <n v="4722.8100000000004"/>
    <n v="1389.4800000000005"/>
    <n v="0.41684441684441698"/>
    <x v="1"/>
    <n v="-4722.8100000000004"/>
    <x v="6"/>
  </r>
  <r>
    <s v="FIN-01155"/>
    <d v="2026-03-12T00:00:00"/>
    <x v="0"/>
    <x v="2"/>
    <x v="6"/>
    <x v="3"/>
    <s v="Faisalabad"/>
    <s v="Unknown"/>
    <x v="2"/>
    <n v="7200"/>
    <n v="7003.29"/>
    <n v="-196.71000000000004"/>
    <n v="-2.7320833333333339E-2"/>
    <x v="0"/>
    <n v="-7003.29"/>
    <x v="14"/>
  </r>
  <r>
    <s v="FIN-01156"/>
    <d v="2025-01-04T00:00:00"/>
    <x v="0"/>
    <x v="2"/>
    <x v="6"/>
    <x v="3"/>
    <s v="Lahore"/>
    <s v="Powergrid"/>
    <x v="4"/>
    <n v="7591.3"/>
    <n v="7232.86"/>
    <n v="-358.44000000000051"/>
    <n v="-4.7217209173659389E-2"/>
    <x v="0"/>
    <n v="-7232.86"/>
    <x v="0"/>
  </r>
  <r>
    <s v="FIN-01157"/>
    <d v="2025-08-06T00:00:00"/>
    <x v="0"/>
    <x v="2"/>
    <x v="6"/>
    <x v="1"/>
    <s v="Faisalabad"/>
    <s v="Peoplefirst"/>
    <x v="1"/>
    <n v="8181.82"/>
    <n v="12924.69"/>
    <n v="4742.8700000000008"/>
    <n v="0.57968398229244855"/>
    <x v="1"/>
    <n v="-12924.69"/>
    <x v="7"/>
  </r>
  <r>
    <s v="FIN-01158"/>
    <d v="2025-07-15T00:00:00"/>
    <x v="0"/>
    <x v="5"/>
    <x v="1"/>
    <x v="4"/>
    <s v="Islamabad"/>
    <s v="Shipfast"/>
    <x v="2"/>
    <n v="2250"/>
    <n v="1773.44"/>
    <n v="-476.55999999999995"/>
    <n v="-0.21180444444444441"/>
    <x v="0"/>
    <n v="-1773.44"/>
    <x v="6"/>
  </r>
  <r>
    <s v="FIN-01159"/>
    <d v="2025-08-02T00:00:00"/>
    <x v="0"/>
    <x v="1"/>
    <x v="4"/>
    <x v="0"/>
    <s v="Karachi"/>
    <s v="Adsphere"/>
    <x v="0"/>
    <n v="4666.67"/>
    <n v="3183.49"/>
    <n v="-1483.1800000000003"/>
    <n v="-0.31782405869710101"/>
    <x v="0"/>
    <n v="-3183.49"/>
    <x v="7"/>
  </r>
  <r>
    <s v="FIN-01160"/>
    <d v="2026-05-21T00:00:00"/>
    <x v="0"/>
    <x v="3"/>
    <x v="11"/>
    <x v="4"/>
    <s v="Karachi"/>
    <s v="Prime Supplies"/>
    <x v="2"/>
    <n v="4400"/>
    <n v="3452.93"/>
    <n v="-947.07000000000016"/>
    <n v="-0.21524318181818186"/>
    <x v="0"/>
    <n v="-3452.93"/>
    <x v="16"/>
  </r>
  <r>
    <s v="FIN-01161"/>
    <d v="2025-11-01T00:00:00"/>
    <x v="0"/>
    <x v="4"/>
    <x v="4"/>
    <x v="4"/>
    <s v="Multan"/>
    <s v="Urban Facilities"/>
    <x v="3"/>
    <n v="4900"/>
    <n v="1748.77"/>
    <n v="-3151.23"/>
    <n v="-0.64310816326530618"/>
    <x v="0"/>
    <n v="-1748.77"/>
    <x v="10"/>
  </r>
  <r>
    <s v="FIN-01162"/>
    <d v="2026-06-09T00:00:00"/>
    <x v="1"/>
    <x v="0"/>
    <x v="3"/>
    <x v="4"/>
    <s v="Karachi"/>
    <s v="Buildcare"/>
    <x v="4"/>
    <n v="10000"/>
    <n v="17703.79"/>
    <n v="7703.7900000000009"/>
    <n v="0.77037900000000004"/>
    <x v="1"/>
    <n v="17703.79"/>
    <x v="13"/>
  </r>
  <r>
    <s v="FIN-01163"/>
    <d v="2026-02-22T00:00:00"/>
    <x v="0"/>
    <x v="4"/>
    <x v="11"/>
    <x v="2"/>
    <s v="Karachi"/>
    <s v="Officepro"/>
    <x v="3"/>
    <n v="2667.5"/>
    <n v="3194.62"/>
    <n v="527.11999999999989"/>
    <n v="0.19760824742268038"/>
    <x v="1"/>
    <n v="-3194.62"/>
    <x v="17"/>
  </r>
  <r>
    <s v="FIN-01164"/>
    <d v="2025-08-24T00:00:00"/>
    <x v="0"/>
    <x v="1"/>
    <x v="0"/>
    <x v="3"/>
    <s v="Karachi"/>
    <s v="Techsource"/>
    <x v="3"/>
    <n v="2285.71"/>
    <n v="2496.5"/>
    <n v="210.78999999999996"/>
    <n v="9.2220797913996067E-2"/>
    <x v="1"/>
    <n v="-2496.5"/>
    <x v="7"/>
  </r>
  <r>
    <s v="FIN-01165"/>
    <d v="2025-02-27T00:00:00"/>
    <x v="0"/>
    <x v="1"/>
    <x v="6"/>
    <x v="2"/>
    <s v="Faisalabad"/>
    <s v="Cloudnet"/>
    <x v="1"/>
    <n v="11640"/>
    <n v="16054.98"/>
    <n v="4414.9799999999996"/>
    <n v="0.37929381443298965"/>
    <x v="1"/>
    <n v="-16054.98"/>
    <x v="1"/>
  </r>
  <r>
    <s v="FIN-01166"/>
    <d v="2025-03-11T00:00:00"/>
    <x v="1"/>
    <x v="2"/>
    <x v="3"/>
    <x v="3"/>
    <s v="Lahore"/>
    <s v="Softworks"/>
    <x v="1"/>
    <n v="8064.52"/>
    <n v="11957.25"/>
    <n v="3892.7299999999996"/>
    <n v="0.48269828830482153"/>
    <x v="1"/>
    <n v="11957.25"/>
    <x v="2"/>
  </r>
  <r>
    <s v="FIN-01167"/>
    <d v="2025-10-08T00:00:00"/>
    <x v="0"/>
    <x v="3"/>
    <x v="11"/>
    <x v="3"/>
    <s v="Islamabad"/>
    <s v="Techsource"/>
    <x v="2"/>
    <n v="5500"/>
    <n v="1638.07"/>
    <n v="-3861.9300000000003"/>
    <n v="-0.70216909090909096"/>
    <x v="0"/>
    <n v="-1638.07"/>
    <x v="9"/>
  </r>
  <r>
    <s v="FIN-01168"/>
    <d v="2025-08-18T00:00:00"/>
    <x v="0"/>
    <x v="2"/>
    <x v="7"/>
    <x v="4"/>
    <s v="Faisalabad"/>
    <s v="Buildcare"/>
    <x v="1"/>
    <n v="17500"/>
    <n v="363.74"/>
    <n v="-17136.259999999998"/>
    <n v="-0.97921485714285705"/>
    <x v="0"/>
    <n v="-363.74"/>
    <x v="7"/>
  </r>
  <r>
    <s v="FIN-01169"/>
    <d v="2026-01-26T00:00:00"/>
    <x v="0"/>
    <x v="1"/>
    <x v="1"/>
    <x v="4"/>
    <s v="Faisalabad"/>
    <s v="Peoplefirst"/>
    <x v="4"/>
    <n v="5820"/>
    <n v="1272.2"/>
    <n v="-4547.8"/>
    <n v="-0.78140893470790385"/>
    <x v="0"/>
    <n v="-1272.2"/>
    <x v="12"/>
  </r>
  <r>
    <s v="FIN-01170"/>
    <d v="2026-01-13T00:00:00"/>
    <x v="0"/>
    <x v="2"/>
    <x v="5"/>
    <x v="3"/>
    <s v="Islamabad"/>
    <s v="Travellink"/>
    <x v="1"/>
    <n v="6305"/>
    <n v="11838.87"/>
    <n v="5533.8700000000008"/>
    <n v="0.87769547977795415"/>
    <x v="1"/>
    <n v="-11838.87"/>
    <x v="12"/>
  </r>
  <r>
    <s v="FIN-01171"/>
    <d v="2026-02-08T00:00:00"/>
    <x v="0"/>
    <x v="5"/>
    <x v="11"/>
    <x v="4"/>
    <s v="Islamabad"/>
    <s v="Powergrid"/>
    <x v="2"/>
    <n v="2667.5"/>
    <n v="3099.53"/>
    <n v="432.0300000000002"/>
    <n v="0.16196063730084356"/>
    <x v="1"/>
    <n v="-3099.53"/>
    <x v="17"/>
  </r>
  <r>
    <s v="FIN-01172"/>
    <d v="2026-05-26T00:00:00"/>
    <x v="0"/>
    <x v="4"/>
    <x v="0"/>
    <x v="0"/>
    <s v="Lahore"/>
    <s v="Softworks"/>
    <x v="1"/>
    <n v="8000"/>
    <n v="4925.76"/>
    <n v="-3074.24"/>
    <n v="-0.38427999999999995"/>
    <x v="0"/>
    <n v="-4925.76"/>
    <x v="16"/>
  </r>
  <r>
    <s v="FIN-01173"/>
    <d v="2025-10-31T00:00:00"/>
    <x v="1"/>
    <x v="3"/>
    <x v="3"/>
    <x v="2"/>
    <s v="Lahore"/>
    <s v="Urban Facilities"/>
    <x v="2"/>
    <n v="8928.57"/>
    <n v="11827.02"/>
    <n v="2898.4500000000007"/>
    <n v="0.32462645194023243"/>
    <x v="1"/>
    <n v="11827.02"/>
    <x v="9"/>
  </r>
  <r>
    <s v="FIN-01174"/>
    <d v="2025-01-21T00:00:00"/>
    <x v="0"/>
    <x v="1"/>
    <x v="0"/>
    <x v="4"/>
    <s v="Islamabad"/>
    <s v="Legalworks"/>
    <x v="2"/>
    <n v="7760"/>
    <n v="1792.1"/>
    <n v="-5967.9"/>
    <n v="-0.76905927835051546"/>
    <x v="0"/>
    <n v="-1792.1"/>
    <x v="0"/>
  </r>
  <r>
    <s v="FIN-01175"/>
    <d v="2025-05-18T00:00:00"/>
    <x v="1"/>
    <x v="2"/>
    <x v="2"/>
    <x v="0"/>
    <s v="Faisalabad"/>
    <s v="Shipfast"/>
    <x v="3"/>
    <n v="10000"/>
    <n v="4563.76"/>
    <n v="-5436.24"/>
    <n v="-0.543624"/>
    <x v="0"/>
    <n v="4563.76"/>
    <x v="4"/>
  </r>
  <r>
    <s v="FIN-01176"/>
    <d v="2025-04-13T00:00:00"/>
    <x v="0"/>
    <x v="5"/>
    <x v="7"/>
    <x v="3"/>
    <s v="Lahore"/>
    <s v="Peoplefirst"/>
    <x v="1"/>
    <n v="4375"/>
    <n v="3577.04"/>
    <n v="-797.96"/>
    <n v="-0.18239085714285716"/>
    <x v="0"/>
    <n v="-3577.04"/>
    <x v="3"/>
  </r>
  <r>
    <s v="FIN-01177"/>
    <d v="2025-07-30T00:00:00"/>
    <x v="0"/>
    <x v="2"/>
    <x v="9"/>
    <x v="0"/>
    <s v="Multan"/>
    <s v="Markethub"/>
    <x v="3"/>
    <n v="3437.5"/>
    <n v="2446.48"/>
    <n v="-991.02"/>
    <n v="-0.28829672727272726"/>
    <x v="0"/>
    <n v="-2446.48"/>
    <x v="6"/>
  </r>
  <r>
    <s v="FIN-01178"/>
    <d v="2026-03-16T00:00:00"/>
    <x v="0"/>
    <x v="1"/>
    <x v="7"/>
    <x v="4"/>
    <s v="Lahore"/>
    <s v="Buildcare"/>
    <x v="1"/>
    <n v="3181.82"/>
    <n v="370.1"/>
    <n v="-2811.7200000000003"/>
    <n v="-0.88368292360975798"/>
    <x v="0"/>
    <n v="-370.1"/>
    <x v="14"/>
  </r>
  <r>
    <s v="FIN-01179"/>
    <d v="2025-06-05T00:00:00"/>
    <x v="0"/>
    <x v="5"/>
    <x v="6"/>
    <x v="1"/>
    <s v="Lahore"/>
    <s v="Peoplefirst"/>
    <x v="1"/>
    <n v="6428.57"/>
    <n v="12645.07"/>
    <n v="6216.5"/>
    <n v="0.96701132600251694"/>
    <x v="1"/>
    <n v="-12645.07"/>
    <x v="5"/>
  </r>
  <r>
    <s v="FIN-01180"/>
    <d v="2026-02-20T00:00:00"/>
    <x v="0"/>
    <x v="6"/>
    <x v="8"/>
    <x v="1"/>
    <s v="Lahore"/>
    <s v="Shipfast"/>
    <x v="1"/>
    <n v="2910"/>
    <n v="2595.67"/>
    <n v="-314.32999999999993"/>
    <n v="-0.10801718213058417"/>
    <x v="0"/>
    <n v="-2595.67"/>
    <x v="17"/>
  </r>
  <r>
    <s v="FIN-01181"/>
    <d v="2025-04-07T00:00:00"/>
    <x v="0"/>
    <x v="2"/>
    <x v="5"/>
    <x v="2"/>
    <s v="Lahore"/>
    <s v="Shipfast"/>
    <x v="4"/>
    <n v="5416.67"/>
    <n v="9253.2999999999993"/>
    <n v="3836.6299999999992"/>
    <n v="0.70830048719970007"/>
    <x v="1"/>
    <n v="-9253.2999999999993"/>
    <x v="3"/>
  </r>
  <r>
    <s v="FIN-01182"/>
    <d v="2025-05-20T00:00:00"/>
    <x v="1"/>
    <x v="3"/>
    <x v="13"/>
    <x v="3"/>
    <s v="Lahore"/>
    <s v="Cloudnet"/>
    <x v="1"/>
    <n v="10000"/>
    <n v="4025.03"/>
    <n v="-5974.9699999999993"/>
    <n v="-0.59749699999999994"/>
    <x v="0"/>
    <n v="4025.03"/>
    <x v="4"/>
  </r>
  <r>
    <s v="FIN-01183"/>
    <d v="2025-11-20T00:00:00"/>
    <x v="1"/>
    <x v="1"/>
    <x v="12"/>
    <x v="4"/>
    <s v="Karachi"/>
    <s v="Cloudnet"/>
    <x v="1"/>
    <n v="9545.4500000000007"/>
    <n v="15851.69"/>
    <n v="6306.24"/>
    <n v="0.66065402888287084"/>
    <x v="1"/>
    <n v="15851.69"/>
    <x v="10"/>
  </r>
  <r>
    <s v="FIN-01184"/>
    <d v="2025-07-29T00:00:00"/>
    <x v="1"/>
    <x v="2"/>
    <x v="3"/>
    <x v="4"/>
    <s v="Islamabad"/>
    <s v="Urban Facilities"/>
    <x v="1"/>
    <n v="12500"/>
    <n v="14082.19"/>
    <n v="1582.1900000000005"/>
    <n v="0.12657520000000005"/>
    <x v="1"/>
    <n v="14082.19"/>
    <x v="6"/>
  </r>
  <r>
    <s v="FIN-01185"/>
    <d v="2025-03-27T00:00:00"/>
    <x v="1"/>
    <x v="1"/>
    <x v="3"/>
    <x v="1"/>
    <s v="Karachi"/>
    <s v="Techsource"/>
    <x v="0"/>
    <n v="8064.52"/>
    <n v="13862.28"/>
    <n v="5797.76"/>
    <n v="0.71892189491749048"/>
    <x v="1"/>
    <n v="13862.28"/>
    <x v="2"/>
  </r>
  <r>
    <s v="FIN-01186"/>
    <d v="2026-06-01T00:00:00"/>
    <x v="1"/>
    <x v="2"/>
    <x v="13"/>
    <x v="4"/>
    <s v="Islamabad"/>
    <s v="Urban Facilities"/>
    <x v="4"/>
    <n v="10000"/>
    <n v="3768.1"/>
    <n v="-6231.9"/>
    <n v="-0.62318999999999991"/>
    <x v="0"/>
    <n v="3768.1"/>
    <x v="13"/>
  </r>
  <r>
    <s v="FIN-01187"/>
    <d v="2025-03-14T00:00:00"/>
    <x v="0"/>
    <x v="1"/>
    <x v="1"/>
    <x v="3"/>
    <s v="Karachi"/>
    <s v="Urban Facilities"/>
    <x v="1"/>
    <n v="3000"/>
    <n v="1598.42"/>
    <n v="-1401.58"/>
    <n v="-0.46719333333333329"/>
    <x v="0"/>
    <n v="-1598.42"/>
    <x v="2"/>
  </r>
  <r>
    <s v="FIN-01188"/>
    <d v="2026-03-02T00:00:00"/>
    <x v="1"/>
    <x v="3"/>
    <x v="13"/>
    <x v="3"/>
    <s v="Islamabad"/>
    <s v="Officepro"/>
    <x v="1"/>
    <n v="10000"/>
    <n v="3485.19"/>
    <n v="-6514.8099999999995"/>
    <n v="-0.65148099999999998"/>
    <x v="0"/>
    <n v="3485.19"/>
    <x v="14"/>
  </r>
  <r>
    <s v="FIN-01189"/>
    <d v="2026-05-24T00:00:00"/>
    <x v="0"/>
    <x v="4"/>
    <x v="7"/>
    <x v="4"/>
    <s v="Lahore"/>
    <s v="Shipfast"/>
    <x v="4"/>
    <n v="2692.31"/>
    <n v="3643"/>
    <n v="950.69"/>
    <n v="0.35311312590303495"/>
    <x v="1"/>
    <n v="-3643"/>
    <x v="16"/>
  </r>
  <r>
    <s v="FIN-01190"/>
    <d v="2025-03-15T00:00:00"/>
    <x v="0"/>
    <x v="1"/>
    <x v="6"/>
    <x v="2"/>
    <s v="Karachi"/>
    <s v="Cloudnet"/>
    <x v="1"/>
    <n v="6000"/>
    <n v="16014.52"/>
    <n v="10014.52"/>
    <n v="1.6690866666666668"/>
    <x v="1"/>
    <n v="-16014.52"/>
    <x v="2"/>
  </r>
  <r>
    <s v="FIN-01191"/>
    <d v="2026-04-10T00:00:00"/>
    <x v="0"/>
    <x v="5"/>
    <x v="6"/>
    <x v="3"/>
    <s v="Lahore"/>
    <s v="Prime Supplies"/>
    <x v="1"/>
    <n v="8571.43"/>
    <n v="2275.7399999999998"/>
    <n v="-6295.6900000000005"/>
    <n v="-0.73449704425049267"/>
    <x v="0"/>
    <n v="-2275.7399999999998"/>
    <x v="15"/>
  </r>
  <r>
    <s v="FIN-01192"/>
    <d v="2025-10-18T00:00:00"/>
    <x v="1"/>
    <x v="2"/>
    <x v="12"/>
    <x v="3"/>
    <s v="Multan"/>
    <s v="Dataserve"/>
    <x v="4"/>
    <n v="7692.31"/>
    <n v="17340.330000000002"/>
    <n v="9648.02"/>
    <n v="1.254242223727333"/>
    <x v="1"/>
    <n v="17340.330000000002"/>
    <x v="9"/>
  </r>
  <r>
    <s v="FIN-01193"/>
    <d v="2025-09-09T00:00:00"/>
    <x v="1"/>
    <x v="3"/>
    <x v="12"/>
    <x v="0"/>
    <s v="Lahore"/>
    <s v="Dataserve"/>
    <x v="4"/>
    <n v="7142.86"/>
    <n v="17755.88"/>
    <n v="10613.02"/>
    <n v="1.4858222056711179"/>
    <x v="1"/>
    <n v="17755.88"/>
    <x v="8"/>
  </r>
  <r>
    <s v="FIN-01194"/>
    <d v="2025-01-15T00:00:00"/>
    <x v="1"/>
    <x v="2"/>
    <x v="12"/>
    <x v="4"/>
    <s v="Multan"/>
    <s v="Shipfast"/>
    <x v="1"/>
    <n v="9700"/>
    <n v="9688.84"/>
    <n v="-11.159999999999854"/>
    <n v="-1.1505154639175107E-3"/>
    <x v="0"/>
    <n v="9688.84"/>
    <x v="0"/>
  </r>
  <r>
    <s v="FIN-01195"/>
    <d v="2025-04-01T00:00:00"/>
    <x v="1"/>
    <x v="3"/>
    <x v="3"/>
    <x v="3"/>
    <s v="Lahore"/>
    <s v="Peoplefirst"/>
    <x v="3"/>
    <n v="11363.64"/>
    <n v="9338.76"/>
    <n v="-2024.8799999999992"/>
    <n v="-0.17818938297939738"/>
    <x v="0"/>
    <n v="9338.76"/>
    <x v="3"/>
  </r>
  <r>
    <s v="FIN-01196"/>
    <d v="2025-12-07T00:00:00"/>
    <x v="1"/>
    <x v="2"/>
    <x v="3"/>
    <x v="3"/>
    <s v="Karachi"/>
    <s v="Markethub"/>
    <x v="2"/>
    <n v="15441.18"/>
    <n v="16469.32"/>
    <n v="1028.1399999999994"/>
    <n v="6.6584289542638536E-2"/>
    <x v="1"/>
    <n v="16469.32"/>
    <x v="11"/>
  </r>
  <r>
    <s v="FIN-01197"/>
    <d v="2025-06-25T00:00:00"/>
    <x v="0"/>
    <x v="0"/>
    <x v="6"/>
    <x v="1"/>
    <s v="Karachi"/>
    <s v="Officepro"/>
    <x v="3"/>
    <n v="6428.57"/>
    <n v="7984.88"/>
    <n v="1556.3100000000004"/>
    <n v="0.24209272046504907"/>
    <x v="1"/>
    <n v="-7984.88"/>
    <x v="5"/>
  </r>
  <r>
    <s v="FIN-01198"/>
    <d v="2025-11-26T00:00:00"/>
    <x v="0"/>
    <x v="4"/>
    <x v="6"/>
    <x v="4"/>
    <s v="Karachi"/>
    <s v="Adsphere"/>
    <x v="2"/>
    <n v="9947.3700000000008"/>
    <n v="13065.71"/>
    <n v="3118.3399999999983"/>
    <n v="0.31348386558457142"/>
    <x v="1"/>
    <n v="-13065.71"/>
    <x v="10"/>
  </r>
  <r>
    <s v="FIN-01199"/>
    <d v="2026-06-25T00:00:00"/>
    <x v="0"/>
    <x v="7"/>
    <x v="9"/>
    <x v="4"/>
    <s v="Islamabad"/>
    <s v="Dataserve"/>
    <x v="1"/>
    <n v="3666.67"/>
    <n v="7028.12"/>
    <n v="3361.45"/>
    <n v="0.91675825749249307"/>
    <x v="1"/>
    <n v="-7028.12"/>
    <x v="13"/>
  </r>
  <r>
    <s v="FIN-01200"/>
    <d v="2025-02-27T00:00:00"/>
    <x v="0"/>
    <x v="5"/>
    <x v="4"/>
    <x v="2"/>
    <s v="Islamabad"/>
    <s v="Prime Supplies"/>
    <x v="3"/>
    <n v="6790"/>
    <n v="700.26"/>
    <n v="-6089.74"/>
    <n v="-0.8968689248895434"/>
    <x v="0"/>
    <n v="-700.26"/>
    <x v="1"/>
  </r>
  <r>
    <s v="FIN-01201"/>
    <d v="2025-04-09T00:00:00"/>
    <x v="1"/>
    <x v="3"/>
    <x v="12"/>
    <x v="0"/>
    <s v="Lahore"/>
    <s v="Legalworks"/>
    <x v="4"/>
    <n v="14285.71"/>
    <n v="3698.18"/>
    <n v="-10587.529999999999"/>
    <n v="-0.74112732233819667"/>
    <x v="0"/>
    <n v="3698.18"/>
    <x v="3"/>
  </r>
  <r>
    <s v="FIN-01202"/>
    <d v="2025-11-16T00:00:00"/>
    <x v="0"/>
    <x v="0"/>
    <x v="10"/>
    <x v="4"/>
    <s v="Karachi"/>
    <s v="Urban Facilities"/>
    <x v="4"/>
    <n v="4666.67"/>
    <n v="3853.61"/>
    <n v="-813.06"/>
    <n v="-0.17422701840927254"/>
    <x v="0"/>
    <n v="-3853.61"/>
    <x v="10"/>
  </r>
  <r>
    <s v="FIN-01203"/>
    <d v="2025-03-18T00:00:00"/>
    <x v="1"/>
    <x v="5"/>
    <x v="12"/>
    <x v="1"/>
    <s v="Peshawar"/>
    <s v="Techsource"/>
    <x v="0"/>
    <n v="9090.91"/>
    <n v="3439.1"/>
    <n v="-5651.8099999999995"/>
    <n v="-0.62169903783009617"/>
    <x v="0"/>
    <n v="3439.1"/>
    <x v="2"/>
  </r>
  <r>
    <s v="FIN-01204"/>
    <d v="2026-02-13T00:00:00"/>
    <x v="0"/>
    <x v="2"/>
    <x v="6"/>
    <x v="3"/>
    <s v="Faisalabad"/>
    <s v="Softworks"/>
    <x v="2"/>
    <n v="9189.4699999999993"/>
    <n v="0"/>
    <n v="-9189.4699999999993"/>
    <n v="-1"/>
    <x v="0"/>
    <n v="0"/>
    <x v="17"/>
  </r>
  <r>
    <s v="FIN-01205"/>
    <d v="2026-01-12T00:00:00"/>
    <x v="1"/>
    <x v="3"/>
    <x v="12"/>
    <x v="1"/>
    <s v="Islamabad"/>
    <s v="Cloudnet"/>
    <x v="1"/>
    <n v="6062.5"/>
    <n v="10496.33"/>
    <n v="4433.83"/>
    <n v="0.73135340206185562"/>
    <x v="1"/>
    <n v="10496.33"/>
    <x v="12"/>
  </r>
  <r>
    <s v="FIN-01206"/>
    <d v="2026-03-29T00:00:00"/>
    <x v="1"/>
    <x v="3"/>
    <x v="2"/>
    <x v="3"/>
    <s v="Lahore"/>
    <s v="Markethub"/>
    <x v="4"/>
    <n v="10000"/>
    <n v="6921.58"/>
    <n v="-3078.42"/>
    <n v="-0.307842"/>
    <x v="0"/>
    <n v="6921.58"/>
    <x v="14"/>
  </r>
  <r>
    <s v="FIN-01207"/>
    <d v="2025-05-10T00:00:00"/>
    <x v="0"/>
    <x v="1"/>
    <x v="0"/>
    <x v="3"/>
    <s v="Multan"/>
    <s v="Cloudnet"/>
    <x v="2"/>
    <n v="2909.09"/>
    <n v="1266.8800000000001"/>
    <n v="-1642.21"/>
    <n v="-0.56450986390933244"/>
    <x v="0"/>
    <n v="-1266.8800000000001"/>
    <x v="4"/>
  </r>
  <r>
    <s v="FIN-01208"/>
    <d v="2025-02-12T00:00:00"/>
    <x v="1"/>
    <x v="3"/>
    <x v="13"/>
    <x v="1"/>
    <s v="Karachi"/>
    <s v="Buildcare"/>
    <x v="2"/>
    <n v="3233.33"/>
    <n v="1868.79"/>
    <n v="-1364.54"/>
    <n v="-0.4220231154877479"/>
    <x v="0"/>
    <n v="1868.79"/>
    <x v="1"/>
  </r>
  <r>
    <s v="FIN-01209"/>
    <d v="2025-10-16T00:00:00"/>
    <x v="0"/>
    <x v="1"/>
    <x v="10"/>
    <x v="0"/>
    <s v="Karachi"/>
    <s v="Officepro"/>
    <x v="2"/>
    <n v="3333.33"/>
    <n v="5554.26"/>
    <n v="2220.9300000000003"/>
    <n v="0.66627966627966639"/>
    <x v="1"/>
    <n v="-5554.26"/>
    <x v="9"/>
  </r>
  <r>
    <s v="FIN-01210"/>
    <d v="2025-10-02T00:00:00"/>
    <x v="0"/>
    <x v="4"/>
    <x v="1"/>
    <x v="3"/>
    <s v="Karachi"/>
    <s v="Prime Supplies"/>
    <x v="4"/>
    <n v="3000"/>
    <n v="1083.6099999999999"/>
    <n v="-1916.39"/>
    <n v="-0.63879666666666668"/>
    <x v="0"/>
    <n v="-1083.6099999999999"/>
    <x v="9"/>
  </r>
  <r>
    <s v="FIN-01211"/>
    <d v="2025-10-24T00:00:00"/>
    <x v="1"/>
    <x v="3"/>
    <x v="13"/>
    <x v="4"/>
    <s v="Multan"/>
    <s v="Shipfast"/>
    <x v="2"/>
    <n v="6666.67"/>
    <n v="790.37"/>
    <n v="-5876.3"/>
    <n v="-0.88144455927772036"/>
    <x v="0"/>
    <n v="790.37"/>
    <x v="9"/>
  </r>
  <r>
    <s v="FIN-01212"/>
    <d v="2025-09-29T00:00:00"/>
    <x v="1"/>
    <x v="3"/>
    <x v="3"/>
    <x v="4"/>
    <s v="Lahore"/>
    <s v="Officepro"/>
    <x v="4"/>
    <n v="11904.76"/>
    <n v="18501.2"/>
    <n v="6596.4400000000005"/>
    <n v="0.55410104865616783"/>
    <x v="1"/>
    <n v="18501.2"/>
    <x v="8"/>
  </r>
  <r>
    <s v="FIN-01213"/>
    <d v="2026-04-09T00:00:00"/>
    <x v="0"/>
    <x v="2"/>
    <x v="6"/>
    <x v="4"/>
    <s v="Peshawar"/>
    <s v="Buildcare"/>
    <x v="1"/>
    <n v="8571.43"/>
    <n v="1914.69"/>
    <n v="-6656.74"/>
    <n v="-0.77661953723007704"/>
    <x v="0"/>
    <n v="-1914.69"/>
    <x v="15"/>
  </r>
  <r>
    <s v="FIN-01214"/>
    <d v="2025-10-01T00:00:00"/>
    <x v="1"/>
    <x v="1"/>
    <x v="2"/>
    <x v="3"/>
    <s v="Faisalabad"/>
    <s v="Powergrid"/>
    <x v="4"/>
    <n v="4705.88"/>
    <n v="6339.03"/>
    <n v="1633.1499999999996"/>
    <n v="0.34704454852227418"/>
    <x v="1"/>
    <n v="6339.03"/>
    <x v="9"/>
  </r>
  <r>
    <s v="FIN-01215"/>
    <d v="2025-02-08T00:00:00"/>
    <x v="0"/>
    <x v="5"/>
    <x v="6"/>
    <x v="4"/>
    <s v="Multan"/>
    <s v="Dataserve"/>
    <x v="1"/>
    <n v="11640"/>
    <n v="5351.41"/>
    <n v="-6288.59"/>
    <n v="-0.54025687285223367"/>
    <x v="0"/>
    <n v="-5351.41"/>
    <x v="1"/>
  </r>
  <r>
    <s v="FIN-01216"/>
    <d v="2025-02-03T00:00:00"/>
    <x v="0"/>
    <x v="2"/>
    <x v="4"/>
    <x v="1"/>
    <s v="Karachi"/>
    <s v="Markethub"/>
    <x v="1"/>
    <n v="6790"/>
    <n v="2151.9499999999998"/>
    <n v="-4638.05"/>
    <n v="-0.68307069219440353"/>
    <x v="0"/>
    <n v="-2151.9499999999998"/>
    <x v="1"/>
  </r>
  <r>
    <s v="FIN-01217"/>
    <d v="2025-07-12T00:00:00"/>
    <x v="0"/>
    <x v="2"/>
    <x v="9"/>
    <x v="4"/>
    <s v="Karachi"/>
    <s v="Peoplefirst"/>
    <x v="3"/>
    <n v="3437.5"/>
    <n v="8942"/>
    <n v="5504.5"/>
    <n v="1.601309090909091"/>
    <x v="1"/>
    <n v="-8942"/>
    <x v="6"/>
  </r>
  <r>
    <s v="FIN-01218"/>
    <d v="2025-12-18T00:00:00"/>
    <x v="1"/>
    <x v="2"/>
    <x v="12"/>
    <x v="2"/>
    <s v="Lahore"/>
    <s v="Techsource"/>
    <x v="3"/>
    <n v="9545.4500000000007"/>
    <n v="9432.44"/>
    <n v="-113.01000000000022"/>
    <n v="-1.1839148494832639E-2"/>
    <x v="0"/>
    <n v="9432.44"/>
    <x v="11"/>
  </r>
  <r>
    <s v="FIN-01219"/>
    <d v="2026-02-12T00:00:00"/>
    <x v="0"/>
    <x v="1"/>
    <x v="5"/>
    <x v="4"/>
    <s v="Peshawar"/>
    <s v="Dataserve"/>
    <x v="2"/>
    <n v="6305"/>
    <n v="10461.24"/>
    <n v="4156.24"/>
    <n v="0.65919746233148291"/>
    <x v="1"/>
    <n v="-10461.24"/>
    <x v="17"/>
  </r>
  <r>
    <s v="FIN-01220"/>
    <d v="2025-07-29T00:00:00"/>
    <x v="1"/>
    <x v="3"/>
    <x v="12"/>
    <x v="3"/>
    <s v="Karachi"/>
    <s v="Powergrid"/>
    <x v="1"/>
    <n v="7142.86"/>
    <n v="13617.42"/>
    <n v="6474.56"/>
    <n v="0.90643803742478513"/>
    <x v="1"/>
    <n v="13617.42"/>
    <x v="6"/>
  </r>
  <r>
    <s v="FIN-01221"/>
    <d v="2025-10-04T00:00:00"/>
    <x v="1"/>
    <x v="3"/>
    <x v="2"/>
    <x v="3"/>
    <s v="Karachi"/>
    <s v="Prime Supplies"/>
    <x v="3"/>
    <n v="4705.88"/>
    <n v="3675.85"/>
    <n v="-1030.0300000000002"/>
    <n v="-0.21888148444074226"/>
    <x v="0"/>
    <n v="3675.85"/>
    <x v="9"/>
  </r>
  <r>
    <s v="FIN-01222"/>
    <d v="2025-08-05T00:00:00"/>
    <x v="1"/>
    <x v="6"/>
    <x v="3"/>
    <x v="3"/>
    <s v="Faisalabad"/>
    <s v="Markethub"/>
    <x v="1"/>
    <n v="10416.67"/>
    <n v="18152.28"/>
    <n v="7735.6099999999988"/>
    <n v="0.74261832236213676"/>
    <x v="1"/>
    <n v="18152.28"/>
    <x v="7"/>
  </r>
  <r>
    <s v="FIN-01223"/>
    <d v="2025-08-13T00:00:00"/>
    <x v="0"/>
    <x v="1"/>
    <x v="5"/>
    <x v="3"/>
    <s v="Islamabad"/>
    <s v="Officepro"/>
    <x v="1"/>
    <n v="10833.33"/>
    <n v="4219.8500000000004"/>
    <n v="-6613.48"/>
    <n v="-0.61047526476161984"/>
    <x v="0"/>
    <n v="-4219.8500000000004"/>
    <x v="7"/>
  </r>
  <r>
    <s v="FIN-01224"/>
    <d v="2025-03-06T00:00:00"/>
    <x v="0"/>
    <x v="2"/>
    <x v="6"/>
    <x v="0"/>
    <s v="Karachi"/>
    <s v="Legalworks"/>
    <x v="1"/>
    <n v="6000"/>
    <n v="4521.03"/>
    <n v="-1478.9700000000003"/>
    <n v="-0.24649500000000005"/>
    <x v="0"/>
    <n v="-4521.03"/>
    <x v="2"/>
  </r>
  <r>
    <s v="FIN-01225"/>
    <d v="2025-06-08T00:00:00"/>
    <x v="1"/>
    <x v="2"/>
    <x v="3"/>
    <x v="2"/>
    <s v="Karachi"/>
    <s v="Techsource"/>
    <x v="4"/>
    <n v="9615.3799999999992"/>
    <n v="834.19"/>
    <n v="-8781.1899999999987"/>
    <n v="-0.91324419835721515"/>
    <x v="0"/>
    <n v="834.19"/>
    <x v="5"/>
  </r>
  <r>
    <s v="FIN-01226"/>
    <d v="2025-06-27T00:00:00"/>
    <x v="0"/>
    <x v="0"/>
    <x v="5"/>
    <x v="0"/>
    <s v="Islamabad"/>
    <s v="Techsource"/>
    <x v="1"/>
    <n v="8125"/>
    <n v="4631.26"/>
    <n v="-3493.74"/>
    <n v="-0.42999876923076918"/>
    <x v="0"/>
    <n v="-4631.26"/>
    <x v="5"/>
  </r>
  <r>
    <s v="FIN-01227"/>
    <d v="2025-01-21T00:00:00"/>
    <x v="0"/>
    <x v="2"/>
    <x v="9"/>
    <x v="4"/>
    <s v="Peshawar"/>
    <s v="Buildcare"/>
    <x v="1"/>
    <n v="3810.71"/>
    <n v="5777.55"/>
    <n v="1966.8400000000001"/>
    <n v="0.51613478853022143"/>
    <x v="1"/>
    <n v="-5777.55"/>
    <x v="0"/>
  </r>
  <r>
    <s v="FIN-01228"/>
    <d v="2025-04-19T00:00:00"/>
    <x v="1"/>
    <x v="0"/>
    <x v="3"/>
    <x v="0"/>
    <s v="Lahore"/>
    <s v="Techsource"/>
    <x v="4"/>
    <n v="11363.64"/>
    <n v="20566.150000000001"/>
    <n v="9202.510000000002"/>
    <n v="0.80982062085740159"/>
    <x v="1"/>
    <n v="20566.150000000001"/>
    <x v="3"/>
  </r>
  <r>
    <s v="FIN-01229"/>
    <d v="2025-04-10T00:00:00"/>
    <x v="1"/>
    <x v="4"/>
    <x v="2"/>
    <x v="3"/>
    <s v="Faisalabad"/>
    <s v="Travellink"/>
    <x v="1"/>
    <n v="10000"/>
    <n v="3695.03"/>
    <n v="-6304.9699999999993"/>
    <n v="-0.63049699999999997"/>
    <x v="0"/>
    <n v="3695.03"/>
    <x v="3"/>
  </r>
  <r>
    <s v="FIN-01230"/>
    <d v="2026-01-13T00:00:00"/>
    <x v="0"/>
    <x v="3"/>
    <x v="0"/>
    <x v="3"/>
    <s v="Multan"/>
    <s v="Markethub"/>
    <x v="2"/>
    <n v="3104"/>
    <n v="1317.21"/>
    <n v="-1786.79"/>
    <n v="-0.57564110824742265"/>
    <x v="0"/>
    <n v="-1317.21"/>
    <x v="12"/>
  </r>
  <r>
    <s v="FIN-01231"/>
    <d v="2025-09-11T00:00:00"/>
    <x v="1"/>
    <x v="2"/>
    <x v="3"/>
    <x v="3"/>
    <s v="Faisalabad"/>
    <s v="Shipfast"/>
    <x v="4"/>
    <n v="11904.76"/>
    <n v="5567.7"/>
    <n v="-6337.06"/>
    <n v="-0.5323131251701001"/>
    <x v="0"/>
    <n v="5567.7"/>
    <x v="8"/>
  </r>
  <r>
    <s v="FIN-01232"/>
    <d v="2025-07-31T00:00:00"/>
    <x v="1"/>
    <x v="2"/>
    <x v="3"/>
    <x v="4"/>
    <s v="Karachi"/>
    <s v="Travellink"/>
    <x v="1"/>
    <n v="12500"/>
    <n v="9265.6200000000008"/>
    <n v="-3234.3799999999992"/>
    <n v="-0.25875039999999994"/>
    <x v="0"/>
    <n v="9265.6200000000008"/>
    <x v="6"/>
  </r>
  <r>
    <s v="FIN-01233"/>
    <d v="2026-05-30T00:00:00"/>
    <x v="0"/>
    <x v="5"/>
    <x v="7"/>
    <x v="3"/>
    <s v="Karachi"/>
    <s v="Peoplefirst"/>
    <x v="2"/>
    <n v="2692.31"/>
    <n v="850.37"/>
    <n v="-1841.94"/>
    <n v="-0.68414855644409456"/>
    <x v="0"/>
    <n v="-850.37"/>
    <x v="16"/>
  </r>
  <r>
    <s v="FIN-01234"/>
    <d v="2026-01-22T00:00:00"/>
    <x v="0"/>
    <x v="1"/>
    <x v="6"/>
    <x v="0"/>
    <s v="Karachi"/>
    <s v="Techsource"/>
    <x v="2"/>
    <n v="6715.38"/>
    <n v="3658.13"/>
    <n v="-3057.25"/>
    <n v="-0.45526090854128881"/>
    <x v="0"/>
    <n v="-3658.13"/>
    <x v="12"/>
  </r>
  <r>
    <s v="FIN-01235"/>
    <d v="2025-07-16T00:00:00"/>
    <x v="1"/>
    <x v="3"/>
    <x v="3"/>
    <x v="0"/>
    <s v="Karachi"/>
    <s v="Peoplefirst"/>
    <x v="4"/>
    <n v="12500"/>
    <n v="20778.71"/>
    <n v="8278.7099999999991"/>
    <n v="0.66229679999999991"/>
    <x v="1"/>
    <n v="20778.71"/>
    <x v="6"/>
  </r>
  <r>
    <s v="FIN-01236"/>
    <d v="2026-05-30T00:00:00"/>
    <x v="1"/>
    <x v="3"/>
    <x v="12"/>
    <x v="0"/>
    <s v="Faisalabad"/>
    <s v="Cloudnet"/>
    <x v="0"/>
    <n v="5882.35"/>
    <n v="4444.22"/>
    <n v="-1438.13"/>
    <n v="-0.24448222224111113"/>
    <x v="0"/>
    <n v="4444.22"/>
    <x v="16"/>
  </r>
  <r>
    <s v="FIN-01237"/>
    <d v="2026-02-25T00:00:00"/>
    <x v="0"/>
    <x v="5"/>
    <x v="7"/>
    <x v="0"/>
    <s v="Lahore"/>
    <s v="Techsource"/>
    <x v="2"/>
    <n v="5658.33"/>
    <n v="151.87"/>
    <n v="-5506.46"/>
    <n v="-0.97315992527830653"/>
    <x v="0"/>
    <n v="-151.87"/>
    <x v="17"/>
  </r>
  <r>
    <s v="FIN-01238"/>
    <d v="2025-10-23T00:00:00"/>
    <x v="0"/>
    <x v="1"/>
    <x v="5"/>
    <x v="4"/>
    <s v="Islamabad"/>
    <s v="Peoplefirst"/>
    <x v="4"/>
    <n v="9285.7099999999991"/>
    <n v="4642.1000000000004"/>
    <n v="-4643.6099999999988"/>
    <n v="-0.50008130772983428"/>
    <x v="0"/>
    <n v="-4642.1000000000004"/>
    <x v="9"/>
  </r>
  <r>
    <s v="FIN-01239"/>
    <d v="2025-12-06T00:00:00"/>
    <x v="0"/>
    <x v="1"/>
    <x v="7"/>
    <x v="1"/>
    <s v="Karachi"/>
    <s v="Shipfast"/>
    <x v="3"/>
    <n v="6125"/>
    <n v="1662.45"/>
    <n v="-4462.55"/>
    <n v="-0.72857959183673471"/>
    <x v="0"/>
    <n v="-1662.45"/>
    <x v="11"/>
  </r>
  <r>
    <s v="FIN-01240"/>
    <d v="2026-05-26T00:00:00"/>
    <x v="1"/>
    <x v="3"/>
    <x v="3"/>
    <x v="2"/>
    <s v="Karachi"/>
    <s v="Prime Supplies"/>
    <x v="2"/>
    <n v="10869.57"/>
    <n v="14280.89"/>
    <n v="3411.3199999999997"/>
    <n v="0.31384130190982712"/>
    <x v="1"/>
    <n v="14280.89"/>
    <x v="16"/>
  </r>
  <r>
    <s v="FIN-01241"/>
    <d v="2025-09-26T00:00:00"/>
    <x v="0"/>
    <x v="3"/>
    <x v="11"/>
    <x v="0"/>
    <s v="Islamabad"/>
    <s v="Cloudnet"/>
    <x v="1"/>
    <n v="5500"/>
    <n v="563.71"/>
    <n v="-4936.29"/>
    <n v="-0.89750727272727271"/>
    <x v="0"/>
    <n v="-563.71"/>
    <x v="8"/>
  </r>
  <r>
    <s v="FIN-01242"/>
    <d v="2025-04-27T00:00:00"/>
    <x v="0"/>
    <x v="0"/>
    <x v="6"/>
    <x v="4"/>
    <s v="Multan"/>
    <s v="Softworks"/>
    <x v="1"/>
    <n v="13846.15"/>
    <n v="9388.85"/>
    <n v="-4457.2999999999993"/>
    <n v="-0.32191620053227787"/>
    <x v="0"/>
    <n v="-9388.85"/>
    <x v="3"/>
  </r>
  <r>
    <s v="FIN-01243"/>
    <d v="2025-03-13T00:00:00"/>
    <x v="1"/>
    <x v="5"/>
    <x v="2"/>
    <x v="4"/>
    <s v="Faisalabad"/>
    <s v="Powergrid"/>
    <x v="3"/>
    <n v="11428.57"/>
    <n v="7234.85"/>
    <n v="-4193.7199999999993"/>
    <n v="-0.3669505458688182"/>
    <x v="0"/>
    <n v="7234.85"/>
    <x v="2"/>
  </r>
  <r>
    <s v="FIN-01244"/>
    <d v="2025-08-07T00:00:00"/>
    <x v="1"/>
    <x v="3"/>
    <x v="2"/>
    <x v="3"/>
    <s v="Karachi"/>
    <s v="Powergrid"/>
    <x v="2"/>
    <n v="13333.33"/>
    <n v="5090.7700000000004"/>
    <n v="-8242.56"/>
    <n v="-0.61819215454803855"/>
    <x v="0"/>
    <n v="5090.7700000000004"/>
    <x v="7"/>
  </r>
  <r>
    <s v="FIN-01245"/>
    <d v="2025-07-02T00:00:00"/>
    <x v="0"/>
    <x v="5"/>
    <x v="5"/>
    <x v="4"/>
    <s v="Lahore"/>
    <s v="Dataserve"/>
    <x v="4"/>
    <n v="5909.09"/>
    <n v="9573.57"/>
    <n v="3664.4799999999996"/>
    <n v="0.62014286463736368"/>
    <x v="1"/>
    <n v="-9573.57"/>
    <x v="6"/>
  </r>
  <r>
    <s v="FIN-01246"/>
    <d v="2025-05-13T00:00:00"/>
    <x v="0"/>
    <x v="1"/>
    <x v="6"/>
    <x v="4"/>
    <s v="Karachi"/>
    <s v="Buildcare"/>
    <x v="3"/>
    <n v="7200"/>
    <n v="1066.46"/>
    <n v="-6133.54"/>
    <n v="-0.85188055555555553"/>
    <x v="0"/>
    <n v="-1066.46"/>
    <x v="4"/>
  </r>
  <r>
    <s v="FIN-01247"/>
    <d v="2026-03-08T00:00:00"/>
    <x v="0"/>
    <x v="4"/>
    <x v="5"/>
    <x v="2"/>
    <s v="Islamabad"/>
    <s v="Adsphere"/>
    <x v="1"/>
    <n v="6500"/>
    <n v="11852.01"/>
    <n v="5352.01"/>
    <n v="0.82338615384615388"/>
    <x v="1"/>
    <n v="-11852.01"/>
    <x v="14"/>
  </r>
  <r>
    <s v="FIN-01248"/>
    <d v="2025-10-09T00:00:00"/>
    <x v="0"/>
    <x v="4"/>
    <x v="6"/>
    <x v="4"/>
    <s v="Peshawar"/>
    <s v="Markethub"/>
    <x v="3"/>
    <n v="7826.09"/>
    <n v="5634.02"/>
    <n v="-2192.0699999999997"/>
    <n v="-0.28009772440644048"/>
    <x v="0"/>
    <n v="-5634.02"/>
    <x v="9"/>
  </r>
  <r>
    <s v="FIN-01249"/>
    <d v="2026-06-24T00:00:00"/>
    <x v="0"/>
    <x v="1"/>
    <x v="0"/>
    <x v="2"/>
    <s v="Karachi"/>
    <s v="Peoplefirst"/>
    <x v="4"/>
    <n v="3555.56"/>
    <n v="2475.59"/>
    <n v="-1079.9699999999998"/>
    <n v="-0.30374118282352142"/>
    <x v="0"/>
    <n v="-2475.59"/>
    <x v="13"/>
  </r>
  <r>
    <s v="FIN-01250"/>
    <d v="2025-12-08T00:00:00"/>
    <x v="1"/>
    <x v="3"/>
    <x v="3"/>
    <x v="4"/>
    <s v="Karachi"/>
    <s v="Travellink"/>
    <x v="4"/>
    <n v="15441.18"/>
    <n v="8009.94"/>
    <n v="-7431.2400000000007"/>
    <n v="-0.48126114714030926"/>
    <x v="0"/>
    <n v="8009.94"/>
    <x v="11"/>
  </r>
  <r>
    <s v="FIN-01251"/>
    <d v="2025-01-19T00:00:00"/>
    <x v="0"/>
    <x v="3"/>
    <x v="6"/>
    <x v="4"/>
    <s v="Karachi"/>
    <s v="Markethub"/>
    <x v="2"/>
    <n v="7591.3"/>
    <n v="6025.35"/>
    <n v="-1565.9499999999998"/>
    <n v="-0.20628219145600882"/>
    <x v="0"/>
    <n v="-6025.35"/>
    <x v="0"/>
  </r>
  <r>
    <s v="FIN-01252"/>
    <d v="2025-06-02T00:00:00"/>
    <x v="1"/>
    <x v="4"/>
    <x v="12"/>
    <x v="4"/>
    <s v="Peshawar"/>
    <s v="Adsphere"/>
    <x v="1"/>
    <n v="6250"/>
    <n v="1268.74"/>
    <n v="-4981.26"/>
    <n v="-0.79700160000000009"/>
    <x v="0"/>
    <n v="1268.74"/>
    <x v="5"/>
  </r>
  <r>
    <s v="FIN-01253"/>
    <d v="2026-06-26T00:00:00"/>
    <x v="0"/>
    <x v="0"/>
    <x v="9"/>
    <x v="2"/>
    <s v="Karachi"/>
    <s v="Peoplefirst"/>
    <x v="2"/>
    <n v="3666.67"/>
    <n v="1778.09"/>
    <n v="-1888.5800000000002"/>
    <n v="-0.5150668044847232"/>
    <x v="0"/>
    <n v="-1778.09"/>
    <x v="13"/>
  </r>
  <r>
    <s v="FIN-01254"/>
    <d v="2025-11-18T00:00:00"/>
    <x v="1"/>
    <x v="3"/>
    <x v="2"/>
    <x v="3"/>
    <s v="Lahore"/>
    <s v="Cloudnet"/>
    <x v="0"/>
    <n v="8400"/>
    <n v="7046.31"/>
    <n v="-1353.6899999999996"/>
    <n v="-0.16115357142857137"/>
    <x v="0"/>
    <n v="7046.31"/>
    <x v="10"/>
  </r>
  <r>
    <s v="FIN-01255"/>
    <d v="2026-04-27T00:00:00"/>
    <x v="1"/>
    <x v="1"/>
    <x v="13"/>
    <x v="3"/>
    <s v="Lahore"/>
    <s v="Markethub"/>
    <x v="3"/>
    <n v="3333.33"/>
    <n v="4493.3"/>
    <n v="1159.9700000000003"/>
    <n v="0.34799134799134807"/>
    <x v="1"/>
    <n v="4493.3"/>
    <x v="15"/>
  </r>
  <r>
    <s v="FIN-01256"/>
    <d v="2026-06-10T00:00:00"/>
    <x v="0"/>
    <x v="0"/>
    <x v="11"/>
    <x v="3"/>
    <s v="Islamabad"/>
    <s v="Techsource"/>
    <x v="4"/>
    <n v="3142.86"/>
    <n v="1462.13"/>
    <n v="-1680.73"/>
    <n v="-0.53477724111159897"/>
    <x v="0"/>
    <n v="-1462.13"/>
    <x v="13"/>
  </r>
  <r>
    <s v="FIN-01257"/>
    <d v="2026-06-11T00:00:00"/>
    <x v="0"/>
    <x v="3"/>
    <x v="6"/>
    <x v="2"/>
    <s v="Faisalabad"/>
    <s v="Urban Facilities"/>
    <x v="5"/>
    <n v="8571.43"/>
    <n v="12673.16"/>
    <n v="4101.7299999999996"/>
    <n v="0.47853508691081881"/>
    <x v="1"/>
    <n v="-12673.16"/>
    <x v="13"/>
  </r>
  <r>
    <s v="FIN-01258"/>
    <d v="2025-12-26T00:00:00"/>
    <x v="0"/>
    <x v="1"/>
    <x v="5"/>
    <x v="3"/>
    <s v="Faisalabad"/>
    <s v="Techsource"/>
    <x v="1"/>
    <n v="5250"/>
    <n v="10894.71"/>
    <n v="5644.7099999999991"/>
    <n v="1.075182857142857"/>
    <x v="1"/>
    <n v="-10894.71"/>
    <x v="11"/>
  </r>
  <r>
    <s v="FIN-01259"/>
    <d v="2025-06-04T00:00:00"/>
    <x v="0"/>
    <x v="1"/>
    <x v="1"/>
    <x v="4"/>
    <s v="Lahore"/>
    <s v="Shipfast"/>
    <x v="2"/>
    <n v="2000"/>
    <n v="0"/>
    <n v="-2000"/>
    <n v="-1"/>
    <x v="0"/>
    <n v="0"/>
    <x v="5"/>
  </r>
  <r>
    <s v="FIN-01260"/>
    <d v="2025-08-25T00:00:00"/>
    <x v="0"/>
    <x v="0"/>
    <x v="6"/>
    <x v="4"/>
    <s v="Islamabad"/>
    <s v="Powergrid"/>
    <x v="0"/>
    <n v="8181.82"/>
    <n v="10380.86"/>
    <n v="2199.0400000000009"/>
    <n v="0.26877149582855658"/>
    <x v="1"/>
    <n v="-10380.86"/>
    <x v="7"/>
  </r>
  <r>
    <s v="FIN-01261"/>
    <d v="2025-07-26T00:00:00"/>
    <x v="1"/>
    <x v="1"/>
    <x v="3"/>
    <x v="1"/>
    <s v="Islamabad"/>
    <s v="Legalworks"/>
    <x v="2"/>
    <n v="12500"/>
    <n v="16532.990000000002"/>
    <n v="4032.9900000000016"/>
    <n v="0.32263920000000013"/>
    <x v="1"/>
    <n v="16532.990000000002"/>
    <x v="6"/>
  </r>
  <r>
    <s v="FIN-01262"/>
    <d v="2026-01-30T00:00:00"/>
    <x v="0"/>
    <x v="4"/>
    <x v="5"/>
    <x v="3"/>
    <s v="Multan"/>
    <s v="Adsphere"/>
    <x v="3"/>
    <n v="6305"/>
    <n v="3924.59"/>
    <n v="-2380.41"/>
    <n v="-0.377543219666931"/>
    <x v="0"/>
    <n v="-3924.59"/>
    <x v="12"/>
  </r>
  <r>
    <s v="FIN-01263"/>
    <d v="2026-02-15T00:00:00"/>
    <x v="0"/>
    <x v="2"/>
    <x v="6"/>
    <x v="1"/>
    <s v="Peshawar"/>
    <s v="Techsource"/>
    <x v="2"/>
    <n v="9189.4699999999993"/>
    <n v="17569.439999999999"/>
    <n v="8379.9699999999993"/>
    <n v="0.91191004486657012"/>
    <x v="1"/>
    <n v="-17569.439999999999"/>
    <x v="17"/>
  </r>
  <r>
    <s v="FIN-01264"/>
    <d v="2026-03-21T00:00:00"/>
    <x v="1"/>
    <x v="1"/>
    <x v="3"/>
    <x v="2"/>
    <s v="Karachi"/>
    <s v="Peoplefirst"/>
    <x v="1"/>
    <n v="11363.64"/>
    <n v="21571.39"/>
    <n v="10207.75"/>
    <n v="0.89828171254985201"/>
    <x v="1"/>
    <n v="21571.39"/>
    <x v="14"/>
  </r>
  <r>
    <s v="FIN-01265"/>
    <d v="2026-03-21T00:00:00"/>
    <x v="0"/>
    <x v="5"/>
    <x v="6"/>
    <x v="3"/>
    <s v="Lahore"/>
    <s v="Powergrid"/>
    <x v="4"/>
    <n v="7200"/>
    <n v="17016.84"/>
    <n v="9816.84"/>
    <n v="1.3634500000000001"/>
    <x v="1"/>
    <n v="-17016.84"/>
    <x v="14"/>
  </r>
  <r>
    <s v="FIN-01266"/>
    <d v="2025-01-10T00:00:00"/>
    <x v="1"/>
    <x v="3"/>
    <x v="3"/>
    <x v="2"/>
    <s v="Karachi"/>
    <s v="Officepro"/>
    <x v="2"/>
    <n v="11022.73"/>
    <n v="4422.51"/>
    <n v="-6600.2199999999993"/>
    <n v="-0.59878269720840482"/>
    <x v="0"/>
    <n v="4422.51"/>
    <x v="0"/>
  </r>
  <r>
    <s v="FIN-01267"/>
    <d v="2025-12-31T00:00:00"/>
    <x v="0"/>
    <x v="4"/>
    <x v="0"/>
    <x v="1"/>
    <s v="Lahore"/>
    <s v="Officepro"/>
    <x v="1"/>
    <n v="4800"/>
    <n v="3462.69"/>
    <n v="-1337.31"/>
    <n v="-0.27860625"/>
    <x v="0"/>
    <n v="-3462.69"/>
    <x v="11"/>
  </r>
  <r>
    <s v="FIN-01268"/>
    <d v="2025-06-21T00:00:00"/>
    <x v="0"/>
    <x v="3"/>
    <x v="1"/>
    <x v="1"/>
    <s v="Karachi"/>
    <s v="Softworks"/>
    <x v="1"/>
    <n v="2000"/>
    <n v="63.76"/>
    <n v="-1936.24"/>
    <n v="-0.96811999999999998"/>
    <x v="0"/>
    <n v="-63.76"/>
    <x v="5"/>
  </r>
  <r>
    <s v="FIN-01269"/>
    <d v="2026-01-02T00:00:00"/>
    <x v="0"/>
    <x v="3"/>
    <x v="6"/>
    <x v="3"/>
    <s v="Lahore"/>
    <s v="Legalworks"/>
    <x v="2"/>
    <n v="6715.38"/>
    <n v="7973.17"/>
    <n v="1257.79"/>
    <n v="0.1872998996333789"/>
    <x v="1"/>
    <n v="-7973.17"/>
    <x v="12"/>
  </r>
  <r>
    <s v="FIN-01270"/>
    <d v="2025-06-09T00:00:00"/>
    <x v="1"/>
    <x v="3"/>
    <x v="3"/>
    <x v="1"/>
    <s v="Karachi"/>
    <s v="Techsource"/>
    <x v="0"/>
    <n v="9615.3799999999992"/>
    <n v="12397.07"/>
    <n v="2781.6900000000005"/>
    <n v="0.28929589886203155"/>
    <x v="1"/>
    <n v="12397.07"/>
    <x v="5"/>
  </r>
  <r>
    <s v="FIN-01271"/>
    <d v="2025-03-16T00:00:00"/>
    <x v="0"/>
    <x v="6"/>
    <x v="1"/>
    <x v="0"/>
    <s v="Multan"/>
    <s v="Adsphere"/>
    <x v="2"/>
    <n v="3000"/>
    <n v="238.56"/>
    <n v="-2761.44"/>
    <n v="-0.92047999999999996"/>
    <x v="0"/>
    <n v="-238.56"/>
    <x v="2"/>
  </r>
  <r>
    <s v="FIN-01272"/>
    <d v="2026-04-27T00:00:00"/>
    <x v="1"/>
    <x v="3"/>
    <x v="12"/>
    <x v="4"/>
    <s v="Karachi"/>
    <s v="Prime Supplies"/>
    <x v="3"/>
    <n v="7142.86"/>
    <n v="16029.25"/>
    <n v="8886.39"/>
    <n v="1.2440941023623591"/>
    <x v="1"/>
    <n v="16029.25"/>
    <x v="15"/>
  </r>
  <r>
    <s v="FIN-01273"/>
    <d v="2025-08-11T00:00:00"/>
    <x v="0"/>
    <x v="0"/>
    <x v="9"/>
    <x v="3"/>
    <s v="Karachi"/>
    <s v="Officepro"/>
    <x v="1"/>
    <n v="3928.57"/>
    <n v="7895.43"/>
    <n v="3966.86"/>
    <n v="1.0097465489987452"/>
    <x v="1"/>
    <n v="-7895.43"/>
    <x v="7"/>
  </r>
  <r>
    <s v="FIN-01274"/>
    <d v="2025-07-24T00:00:00"/>
    <x v="1"/>
    <x v="3"/>
    <x v="12"/>
    <x v="4"/>
    <s v="Peshawar"/>
    <s v="Techsource"/>
    <x v="1"/>
    <n v="7142.86"/>
    <n v="4754.37"/>
    <n v="-2388.4899999999998"/>
    <n v="-0.33438846624461349"/>
    <x v="0"/>
    <n v="4754.37"/>
    <x v="6"/>
  </r>
  <r>
    <s v="FIN-01275"/>
    <d v="2025-12-04T00:00:00"/>
    <x v="0"/>
    <x v="1"/>
    <x v="6"/>
    <x v="3"/>
    <s v="Islamabad"/>
    <s v="Powergrid"/>
    <x v="2"/>
    <n v="7875"/>
    <n v="2504.5"/>
    <n v="-5370.5"/>
    <n v="-0.681968253968254"/>
    <x v="0"/>
    <n v="-2504.5"/>
    <x v="11"/>
  </r>
  <r>
    <s v="FIN-01276"/>
    <d v="2026-03-02T00:00:00"/>
    <x v="0"/>
    <x v="5"/>
    <x v="1"/>
    <x v="3"/>
    <s v="Lahore"/>
    <s v="Peoplefirst"/>
    <x v="1"/>
    <n v="2571.4299999999998"/>
    <n v="1277.9100000000001"/>
    <n v="-1293.5199999999998"/>
    <n v="-0.50303527609151322"/>
    <x v="0"/>
    <n v="-1277.9100000000001"/>
    <x v="14"/>
  </r>
  <r>
    <s v="FIN-01277"/>
    <d v="2026-06-25T00:00:00"/>
    <x v="1"/>
    <x v="3"/>
    <x v="3"/>
    <x v="3"/>
    <s v="Islamabad"/>
    <s v="Cloudnet"/>
    <x v="3"/>
    <n v="10000"/>
    <n v="468.1"/>
    <n v="-9531.9"/>
    <n v="-0.95318999999999998"/>
    <x v="0"/>
    <n v="468.1"/>
    <x v="13"/>
  </r>
  <r>
    <s v="FIN-01278"/>
    <d v="2025-01-21T00:00:00"/>
    <x v="1"/>
    <x v="2"/>
    <x v="3"/>
    <x v="1"/>
    <s v="Islamabad"/>
    <s v="Markethub"/>
    <x v="3"/>
    <n v="11022.73"/>
    <n v="20151.34"/>
    <n v="9128.61"/>
    <n v="0.82816235179488207"/>
    <x v="1"/>
    <n v="20151.34"/>
    <x v="0"/>
  </r>
  <r>
    <s v="FIN-01279"/>
    <d v="2026-02-12T00:00:00"/>
    <x v="0"/>
    <x v="4"/>
    <x v="5"/>
    <x v="2"/>
    <s v="Lahore"/>
    <s v="Softworks"/>
    <x v="0"/>
    <n v="6305"/>
    <n v="3101.08"/>
    <n v="-3203.92"/>
    <n v="-0.50815543219666937"/>
    <x v="0"/>
    <n v="-3101.08"/>
    <x v="17"/>
  </r>
  <r>
    <s v="FIN-01280"/>
    <d v="2025-08-19T00:00:00"/>
    <x v="1"/>
    <x v="7"/>
    <x v="2"/>
    <x v="4"/>
    <s v="Karachi"/>
    <s v="Travellink"/>
    <x v="4"/>
    <n v="13333.33"/>
    <n v="6584.65"/>
    <n v="-6748.68"/>
    <n v="-0.5061511265377816"/>
    <x v="0"/>
    <n v="6584.65"/>
    <x v="7"/>
  </r>
  <r>
    <s v="FIN-01281"/>
    <d v="2026-06-29T00:00:00"/>
    <x v="1"/>
    <x v="3"/>
    <x v="3"/>
    <x v="1"/>
    <s v="Karachi"/>
    <s v="Powergrid"/>
    <x v="4"/>
    <n v="10000"/>
    <n v="8115.17"/>
    <n v="-1884.83"/>
    <n v="-0.18848299999999998"/>
    <x v="0"/>
    <n v="8115.17"/>
    <x v="13"/>
  </r>
  <r>
    <s v="FIN-01282"/>
    <d v="2026-03-18T00:00:00"/>
    <x v="0"/>
    <x v="1"/>
    <x v="8"/>
    <x v="2"/>
    <s v="Islamabad"/>
    <s v="Techsource"/>
    <x v="4"/>
    <n v="6000"/>
    <n v="7326.2"/>
    <n v="1326.1999999999998"/>
    <n v="0.2210333333333333"/>
    <x v="1"/>
    <n v="-7326.2"/>
    <x v="14"/>
  </r>
  <r>
    <s v="FIN-01283"/>
    <d v="2025-02-24T00:00:00"/>
    <x v="0"/>
    <x v="1"/>
    <x v="1"/>
    <x v="0"/>
    <s v="Karachi"/>
    <s v="Prime Supplies"/>
    <x v="1"/>
    <n v="1940"/>
    <n v="1514.3"/>
    <n v="-425.70000000000005"/>
    <n v="-0.21943298969072167"/>
    <x v="0"/>
    <n v="-1514.3"/>
    <x v="1"/>
  </r>
  <r>
    <s v="FIN-01284"/>
    <d v="2026-04-03T00:00:00"/>
    <x v="0"/>
    <x v="2"/>
    <x v="4"/>
    <x v="4"/>
    <s v="Islamabad"/>
    <s v="Powergrid"/>
    <x v="2"/>
    <n v="5600"/>
    <n v="2783.34"/>
    <n v="-2816.66"/>
    <n v="-0.50297499999999995"/>
    <x v="0"/>
    <n v="-2783.34"/>
    <x v="15"/>
  </r>
  <r>
    <s v="FIN-01285"/>
    <d v="2026-04-06T00:00:00"/>
    <x v="1"/>
    <x v="3"/>
    <x v="3"/>
    <x v="3"/>
    <s v="Karachi"/>
    <s v="Peoplefirst"/>
    <x v="2"/>
    <n v="8333.33"/>
    <n v="18706.7"/>
    <n v="10373.370000000001"/>
    <n v="1.2448048979219593"/>
    <x v="1"/>
    <n v="18706.7"/>
    <x v="15"/>
  </r>
  <r>
    <s v="FIN-01286"/>
    <d v="2025-12-15T00:00:00"/>
    <x v="0"/>
    <x v="1"/>
    <x v="4"/>
    <x v="4"/>
    <s v="Multan"/>
    <s v="Markethub"/>
    <x v="2"/>
    <n v="9800"/>
    <n v="762.38"/>
    <n v="-9037.6200000000008"/>
    <n v="-0.9222061224489797"/>
    <x v="0"/>
    <n v="-762.38"/>
    <x v="11"/>
  </r>
  <r>
    <s v="FIN-01287"/>
    <d v="2025-06-05T00:00:00"/>
    <x v="1"/>
    <x v="6"/>
    <x v="3"/>
    <x v="2"/>
    <s v="Karachi"/>
    <s v="Legalworks"/>
    <x v="3"/>
    <n v="9615.3799999999992"/>
    <n v="21211.4"/>
    <n v="11596.020000000002"/>
    <n v="1.2059866588735966"/>
    <x v="1"/>
    <n v="21211.4"/>
    <x v="5"/>
  </r>
  <r>
    <s v="FIN-01288"/>
    <d v="2025-09-12T00:00:00"/>
    <x v="0"/>
    <x v="1"/>
    <x v="7"/>
    <x v="3"/>
    <s v="Islamabad"/>
    <s v="Softworks"/>
    <x v="3"/>
    <n v="3500"/>
    <n v="1300.49"/>
    <n v="-2199.5100000000002"/>
    <n v="-0.62843142857142864"/>
    <x v="0"/>
    <n v="-1300.49"/>
    <x v="8"/>
  </r>
  <r>
    <s v="FIN-01289"/>
    <d v="2025-07-14T00:00:00"/>
    <x v="0"/>
    <x v="4"/>
    <x v="7"/>
    <x v="4"/>
    <s v="Karachi"/>
    <s v="Prime Supplies"/>
    <x v="4"/>
    <n v="8750"/>
    <n v="3545.73"/>
    <n v="-5204.2700000000004"/>
    <n v="-0.59477371428571435"/>
    <x v="0"/>
    <n v="-3545.73"/>
    <x v="6"/>
  </r>
  <r>
    <s v="FIN-01290"/>
    <d v="2025-12-07T00:00:00"/>
    <x v="0"/>
    <x v="1"/>
    <x v="5"/>
    <x v="3"/>
    <s v="Peshawar"/>
    <s v="Shipfast"/>
    <x v="4"/>
    <n v="5250"/>
    <n v="5790.69"/>
    <n v="540.6899999999996"/>
    <n v="0.10298857142857135"/>
    <x v="1"/>
    <n v="-5790.69"/>
    <x v="11"/>
  </r>
  <r>
    <s v="FIN-01291"/>
    <d v="2026-05-07T00:00:00"/>
    <x v="0"/>
    <x v="6"/>
    <x v="6"/>
    <x v="4"/>
    <s v="Karachi"/>
    <s v="Dataserve"/>
    <x v="1"/>
    <n v="16363.64"/>
    <n v="4550.67"/>
    <n v="-11812.97"/>
    <n v="-0.72190356179920845"/>
    <x v="0"/>
    <n v="-4550.67"/>
    <x v="16"/>
  </r>
  <r>
    <s v="FIN-01292"/>
    <d v="2025-09-12T00:00:00"/>
    <x v="0"/>
    <x v="1"/>
    <x v="1"/>
    <x v="4"/>
    <s v="Karachi"/>
    <s v="Travellink"/>
    <x v="2"/>
    <n v="3600"/>
    <n v="1022.32"/>
    <n v="-2577.6799999999998"/>
    <n v="-0.71602222222222223"/>
    <x v="0"/>
    <n v="-1022.32"/>
    <x v="8"/>
  </r>
  <r>
    <s v="FIN-01293"/>
    <d v="2025-10-17T00:00:00"/>
    <x v="0"/>
    <x v="0"/>
    <x v="9"/>
    <x v="0"/>
    <s v="Karachi"/>
    <s v="Peoplefirst"/>
    <x v="2"/>
    <n v="3928.57"/>
    <n v="7016.62"/>
    <n v="3088.0499999999997"/>
    <n v="0.78604937674522779"/>
    <x v="1"/>
    <n v="-7016.62"/>
    <x v="9"/>
  </r>
  <r>
    <s v="FIN-01294"/>
    <d v="2025-01-24T00:00:00"/>
    <x v="0"/>
    <x v="6"/>
    <x v="7"/>
    <x v="1"/>
    <s v="Karachi"/>
    <s v="Travellink"/>
    <x v="4"/>
    <n v="5658.33"/>
    <n v="1860.95"/>
    <n v="-3797.38"/>
    <n v="-0.67111320831411392"/>
    <x v="0"/>
    <n v="-1860.95"/>
    <x v="0"/>
  </r>
  <r>
    <s v="FIN-01295"/>
    <d v="2025-05-22T00:00:00"/>
    <x v="0"/>
    <x v="0"/>
    <x v="4"/>
    <x v="3"/>
    <s v="Islamabad"/>
    <s v="Shipfast"/>
    <x v="3"/>
    <n v="4000"/>
    <n v="1739.71"/>
    <n v="-2260.29"/>
    <n v="-0.56507249999999998"/>
    <x v="0"/>
    <n v="-1739.71"/>
    <x v="4"/>
  </r>
  <r>
    <s v="FIN-01296"/>
    <d v="2025-08-25T00:00:00"/>
    <x v="0"/>
    <x v="0"/>
    <x v="6"/>
    <x v="4"/>
    <s v="Faisalabad"/>
    <s v="Dataserve"/>
    <x v="4"/>
    <n v="8181.82"/>
    <n v="2126.4299999999998"/>
    <n v="-6055.3899999999994"/>
    <n v="-0.74010305775487606"/>
    <x v="0"/>
    <n v="-2126.4299999999998"/>
    <x v="7"/>
  </r>
  <r>
    <s v="FIN-01297"/>
    <d v="2025-01-14T00:00:00"/>
    <x v="0"/>
    <x v="3"/>
    <x v="6"/>
    <x v="4"/>
    <s v="Islamabad"/>
    <s v="Legalworks"/>
    <x v="0"/>
    <n v="7591.3"/>
    <n v="2715.61"/>
    <n v="-4875.6900000000005"/>
    <n v="-0.64227339190915922"/>
    <x v="0"/>
    <n v="-2715.61"/>
    <x v="0"/>
  </r>
  <r>
    <s v="FIN-01298"/>
    <d v="2026-02-08T00:00:00"/>
    <x v="1"/>
    <x v="3"/>
    <x v="12"/>
    <x v="3"/>
    <s v="Karachi"/>
    <s v="Shipfast"/>
    <x v="2"/>
    <n v="8083.33"/>
    <n v="12431.52"/>
    <n v="4348.1900000000005"/>
    <n v="0.53792063419407599"/>
    <x v="1"/>
    <n v="12431.52"/>
    <x v="17"/>
  </r>
  <r>
    <s v="FIN-01299"/>
    <d v="2025-08-18T00:00:00"/>
    <x v="1"/>
    <x v="2"/>
    <x v="12"/>
    <x v="4"/>
    <s v="Islamabad"/>
    <s v="Softworks"/>
    <x v="2"/>
    <n v="7142.86"/>
    <n v="3005.65"/>
    <n v="-4137.2099999999991"/>
    <n v="-0.57920916831633262"/>
    <x v="0"/>
    <n v="3005.65"/>
    <x v="7"/>
  </r>
  <r>
    <s v="FIN-01300"/>
    <d v="2025-11-23T00:00:00"/>
    <x v="0"/>
    <x v="5"/>
    <x v="11"/>
    <x v="2"/>
    <s v="Multan"/>
    <s v="Shipfast"/>
    <x v="2"/>
    <n v="2310"/>
    <n v="405.85"/>
    <n v="-1904.15"/>
    <n v="-0.82430735930735932"/>
    <x v="0"/>
    <n v="-405.85"/>
    <x v="10"/>
  </r>
  <r>
    <s v="FIN-01301"/>
    <d v="2025-11-12T00:00:00"/>
    <x v="1"/>
    <x v="4"/>
    <x v="12"/>
    <x v="4"/>
    <s v="Faisalabad"/>
    <s v="Prime Supplies"/>
    <x v="3"/>
    <n v="9545.4500000000007"/>
    <n v="4173.7"/>
    <n v="-5371.7500000000009"/>
    <n v="-0.56275502988334758"/>
    <x v="0"/>
    <n v="4173.7"/>
    <x v="10"/>
  </r>
  <r>
    <s v="FIN-01302"/>
    <d v="2026-06-30T00:00:00"/>
    <x v="1"/>
    <x v="3"/>
    <x v="12"/>
    <x v="3"/>
    <s v="Karachi"/>
    <s v="Peoplefirst"/>
    <x v="2"/>
    <n v="4761.8999999999996"/>
    <n v="2774.06"/>
    <n v="-1987.8399999999997"/>
    <n v="-0.41744681744681739"/>
    <x v="0"/>
    <n v="2774.06"/>
    <x v="13"/>
  </r>
  <r>
    <s v="FIN-01303"/>
    <d v="2026-06-28T00:00:00"/>
    <x v="1"/>
    <x v="5"/>
    <x v="3"/>
    <x v="4"/>
    <s v="Lahore"/>
    <s v="Legalworks"/>
    <x v="1"/>
    <n v="10000"/>
    <n v="4619.07"/>
    <n v="-5380.93"/>
    <n v="-0.53809300000000004"/>
    <x v="0"/>
    <n v="4619.07"/>
    <x v="13"/>
  </r>
  <r>
    <s v="FIN-01304"/>
    <d v="2026-06-16T00:00:00"/>
    <x v="0"/>
    <x v="1"/>
    <x v="6"/>
    <x v="3"/>
    <s v="Karachi"/>
    <s v="Peoplefirst"/>
    <x v="3"/>
    <n v="8571.43"/>
    <n v="8124.77"/>
    <n v="-446.65999999999985"/>
    <n v="-5.2110324648279208E-2"/>
    <x v="0"/>
    <n v="-8124.77"/>
    <x v="13"/>
  </r>
  <r>
    <s v="FIN-01305"/>
    <d v="2025-12-08T00:00:00"/>
    <x v="0"/>
    <x v="1"/>
    <x v="9"/>
    <x v="0"/>
    <s v="Multan"/>
    <s v="Powergrid"/>
    <x v="4"/>
    <n v="4125"/>
    <n v="2308.33"/>
    <n v="-1816.67"/>
    <n v="-0.44040484848484851"/>
    <x v="0"/>
    <n v="-2308.33"/>
    <x v="11"/>
  </r>
  <r>
    <s v="FIN-01306"/>
    <d v="2025-01-30T00:00:00"/>
    <x v="0"/>
    <x v="6"/>
    <x v="10"/>
    <x v="4"/>
    <s v="Multan"/>
    <s v="Powergrid"/>
    <x v="1"/>
    <n v="5542.86"/>
    <n v="3336.96"/>
    <n v="-2205.8999999999996"/>
    <n v="-0.39797144434461629"/>
    <x v="0"/>
    <n v="-3336.96"/>
    <x v="0"/>
  </r>
  <r>
    <s v="FIN-01307"/>
    <d v="2025-05-05T00:00:00"/>
    <x v="1"/>
    <x v="1"/>
    <x v="3"/>
    <x v="4"/>
    <s v="Karachi"/>
    <s v="Techsource"/>
    <x v="0"/>
    <n v="9615.3799999999992"/>
    <n v="19835.939999999999"/>
    <n v="10220.56"/>
    <n v="1.0629387502106002"/>
    <x v="1"/>
    <n v="19835.939999999999"/>
    <x v="4"/>
  </r>
  <r>
    <s v="FIN-01308"/>
    <d v="2026-04-09T00:00:00"/>
    <x v="1"/>
    <x v="2"/>
    <x v="3"/>
    <x v="3"/>
    <s v="Karachi"/>
    <s v="Legalworks"/>
    <x v="3"/>
    <n v="8333.33"/>
    <n v="24341.35"/>
    <n v="16008.019999999999"/>
    <n v="1.9209631683852673"/>
    <x v="1"/>
    <n v="24341.35"/>
    <x v="15"/>
  </r>
  <r>
    <s v="FIN-01309"/>
    <d v="2026-02-12T00:00:00"/>
    <x v="0"/>
    <x v="4"/>
    <x v="1"/>
    <x v="4"/>
    <s v="Karachi"/>
    <s v="Cloudnet"/>
    <x v="3"/>
    <n v="2182.5"/>
    <n v="868.91"/>
    <n v="-1313.5900000000001"/>
    <n v="-0.60187399770904937"/>
    <x v="0"/>
    <n v="-868.91"/>
    <x v="17"/>
  </r>
  <r>
    <s v="FIN-01310"/>
    <d v="2025-01-07T00:00:00"/>
    <x v="0"/>
    <x v="4"/>
    <x v="1"/>
    <x v="2"/>
    <s v="Karachi"/>
    <s v="Softworks"/>
    <x v="2"/>
    <n v="1746"/>
    <n v="896.96"/>
    <n v="-849.04"/>
    <n v="-0.48627720504009164"/>
    <x v="0"/>
    <n v="-896.96"/>
    <x v="0"/>
  </r>
  <r>
    <s v="FIN-01311"/>
    <d v="2025-04-08T00:00:00"/>
    <x v="1"/>
    <x v="2"/>
    <x v="2"/>
    <x v="3"/>
    <s v="Karachi"/>
    <s v="Urban Facilities"/>
    <x v="1"/>
    <n v="10000"/>
    <n v="2165.35"/>
    <n v="-7834.65"/>
    <n v="-0.78346499999999997"/>
    <x v="0"/>
    <n v="2165.35"/>
    <x v="3"/>
  </r>
  <r>
    <s v="FIN-01312"/>
    <d v="2025-06-04T00:00:00"/>
    <x v="0"/>
    <x v="5"/>
    <x v="9"/>
    <x v="2"/>
    <s v="Multan"/>
    <s v="Urban Facilities"/>
    <x v="2"/>
    <n v="5500"/>
    <n v="8565.77"/>
    <n v="3065.7700000000004"/>
    <n v="0.55741272727272739"/>
    <x v="1"/>
    <n v="-8565.77"/>
    <x v="5"/>
  </r>
  <r>
    <s v="FIN-01313"/>
    <d v="2025-06-25T00:00:00"/>
    <x v="0"/>
    <x v="1"/>
    <x v="5"/>
    <x v="4"/>
    <s v="Karachi"/>
    <s v="Travellink"/>
    <x v="3"/>
    <n v="8125"/>
    <n v="5976.33"/>
    <n v="-2148.67"/>
    <n v="-0.26445169230769233"/>
    <x v="0"/>
    <n v="-5976.33"/>
    <x v="5"/>
  </r>
  <r>
    <s v="FIN-01314"/>
    <d v="2026-04-08T00:00:00"/>
    <x v="0"/>
    <x v="4"/>
    <x v="7"/>
    <x v="1"/>
    <s v="Lahore"/>
    <s v="Softworks"/>
    <x v="0"/>
    <n v="5833.33"/>
    <n v="184.71"/>
    <n v="-5648.62"/>
    <n v="-0.96833541047737737"/>
    <x v="0"/>
    <n v="-184.71"/>
    <x v="15"/>
  </r>
  <r>
    <s v="FIN-01315"/>
    <d v="2025-05-01T00:00:00"/>
    <x v="0"/>
    <x v="4"/>
    <x v="10"/>
    <x v="3"/>
    <s v="Lahore"/>
    <s v="Adsphere"/>
    <x v="2"/>
    <n v="5000"/>
    <n v="509.93"/>
    <n v="-4490.07"/>
    <n v="-0.89801399999999998"/>
    <x v="0"/>
    <n v="-509.93"/>
    <x v="4"/>
  </r>
  <r>
    <s v="FIN-01316"/>
    <d v="2025-06-06T00:00:00"/>
    <x v="0"/>
    <x v="5"/>
    <x v="6"/>
    <x v="2"/>
    <s v="Peshawar"/>
    <s v="Prime Supplies"/>
    <x v="3"/>
    <n v="6428.57"/>
    <n v="16212.95"/>
    <n v="9784.380000000001"/>
    <n v="1.5220150048922236"/>
    <x v="1"/>
    <n v="-16212.95"/>
    <x v="5"/>
  </r>
  <r>
    <s v="FIN-01317"/>
    <d v="2025-03-02T00:00:00"/>
    <x v="0"/>
    <x v="4"/>
    <x v="5"/>
    <x v="1"/>
    <s v="Karachi"/>
    <s v="Officepro"/>
    <x v="4"/>
    <n v="5000"/>
    <n v="5774.17"/>
    <n v="774.17000000000007"/>
    <n v="0.15483400000000003"/>
    <x v="1"/>
    <n v="-5774.17"/>
    <x v="2"/>
  </r>
  <r>
    <s v="FIN-01318"/>
    <d v="2025-04-03T00:00:00"/>
    <x v="0"/>
    <x v="1"/>
    <x v="7"/>
    <x v="3"/>
    <s v="Karachi"/>
    <s v="Markethub"/>
    <x v="0"/>
    <n v="4375"/>
    <n v="4634.12"/>
    <n v="259.11999999999989"/>
    <n v="5.9227428571428549E-2"/>
    <x v="1"/>
    <n v="-4634.12"/>
    <x v="3"/>
  </r>
  <r>
    <s v="FIN-01319"/>
    <d v="2026-01-05T00:00:00"/>
    <x v="0"/>
    <x v="2"/>
    <x v="7"/>
    <x v="3"/>
    <s v="Peshawar"/>
    <s v="Cloudnet"/>
    <x v="1"/>
    <n v="3395"/>
    <n v="2826.28"/>
    <n v="-568.7199999999998"/>
    <n v="-0.1675169366715758"/>
    <x v="0"/>
    <n v="-2826.28"/>
    <x v="12"/>
  </r>
  <r>
    <s v="FIN-01320"/>
    <d v="2025-04-28T00:00:00"/>
    <x v="1"/>
    <x v="1"/>
    <x v="2"/>
    <x v="4"/>
    <s v="Faisalabad"/>
    <s v="Prime Supplies"/>
    <x v="2"/>
    <n v="10000"/>
    <n v="3213.01"/>
    <n v="-6786.99"/>
    <n v="-0.67869899999999994"/>
    <x v="0"/>
    <n v="3213.01"/>
    <x v="3"/>
  </r>
  <r>
    <s v="FIN-01321"/>
    <d v="2025-09-03T00:00:00"/>
    <x v="0"/>
    <x v="4"/>
    <x v="8"/>
    <x v="2"/>
    <s v="Karachi"/>
    <s v="Travellink"/>
    <x v="2"/>
    <n v="5000"/>
    <n v="5217.32"/>
    <n v="217.31999999999971"/>
    <n v="4.346399999999994E-2"/>
    <x v="1"/>
    <n v="-5217.32"/>
    <x v="8"/>
  </r>
  <r>
    <s v="FIN-01322"/>
    <d v="2026-05-27T00:00:00"/>
    <x v="0"/>
    <x v="5"/>
    <x v="7"/>
    <x v="2"/>
    <s v="Faisalabad"/>
    <s v="Powergrid"/>
    <x v="3"/>
    <n v="2692.31"/>
    <n v="2174.1999999999998"/>
    <n v="-518.11000000000013"/>
    <n v="-0.19244069219369245"/>
    <x v="0"/>
    <n v="-2174.1999999999998"/>
    <x v="16"/>
  </r>
  <r>
    <s v="FIN-01323"/>
    <d v="2025-08-14T00:00:00"/>
    <x v="0"/>
    <x v="4"/>
    <x v="9"/>
    <x v="2"/>
    <s v="Lahore"/>
    <s v="Softworks"/>
    <x v="4"/>
    <n v="3928.57"/>
    <n v="7056.91"/>
    <n v="3128.3399999999997"/>
    <n v="0.79630501683818788"/>
    <x v="1"/>
    <n v="-7056.91"/>
    <x v="7"/>
  </r>
  <r>
    <s v="FIN-01324"/>
    <d v="2025-04-05T00:00:00"/>
    <x v="0"/>
    <x v="1"/>
    <x v="11"/>
    <x v="3"/>
    <s v="Karachi"/>
    <s v="Buildcare"/>
    <x v="2"/>
    <n v="2750"/>
    <n v="727.83"/>
    <n v="-2022.17"/>
    <n v="-0.73533454545454546"/>
    <x v="0"/>
    <n v="-727.83"/>
    <x v="3"/>
  </r>
  <r>
    <s v="FIN-01325"/>
    <d v="2025-09-13T00:00:00"/>
    <x v="0"/>
    <x v="5"/>
    <x v="8"/>
    <x v="3"/>
    <s v="Karachi"/>
    <s v="Peoplefirst"/>
    <x v="2"/>
    <n v="5000"/>
    <n v="2208.4"/>
    <n v="-2791.6"/>
    <n v="-0.55831999999999993"/>
    <x v="0"/>
    <n v="-2208.4"/>
    <x v="8"/>
  </r>
  <r>
    <s v="FIN-01326"/>
    <d v="2025-05-02T00:00:00"/>
    <x v="0"/>
    <x v="1"/>
    <x v="0"/>
    <x v="4"/>
    <s v="Karachi"/>
    <s v="Markethub"/>
    <x v="2"/>
    <n v="2909.09"/>
    <n v="3108.19"/>
    <n v="199.09999999999991"/>
    <n v="6.8440646387701962E-2"/>
    <x v="1"/>
    <n v="-3108.19"/>
    <x v="4"/>
  </r>
  <r>
    <s v="FIN-01327"/>
    <d v="2026-03-04T00:00:00"/>
    <x v="0"/>
    <x v="4"/>
    <x v="6"/>
    <x v="4"/>
    <s v="Lahore"/>
    <s v="Urban Facilities"/>
    <x v="4"/>
    <n v="7200"/>
    <n v="15932.07"/>
    <n v="8732.07"/>
    <n v="1.2127874999999999"/>
    <x v="1"/>
    <n v="-15932.07"/>
    <x v="14"/>
  </r>
  <r>
    <s v="FIN-01328"/>
    <d v="2025-05-03T00:00:00"/>
    <x v="0"/>
    <x v="1"/>
    <x v="10"/>
    <x v="2"/>
    <s v="Multan"/>
    <s v="Powergrid"/>
    <x v="3"/>
    <n v="5000"/>
    <n v="2994.05"/>
    <n v="-2005.9499999999998"/>
    <n v="-0.40118999999999999"/>
    <x v="0"/>
    <n v="-2994.05"/>
    <x v="4"/>
  </r>
  <r>
    <s v="FIN-01329"/>
    <d v="2026-06-23T00:00:00"/>
    <x v="0"/>
    <x v="4"/>
    <x v="6"/>
    <x v="3"/>
    <s v="Karachi"/>
    <s v="Legalworks"/>
    <x v="1"/>
    <n v="8571.43"/>
    <n v="15507.92"/>
    <n v="6936.49"/>
    <n v="0.80925703179049469"/>
    <x v="1"/>
    <n v="-15507.92"/>
    <x v="13"/>
  </r>
  <r>
    <s v="FIN-01330"/>
    <d v="2026-03-06T00:00:00"/>
    <x v="0"/>
    <x v="4"/>
    <x v="11"/>
    <x v="0"/>
    <s v="Lahore"/>
    <s v="Urban Facilities"/>
    <x v="4"/>
    <n v="1833.33"/>
    <n v="3882.17"/>
    <n v="2048.84"/>
    <n v="1.1175511228202235"/>
    <x v="1"/>
    <n v="-3882.17"/>
    <x v="14"/>
  </r>
  <r>
    <s v="FIN-01331"/>
    <d v="2026-01-29T00:00:00"/>
    <x v="0"/>
    <x v="1"/>
    <x v="8"/>
    <x v="2"/>
    <s v="Lahore"/>
    <s v="Markethub"/>
    <x v="2"/>
    <n v="3637.5"/>
    <n v="5276.42"/>
    <n v="1638.92"/>
    <n v="0.4505621993127148"/>
    <x v="1"/>
    <n v="-5276.42"/>
    <x v="12"/>
  </r>
  <r>
    <s v="FIN-01332"/>
    <d v="2025-06-28T00:00:00"/>
    <x v="1"/>
    <x v="3"/>
    <x v="12"/>
    <x v="4"/>
    <s v="Karachi"/>
    <s v="Cloudnet"/>
    <x v="1"/>
    <n v="6250"/>
    <n v="14789.98"/>
    <n v="8539.98"/>
    <n v="1.3663968"/>
    <x v="1"/>
    <n v="14789.98"/>
    <x v="5"/>
  </r>
  <r>
    <s v="FIN-01333"/>
    <d v="2026-04-18T00:00:00"/>
    <x v="0"/>
    <x v="5"/>
    <x v="4"/>
    <x v="3"/>
    <s v="Peshawar"/>
    <s v="Markethub"/>
    <x v="0"/>
    <n v="5600"/>
    <n v="531.54999999999995"/>
    <n v="-5068.45"/>
    <n v="-0.90508035714285706"/>
    <x v="0"/>
    <n v="-531.54999999999995"/>
    <x v="15"/>
  </r>
  <r>
    <s v="FIN-01334"/>
    <d v="2025-08-21T00:00:00"/>
    <x v="0"/>
    <x v="3"/>
    <x v="9"/>
    <x v="4"/>
    <s v="Karachi"/>
    <s v="Cloudnet"/>
    <x v="2"/>
    <n v="3928.57"/>
    <n v="1864.46"/>
    <n v="-2064.11"/>
    <n v="-0.52541000924000336"/>
    <x v="0"/>
    <n v="-1864.46"/>
    <x v="7"/>
  </r>
  <r>
    <s v="FIN-01335"/>
    <d v="2026-04-25T00:00:00"/>
    <x v="0"/>
    <x v="6"/>
    <x v="10"/>
    <x v="1"/>
    <s v="Karachi"/>
    <s v="Powergrid"/>
    <x v="4"/>
    <n v="6666.67"/>
    <n v="2989.64"/>
    <n v="-3677.03"/>
    <n v="-0.55155422422288791"/>
    <x v="0"/>
    <n v="-2989.64"/>
    <x v="15"/>
  </r>
  <r>
    <s v="FIN-01336"/>
    <d v="2026-01-03T00:00:00"/>
    <x v="0"/>
    <x v="1"/>
    <x v="8"/>
    <x v="3"/>
    <s v="Faisalabad"/>
    <s v="Legalworks"/>
    <x v="2"/>
    <n v="3637.5"/>
    <n v="5734.05"/>
    <n v="2096.5500000000002"/>
    <n v="0.57637113402061857"/>
    <x v="1"/>
    <n v="-5734.05"/>
    <x v="12"/>
  </r>
  <r>
    <s v="FIN-01337"/>
    <d v="2026-01-19T00:00:00"/>
    <x v="0"/>
    <x v="5"/>
    <x v="0"/>
    <x v="4"/>
    <s v="Faisalabad"/>
    <s v="Legalworks"/>
    <x v="1"/>
    <n v="3104"/>
    <n v="624.62"/>
    <n v="-2479.38"/>
    <n v="-0.7987693298969073"/>
    <x v="0"/>
    <n v="-624.62"/>
    <x v="12"/>
  </r>
  <r>
    <s v="FIN-01338"/>
    <d v="2025-09-30T00:00:00"/>
    <x v="0"/>
    <x v="1"/>
    <x v="0"/>
    <x v="2"/>
    <s v="Karachi"/>
    <s v="Legalworks"/>
    <x v="3"/>
    <n v="5333.33"/>
    <n v="5385.3"/>
    <n v="51.970000000000255"/>
    <n v="9.74438109023823E-3"/>
    <x v="1"/>
    <n v="-5385.3"/>
    <x v="8"/>
  </r>
  <r>
    <s v="FIN-01339"/>
    <d v="2026-01-31T00:00:00"/>
    <x v="0"/>
    <x v="6"/>
    <x v="10"/>
    <x v="3"/>
    <s v="Faisalabad"/>
    <s v="Adsphere"/>
    <x v="4"/>
    <n v="4850"/>
    <n v="3926.51"/>
    <n v="-923.48999999999978"/>
    <n v="-0.19041030927835048"/>
    <x v="0"/>
    <n v="-3926.51"/>
    <x v="12"/>
  </r>
  <r>
    <s v="FIN-01340"/>
    <d v="2025-09-07T00:00:00"/>
    <x v="1"/>
    <x v="3"/>
    <x v="12"/>
    <x v="1"/>
    <s v="Karachi"/>
    <s v="Legalworks"/>
    <x v="3"/>
    <n v="7142.86"/>
    <n v="9383.43"/>
    <n v="2240.5700000000006"/>
    <n v="0.31367967452813028"/>
    <x v="1"/>
    <n v="9383.43"/>
    <x v="8"/>
  </r>
  <r>
    <s v="FIN-01341"/>
    <d v="2025-01-02T00:00:00"/>
    <x v="1"/>
    <x v="3"/>
    <x v="3"/>
    <x v="0"/>
    <s v="Islamabad"/>
    <s v="Adsphere"/>
    <x v="3"/>
    <n v="11022.73"/>
    <n v="24671.08"/>
    <n v="13648.350000000002"/>
    <n v="1.2382005183833771"/>
    <x v="1"/>
    <n v="24671.08"/>
    <x v="0"/>
  </r>
  <r>
    <s v="FIN-01342"/>
    <d v="2025-06-27T00:00:00"/>
    <x v="0"/>
    <x v="3"/>
    <x v="7"/>
    <x v="0"/>
    <s v="Karachi"/>
    <s v="Softworks"/>
    <x v="4"/>
    <n v="4375"/>
    <n v="3576.04"/>
    <n v="-798.96"/>
    <n v="-0.18261942857142857"/>
    <x v="0"/>
    <n v="-3576.04"/>
    <x v="5"/>
  </r>
  <r>
    <s v="FIN-01343"/>
    <d v="2025-08-05T00:00:00"/>
    <x v="0"/>
    <x v="2"/>
    <x v="5"/>
    <x v="1"/>
    <s v="Karachi"/>
    <s v="Travellink"/>
    <x v="2"/>
    <n v="10833.33"/>
    <n v="11440.3"/>
    <n v="606.96999999999935"/>
    <n v="5.6028017239389862E-2"/>
    <x v="1"/>
    <n v="-11440.3"/>
    <x v="7"/>
  </r>
  <r>
    <s v="FIN-01344"/>
    <d v="2026-04-07T00:00:00"/>
    <x v="0"/>
    <x v="1"/>
    <x v="4"/>
    <x v="4"/>
    <s v="Karachi"/>
    <s v="Softworks"/>
    <x v="1"/>
    <n v="5600"/>
    <n v="1532.77"/>
    <n v="-4067.23"/>
    <n v="-0.72629107142857141"/>
    <x v="0"/>
    <n v="-1532.77"/>
    <x v="15"/>
  </r>
  <r>
    <s v="FIN-01345"/>
    <d v="2026-06-30T00:00:00"/>
    <x v="1"/>
    <x v="3"/>
    <x v="12"/>
    <x v="3"/>
    <s v="Peshawar"/>
    <s v="Markethub"/>
    <x v="2"/>
    <n v="4761.8999999999996"/>
    <n v="15194.07"/>
    <n v="10432.17"/>
    <n v="2.1907578907578911"/>
    <x v="1"/>
    <n v="15194.07"/>
    <x v="13"/>
  </r>
  <r>
    <s v="FIN-01346"/>
    <d v="2025-11-28T00:00:00"/>
    <x v="0"/>
    <x v="1"/>
    <x v="6"/>
    <x v="2"/>
    <s v="Karachi"/>
    <s v="Adsphere"/>
    <x v="4"/>
    <n v="9947.3700000000008"/>
    <n v="11734.44"/>
    <n v="1787.0699999999997"/>
    <n v="0.17965251116626801"/>
    <x v="1"/>
    <n v="-11734.44"/>
    <x v="10"/>
  </r>
  <r>
    <s v="FIN-01347"/>
    <d v="2025-11-14T00:00:00"/>
    <x v="0"/>
    <x v="2"/>
    <x v="6"/>
    <x v="3"/>
    <s v="Karachi"/>
    <s v="Dataserve"/>
    <x v="4"/>
    <n v="9947.3700000000008"/>
    <n v="8073.04"/>
    <n v="-1874.3300000000008"/>
    <n v="-0.18842467908602983"/>
    <x v="0"/>
    <n v="-8073.04"/>
    <x v="10"/>
  </r>
  <r>
    <s v="FIN-01348"/>
    <d v="2026-02-27T00:00:00"/>
    <x v="0"/>
    <x v="5"/>
    <x v="5"/>
    <x v="3"/>
    <s v="Karachi"/>
    <s v="Prime Supplies"/>
    <x v="1"/>
    <n v="6305"/>
    <n v="6917.33"/>
    <n v="612.32999999999993"/>
    <n v="9.7118160190325126E-2"/>
    <x v="1"/>
    <n v="-6917.33"/>
    <x v="17"/>
  </r>
  <r>
    <s v="FIN-01349"/>
    <d v="2026-05-24T00:00:00"/>
    <x v="0"/>
    <x v="4"/>
    <x v="5"/>
    <x v="4"/>
    <s v="Peshawar"/>
    <s v="Urban Facilities"/>
    <x v="2"/>
    <n v="6500"/>
    <n v="2787.13"/>
    <n v="-3712.87"/>
    <n v="-0.57121076923076919"/>
    <x v="0"/>
    <n v="-2787.13"/>
    <x v="16"/>
  </r>
  <r>
    <s v="FIN-01350"/>
    <d v="2026-06-09T00:00:00"/>
    <x v="0"/>
    <x v="6"/>
    <x v="6"/>
    <x v="2"/>
    <s v="Peshawar"/>
    <s v="Legalworks"/>
    <x v="2"/>
    <n v="8571.43"/>
    <n v="3951.42"/>
    <n v="-4620.01"/>
    <n v="-0.5390010768331539"/>
    <x v="0"/>
    <n v="-3951.42"/>
    <x v="13"/>
  </r>
  <r>
    <s v="FIN-01351"/>
    <d v="2025-01-31T00:00:00"/>
    <x v="1"/>
    <x v="3"/>
    <x v="12"/>
    <x v="3"/>
    <s v="Karachi"/>
    <s v="Officepro"/>
    <x v="1"/>
    <n v="9700"/>
    <n v="10126.48"/>
    <n v="426.47999999999956"/>
    <n v="4.3967010309278305E-2"/>
    <x v="1"/>
    <n v="10126.48"/>
    <x v="0"/>
  </r>
  <r>
    <s v="FIN-01352"/>
    <d v="2025-11-02T00:00:00"/>
    <x v="0"/>
    <x v="6"/>
    <x v="1"/>
    <x v="3"/>
    <s v="Karachi"/>
    <s v="Cloudnet"/>
    <x v="1"/>
    <n v="1890"/>
    <n v="577.76"/>
    <n v="-1312.24"/>
    <n v="-0.69430687830687832"/>
    <x v="0"/>
    <n v="-577.76"/>
    <x v="10"/>
  </r>
  <r>
    <s v="FIN-01353"/>
    <d v="2025-12-18T00:00:00"/>
    <x v="0"/>
    <x v="2"/>
    <x v="9"/>
    <x v="4"/>
    <s v="Karachi"/>
    <s v="Softworks"/>
    <x v="4"/>
    <n v="4125"/>
    <n v="8628.17"/>
    <n v="4503.17"/>
    <n v="1.0916775757575758"/>
    <x v="1"/>
    <n v="-8628.17"/>
    <x v="11"/>
  </r>
  <r>
    <s v="FIN-01354"/>
    <d v="2026-02-12T00:00:00"/>
    <x v="0"/>
    <x v="6"/>
    <x v="5"/>
    <x v="2"/>
    <s v="Faisalabad"/>
    <s v="Powergrid"/>
    <x v="1"/>
    <n v="6305"/>
    <n v="8306.3700000000008"/>
    <n v="2001.3700000000008"/>
    <n v="0.31742585249801758"/>
    <x v="1"/>
    <n v="-8306.3700000000008"/>
    <x v="17"/>
  </r>
  <r>
    <s v="FIN-01355"/>
    <d v="2025-03-17T00:00:00"/>
    <x v="0"/>
    <x v="4"/>
    <x v="9"/>
    <x v="1"/>
    <s v="Karachi"/>
    <s v="Powergrid"/>
    <x v="0"/>
    <n v="3928.57"/>
    <n v="3301.62"/>
    <n v="-626.95000000000027"/>
    <n v="-0.15958733075902942"/>
    <x v="0"/>
    <n v="-3301.62"/>
    <x v="2"/>
  </r>
  <r>
    <s v="FIN-01356"/>
    <d v="2025-05-18T00:00:00"/>
    <x v="0"/>
    <x v="1"/>
    <x v="6"/>
    <x v="0"/>
    <s v="Islamabad"/>
    <s v="Softworks"/>
    <x v="1"/>
    <n v="7200"/>
    <n v="4488.41"/>
    <n v="-2711.59"/>
    <n v="-0.37660972222222222"/>
    <x v="0"/>
    <n v="-4488.41"/>
    <x v="4"/>
  </r>
  <r>
    <s v="FIN-01357"/>
    <d v="2026-02-23T00:00:00"/>
    <x v="0"/>
    <x v="5"/>
    <x v="4"/>
    <x v="1"/>
    <s v="Multan"/>
    <s v="Softworks"/>
    <x v="1"/>
    <n v="3880"/>
    <n v="2154.67"/>
    <n v="-1725.33"/>
    <n v="-0.44467268041237112"/>
    <x v="0"/>
    <n v="-2154.67"/>
    <x v="17"/>
  </r>
  <r>
    <s v="FIN-01358"/>
    <d v="2025-05-13T00:00:00"/>
    <x v="0"/>
    <x v="5"/>
    <x v="5"/>
    <x v="1"/>
    <s v="Karachi"/>
    <s v="Peoplefirst"/>
    <x v="1"/>
    <n v="4642.8599999999997"/>
    <n v="6214.71"/>
    <n v="1571.8500000000004"/>
    <n v="0.33855209935255437"/>
    <x v="1"/>
    <n v="-6214.71"/>
    <x v="4"/>
  </r>
  <r>
    <s v="FIN-01359"/>
    <d v="2025-08-08T00:00:00"/>
    <x v="1"/>
    <x v="3"/>
    <x v="3"/>
    <x v="0"/>
    <s v="Lahore"/>
    <s v="Shipfast"/>
    <x v="1"/>
    <n v="10416.67"/>
    <n v="17497.259999999998"/>
    <n v="7080.5899999999983"/>
    <n v="0.67973642248434463"/>
    <x v="1"/>
    <n v="17497.259999999998"/>
    <x v="7"/>
  </r>
  <r>
    <s v="FIN-01360"/>
    <d v="2025-12-11T00:00:00"/>
    <x v="1"/>
    <x v="4"/>
    <x v="13"/>
    <x v="3"/>
    <s v="Karachi"/>
    <s v="Dataserve"/>
    <x v="0"/>
    <n v="3500"/>
    <n v="1239.9000000000001"/>
    <n v="-2260.1"/>
    <n v="-0.64574285714285706"/>
    <x v="0"/>
    <n v="1239.9000000000001"/>
    <x v="11"/>
  </r>
  <r>
    <s v="FIN-01361"/>
    <d v="2026-05-30T00:00:00"/>
    <x v="0"/>
    <x v="1"/>
    <x v="8"/>
    <x v="4"/>
    <s v="Lahore"/>
    <s v="Officepro"/>
    <x v="2"/>
    <n v="2727.27"/>
    <n v="7212.45"/>
    <n v="4485.18"/>
    <n v="1.6445676445676447"/>
    <x v="1"/>
    <n v="-7212.45"/>
    <x v="16"/>
  </r>
  <r>
    <s v="FIN-01362"/>
    <d v="2025-03-19T00:00:00"/>
    <x v="1"/>
    <x v="3"/>
    <x v="3"/>
    <x v="3"/>
    <s v="Islamabad"/>
    <s v="Travellink"/>
    <x v="2"/>
    <n v="8064.52"/>
    <n v="21803.54"/>
    <n v="13739.02"/>
    <n v="1.703637662253922"/>
    <x v="1"/>
    <n v="21803.54"/>
    <x v="2"/>
  </r>
  <r>
    <s v="FIN-01363"/>
    <d v="2025-07-13T00:00:00"/>
    <x v="0"/>
    <x v="4"/>
    <x v="6"/>
    <x v="2"/>
    <s v="Karachi"/>
    <s v="Powergrid"/>
    <x v="4"/>
    <n v="6923.08"/>
    <n v="3584.08"/>
    <n v="-3339"/>
    <n v="-0.48229978564453974"/>
    <x v="0"/>
    <n v="-3584.08"/>
    <x v="6"/>
  </r>
  <r>
    <s v="FIN-01364"/>
    <d v="2026-06-15T00:00:00"/>
    <x v="1"/>
    <x v="3"/>
    <x v="12"/>
    <x v="0"/>
    <s v="Islamabad"/>
    <s v="Cloudnet"/>
    <x v="3"/>
    <n v="4761.8999999999996"/>
    <n v="14665.74"/>
    <n v="9903.84"/>
    <n v="2.0798084798084799"/>
    <x v="1"/>
    <n v="14665.74"/>
    <x v="13"/>
  </r>
  <r>
    <s v="FIN-01365"/>
    <d v="2025-07-01T00:00:00"/>
    <x v="0"/>
    <x v="1"/>
    <x v="10"/>
    <x v="3"/>
    <s v="Faisalabad"/>
    <s v="Peoplefirst"/>
    <x v="1"/>
    <n v="3333.33"/>
    <n v="2646.26"/>
    <n v="-687.06999999999971"/>
    <n v="-0.20612120612120605"/>
    <x v="0"/>
    <n v="-2646.26"/>
    <x v="6"/>
  </r>
  <r>
    <s v="FIN-01366"/>
    <d v="2025-05-15T00:00:00"/>
    <x v="0"/>
    <x v="2"/>
    <x v="5"/>
    <x v="4"/>
    <s v="Lahore"/>
    <s v="Legalworks"/>
    <x v="2"/>
    <n v="4642.8599999999997"/>
    <n v="5308.62"/>
    <n v="665.76000000000022"/>
    <n v="0.14339437329577034"/>
    <x v="1"/>
    <n v="-5308.62"/>
    <x v="4"/>
  </r>
  <r>
    <s v="FIN-01367"/>
    <d v="2025-06-08T00:00:00"/>
    <x v="1"/>
    <x v="6"/>
    <x v="3"/>
    <x v="3"/>
    <s v="Karachi"/>
    <s v="Prime Supplies"/>
    <x v="1"/>
    <n v="9615.3799999999992"/>
    <n v="18234.509999999998"/>
    <n v="8619.1299999999992"/>
    <n v="0.89638995026717616"/>
    <x v="1"/>
    <n v="18234.509999999998"/>
    <x v="5"/>
  </r>
  <r>
    <s v="FIN-01368"/>
    <d v="2026-06-19T00:00:00"/>
    <x v="0"/>
    <x v="1"/>
    <x v="1"/>
    <x v="0"/>
    <s v="Lahore"/>
    <s v="Softworks"/>
    <x v="4"/>
    <n v="3000"/>
    <n v="1204.43"/>
    <n v="-1795.57"/>
    <n v="-0.5985233333333333"/>
    <x v="0"/>
    <n v="-1204.43"/>
    <x v="13"/>
  </r>
  <r>
    <s v="FIN-01369"/>
    <d v="2025-08-21T00:00:00"/>
    <x v="0"/>
    <x v="1"/>
    <x v="10"/>
    <x v="4"/>
    <s v="Karachi"/>
    <s v="Urban Facilities"/>
    <x v="2"/>
    <n v="5714.29"/>
    <n v="2855.08"/>
    <n v="-2859.21"/>
    <n v="-0.50036137472896891"/>
    <x v="0"/>
    <n v="-2855.08"/>
    <x v="7"/>
  </r>
  <r>
    <s v="FIN-01370"/>
    <d v="2026-01-12T00:00:00"/>
    <x v="0"/>
    <x v="1"/>
    <x v="10"/>
    <x v="3"/>
    <s v="Lahore"/>
    <s v="Travellink"/>
    <x v="2"/>
    <n v="4850"/>
    <n v="5693.89"/>
    <n v="843.89000000000033"/>
    <n v="0.17399793814432996"/>
    <x v="1"/>
    <n v="-5693.89"/>
    <x v="12"/>
  </r>
  <r>
    <s v="FIN-01371"/>
    <d v="2025-07-05T00:00:00"/>
    <x v="1"/>
    <x v="2"/>
    <x v="13"/>
    <x v="4"/>
    <s v="Lahore"/>
    <s v="Cloudnet"/>
    <x v="2"/>
    <n v="4000"/>
    <n v="2727.89"/>
    <n v="-1272.1100000000001"/>
    <n v="-0.31802750000000002"/>
    <x v="0"/>
    <n v="2727.89"/>
    <x v="6"/>
  </r>
  <r>
    <s v="FIN-01372"/>
    <d v="2026-03-27T00:00:00"/>
    <x v="0"/>
    <x v="1"/>
    <x v="7"/>
    <x v="2"/>
    <s v="Islamabad"/>
    <s v="Peoplefirst"/>
    <x v="1"/>
    <n v="3181.82"/>
    <n v="4572.96"/>
    <n v="1391.1399999999999"/>
    <n v="0.43721517873418353"/>
    <x v="1"/>
    <n v="-4572.96"/>
    <x v="14"/>
  </r>
  <r>
    <s v="FIN-01373"/>
    <d v="2026-01-22T00:00:00"/>
    <x v="1"/>
    <x v="4"/>
    <x v="12"/>
    <x v="4"/>
    <s v="Karachi"/>
    <s v="Buildcare"/>
    <x v="1"/>
    <n v="6062.5"/>
    <n v="6412.14"/>
    <n v="349.64000000000033"/>
    <n v="5.7672577319587685E-2"/>
    <x v="1"/>
    <n v="6412.14"/>
    <x v="12"/>
  </r>
  <r>
    <s v="FIN-01374"/>
    <d v="2025-07-20T00:00:00"/>
    <x v="1"/>
    <x v="1"/>
    <x v="3"/>
    <x v="0"/>
    <s v="Islamabad"/>
    <s v="Markethub"/>
    <x v="0"/>
    <n v="12500"/>
    <n v="6793.95"/>
    <n v="-5706.05"/>
    <n v="-0.456484"/>
    <x v="0"/>
    <n v="6793.95"/>
    <x v="6"/>
  </r>
  <r>
    <s v="FIN-01375"/>
    <d v="2025-11-23T00:00:00"/>
    <x v="1"/>
    <x v="0"/>
    <x v="2"/>
    <x v="1"/>
    <s v="Lahore"/>
    <s v="Shipfast"/>
    <x v="2"/>
    <n v="8400"/>
    <n v="2862.52"/>
    <n v="-5537.48"/>
    <n v="-0.65922380952380943"/>
    <x v="0"/>
    <n v="2862.52"/>
    <x v="10"/>
  </r>
  <r>
    <s v="FIN-01376"/>
    <d v="2025-04-10T00:00:00"/>
    <x v="1"/>
    <x v="1"/>
    <x v="2"/>
    <x v="4"/>
    <s v="Faisalabad"/>
    <s v="Dataserve"/>
    <x v="3"/>
    <n v="10000"/>
    <n v="5963.03"/>
    <n v="-4036.9700000000003"/>
    <n v="-0.40369700000000003"/>
    <x v="0"/>
    <n v="5963.03"/>
    <x v="3"/>
  </r>
  <r>
    <s v="FIN-01377"/>
    <d v="2026-03-03T00:00:00"/>
    <x v="0"/>
    <x v="1"/>
    <x v="7"/>
    <x v="2"/>
    <s v="Peshawar"/>
    <s v="Travellink"/>
    <x v="3"/>
    <n v="3181.82"/>
    <n v="3383.56"/>
    <n v="201.73999999999978"/>
    <n v="6.3403963769163491E-2"/>
    <x v="1"/>
    <n v="-3383.56"/>
    <x v="14"/>
  </r>
  <r>
    <s v="FIN-01378"/>
    <d v="2026-01-07T00:00:00"/>
    <x v="0"/>
    <x v="0"/>
    <x v="6"/>
    <x v="0"/>
    <s v="Peshawar"/>
    <s v="Legalworks"/>
    <x v="0"/>
    <n v="6715.38"/>
    <n v="8209.75"/>
    <n v="1494.37"/>
    <n v="0.22252947711075172"/>
    <x v="1"/>
    <n v="-8209.75"/>
    <x v="12"/>
  </r>
  <r>
    <s v="FIN-01379"/>
    <d v="2025-10-30T00:00:00"/>
    <x v="0"/>
    <x v="1"/>
    <x v="6"/>
    <x v="0"/>
    <s v="Karachi"/>
    <s v="Cloudnet"/>
    <x v="1"/>
    <n v="7826.09"/>
    <n v="9290.24"/>
    <n v="1464.1499999999996"/>
    <n v="0.18708576057775972"/>
    <x v="1"/>
    <n v="-9290.24"/>
    <x v="9"/>
  </r>
  <r>
    <s v="FIN-01380"/>
    <d v="2025-12-13T00:00:00"/>
    <x v="0"/>
    <x v="1"/>
    <x v="0"/>
    <x v="2"/>
    <s v="Lahore"/>
    <s v="Urban Facilities"/>
    <x v="2"/>
    <n v="4800"/>
    <n v="3701.51"/>
    <n v="-1098.4899999999998"/>
    <n v="-0.22885208333333329"/>
    <x v="0"/>
    <n v="-3701.51"/>
    <x v="11"/>
  </r>
  <r>
    <s v="FIN-01381"/>
    <d v="2025-09-18T00:00:00"/>
    <x v="1"/>
    <x v="3"/>
    <x v="2"/>
    <x v="1"/>
    <s v="Multan"/>
    <s v="Urban Facilities"/>
    <x v="4"/>
    <n v="10000"/>
    <n v="4926.53"/>
    <n v="-5073.47"/>
    <n v="-0.50734699999999999"/>
    <x v="0"/>
    <n v="4926.53"/>
    <x v="8"/>
  </r>
  <r>
    <s v="FIN-01382"/>
    <d v="2025-03-13T00:00:00"/>
    <x v="1"/>
    <x v="3"/>
    <x v="3"/>
    <x v="2"/>
    <s v="Karachi"/>
    <s v="Travellink"/>
    <x v="0"/>
    <n v="8064.52"/>
    <n v="21850.65"/>
    <n v="13786.130000000001"/>
    <n v="1.7094792994499364"/>
    <x v="1"/>
    <n v="21850.65"/>
    <x v="2"/>
  </r>
  <r>
    <s v="FIN-01383"/>
    <d v="2025-03-28T00:00:00"/>
    <x v="1"/>
    <x v="3"/>
    <x v="13"/>
    <x v="3"/>
    <s v="Karachi"/>
    <s v="Cloudnet"/>
    <x v="1"/>
    <n v="2857.14"/>
    <n v="2131.69"/>
    <n v="-725.44999999999982"/>
    <n v="-0.25390775390775383"/>
    <x v="0"/>
    <n v="2131.69"/>
    <x v="2"/>
  </r>
  <r>
    <s v="FIN-01384"/>
    <d v="2025-07-19T00:00:00"/>
    <x v="1"/>
    <x v="3"/>
    <x v="2"/>
    <x v="2"/>
    <s v="Peshawar"/>
    <s v="Cloudnet"/>
    <x v="1"/>
    <n v="13333.33"/>
    <n v="3400.85"/>
    <n v="-9932.48"/>
    <n v="-0.74493618623404656"/>
    <x v="0"/>
    <n v="3400.85"/>
    <x v="6"/>
  </r>
  <r>
    <s v="FIN-01385"/>
    <d v="2025-03-07T00:00:00"/>
    <x v="1"/>
    <x v="3"/>
    <x v="13"/>
    <x v="3"/>
    <s v="Karachi"/>
    <s v="Prime Supplies"/>
    <x v="0"/>
    <n v="2857.14"/>
    <n v="506.08"/>
    <n v="-2351.06"/>
    <n v="-0.82287182287182292"/>
    <x v="0"/>
    <n v="506.08"/>
    <x v="2"/>
  </r>
  <r>
    <s v="FIN-01386"/>
    <d v="2025-04-17T00:00:00"/>
    <x v="0"/>
    <x v="0"/>
    <x v="6"/>
    <x v="0"/>
    <s v="Islamabad"/>
    <s v="Peoplefirst"/>
    <x v="3"/>
    <n v="13846.15"/>
    <n v="6154.89"/>
    <n v="-7691.2599999999993"/>
    <n v="-0.55548004318890087"/>
    <x v="0"/>
    <n v="-6154.89"/>
    <x v="3"/>
  </r>
  <r>
    <s v="FIN-01387"/>
    <d v="2025-10-06T00:00:00"/>
    <x v="0"/>
    <x v="2"/>
    <x v="7"/>
    <x v="2"/>
    <s v="Karachi"/>
    <s v="Prime Supplies"/>
    <x v="2"/>
    <n v="3500"/>
    <n v="3422.75"/>
    <n v="-77.25"/>
    <n v="-2.2071428571428572E-2"/>
    <x v="0"/>
    <n v="-3422.75"/>
    <x v="9"/>
  </r>
  <r>
    <s v="FIN-01388"/>
    <d v="2025-06-11T00:00:00"/>
    <x v="0"/>
    <x v="5"/>
    <x v="6"/>
    <x v="4"/>
    <s v="Islamabad"/>
    <s v="Techsource"/>
    <x v="3"/>
    <n v="6428.57"/>
    <n v="15576.38"/>
    <n v="9147.81"/>
    <n v="1.4229929828873296"/>
    <x v="1"/>
    <n v="-15576.38"/>
    <x v="5"/>
  </r>
  <r>
    <s v="FIN-01389"/>
    <d v="2026-05-11T00:00:00"/>
    <x v="1"/>
    <x v="3"/>
    <x v="2"/>
    <x v="2"/>
    <s v="Karachi"/>
    <s v="Prime Supplies"/>
    <x v="4"/>
    <n v="6153.85"/>
    <n v="3486.29"/>
    <n v="-2667.5600000000004"/>
    <n v="-0.43347822907610689"/>
    <x v="0"/>
    <n v="3486.29"/>
    <x v="16"/>
  </r>
  <r>
    <s v="FIN-01390"/>
    <d v="2026-01-04T00:00:00"/>
    <x v="0"/>
    <x v="5"/>
    <x v="11"/>
    <x v="2"/>
    <s v="Lahore"/>
    <s v="Officepro"/>
    <x v="3"/>
    <n v="3556.67"/>
    <n v="830.15"/>
    <n v="-2726.52"/>
    <n v="-0.76659347085897767"/>
    <x v="0"/>
    <n v="-830.15"/>
    <x v="12"/>
  </r>
  <r>
    <s v="FIN-01391"/>
    <d v="2025-12-14T00:00:00"/>
    <x v="0"/>
    <x v="4"/>
    <x v="5"/>
    <x v="2"/>
    <s v="Karachi"/>
    <s v="Prime Supplies"/>
    <x v="1"/>
    <n v="5250"/>
    <n v="11567.44"/>
    <n v="6317.4400000000005"/>
    <n v="1.2033219047619048"/>
    <x v="1"/>
    <n v="-11567.44"/>
    <x v="11"/>
  </r>
  <r>
    <s v="FIN-01392"/>
    <d v="2025-04-10T00:00:00"/>
    <x v="0"/>
    <x v="2"/>
    <x v="6"/>
    <x v="0"/>
    <s v="Faisalabad"/>
    <s v="Officepro"/>
    <x v="2"/>
    <n v="13846.15"/>
    <n v="3926.9"/>
    <n v="-9919.25"/>
    <n v="-0.71639047677513246"/>
    <x v="0"/>
    <n v="-3926.9"/>
    <x v="3"/>
  </r>
  <r>
    <s v="FIN-01393"/>
    <d v="2026-01-14T00:00:00"/>
    <x v="0"/>
    <x v="4"/>
    <x v="4"/>
    <x v="2"/>
    <s v="Islamabad"/>
    <s v="Dataserve"/>
    <x v="1"/>
    <n v="5432"/>
    <n v="1197.93"/>
    <n v="-4234.07"/>
    <n v="-0.77946796759941084"/>
    <x v="0"/>
    <n v="-1197.93"/>
    <x v="12"/>
  </r>
  <r>
    <s v="FIN-01394"/>
    <d v="2026-01-31T00:00:00"/>
    <x v="0"/>
    <x v="3"/>
    <x v="6"/>
    <x v="3"/>
    <s v="Karachi"/>
    <s v="Adsphere"/>
    <x v="1"/>
    <n v="6715.38"/>
    <n v="2678.5"/>
    <n v="-4036.88"/>
    <n v="-0.60113947386447231"/>
    <x v="0"/>
    <n v="-2678.5"/>
    <x v="12"/>
  </r>
  <r>
    <s v="FIN-01395"/>
    <d v="2025-07-07T00:00:00"/>
    <x v="0"/>
    <x v="3"/>
    <x v="6"/>
    <x v="0"/>
    <s v="Karachi"/>
    <s v="Cloudnet"/>
    <x v="1"/>
    <n v="6923.08"/>
    <n v="16380.85"/>
    <n v="9457.77"/>
    <n v="1.3661217261681218"/>
    <x v="1"/>
    <n v="-16380.85"/>
    <x v="6"/>
  </r>
  <r>
    <s v="FIN-01396"/>
    <d v="2026-02-21T00:00:00"/>
    <x v="0"/>
    <x v="1"/>
    <x v="9"/>
    <x v="3"/>
    <s v="Karachi"/>
    <s v="Adsphere"/>
    <x v="2"/>
    <n v="4850"/>
    <n v="7500.48"/>
    <n v="2650.4799999999996"/>
    <n v="0.54649072164948442"/>
    <x v="1"/>
    <n v="-7500.48"/>
    <x v="17"/>
  </r>
  <r>
    <s v="FIN-01397"/>
    <d v="2025-03-18T00:00:00"/>
    <x v="0"/>
    <x v="0"/>
    <x v="6"/>
    <x v="0"/>
    <s v="Lahore"/>
    <s v="Markethub"/>
    <x v="4"/>
    <n v="6000"/>
    <n v="14638.94"/>
    <n v="8638.94"/>
    <n v="1.4398233333333335"/>
    <x v="1"/>
    <n v="-14638.94"/>
    <x v="2"/>
  </r>
  <r>
    <s v="FIN-01398"/>
    <d v="2026-03-11T00:00:00"/>
    <x v="0"/>
    <x v="6"/>
    <x v="10"/>
    <x v="4"/>
    <s v="Islamabad"/>
    <s v="Buildcare"/>
    <x v="2"/>
    <n v="5000"/>
    <n v="1479.61"/>
    <n v="-3520.3900000000003"/>
    <n v="-0.70407800000000009"/>
    <x v="0"/>
    <n v="-1479.61"/>
    <x v="14"/>
  </r>
  <r>
    <s v="FIN-01399"/>
    <d v="2025-10-13T00:00:00"/>
    <x v="0"/>
    <x v="5"/>
    <x v="10"/>
    <x v="2"/>
    <s v="Karachi"/>
    <s v="Techsource"/>
    <x v="1"/>
    <n v="3333.33"/>
    <n v="1440.85"/>
    <n v="-1892.48"/>
    <n v="-0.56774456774456772"/>
    <x v="0"/>
    <n v="-1440.85"/>
    <x v="9"/>
  </r>
  <r>
    <s v="FIN-01400"/>
    <d v="2026-03-02T00:00:00"/>
    <x v="0"/>
    <x v="6"/>
    <x v="11"/>
    <x v="4"/>
    <s v="Karachi"/>
    <s v="Peoplefirst"/>
    <x v="1"/>
    <n v="1833.33"/>
    <n v="263.35000000000002"/>
    <n v="-1569.98"/>
    <n v="-0.85635428428051696"/>
    <x v="0"/>
    <n v="-263.35000000000002"/>
    <x v="14"/>
  </r>
  <r>
    <s v="FIN-01401"/>
    <d v="2026-04-30T00:00:00"/>
    <x v="1"/>
    <x v="3"/>
    <x v="12"/>
    <x v="4"/>
    <s v="Lahore"/>
    <s v="Softworks"/>
    <x v="3"/>
    <n v="7142.86"/>
    <n v="2570.4299999999998"/>
    <n v="-4572.43"/>
    <n v="-0.64013994394402252"/>
    <x v="0"/>
    <n v="2570.4299999999998"/>
    <x v="15"/>
  </r>
  <r>
    <s v="FIN-01402"/>
    <d v="2026-02-18T00:00:00"/>
    <x v="1"/>
    <x v="6"/>
    <x v="12"/>
    <x v="4"/>
    <s v="Karachi"/>
    <s v="Dataserve"/>
    <x v="1"/>
    <n v="8083.33"/>
    <n v="5967.09"/>
    <n v="-2116.2399999999998"/>
    <n v="-0.26180299455793588"/>
    <x v="0"/>
    <n v="5967.09"/>
    <x v="17"/>
  </r>
  <r>
    <s v="FIN-01403"/>
    <d v="2025-07-18T00:00:00"/>
    <x v="0"/>
    <x v="1"/>
    <x v="7"/>
    <x v="3"/>
    <s v="Karachi"/>
    <s v="Prime Supplies"/>
    <x v="4"/>
    <n v="8750"/>
    <n v="1920.34"/>
    <n v="-6829.66"/>
    <n v="-0.78053257142857146"/>
    <x v="0"/>
    <n v="-1920.34"/>
    <x v="6"/>
  </r>
  <r>
    <s v="FIN-01404"/>
    <d v="2025-03-21T00:00:00"/>
    <x v="1"/>
    <x v="5"/>
    <x v="3"/>
    <x v="1"/>
    <s v="Karachi"/>
    <s v="Officepro"/>
    <x v="2"/>
    <n v="8064.52"/>
    <n v="16982.96"/>
    <n v="8918.4399999999987"/>
    <n v="1.1058860291747057"/>
    <x v="1"/>
    <n v="16982.96"/>
    <x v="2"/>
  </r>
  <r>
    <s v="FIN-01405"/>
    <d v="2025-10-31T00:00:00"/>
    <x v="0"/>
    <x v="6"/>
    <x v="5"/>
    <x v="1"/>
    <s v="Islamabad"/>
    <s v="Techsource"/>
    <x v="1"/>
    <n v="9285.7099999999991"/>
    <n v="6669.14"/>
    <n v="-2616.5699999999988"/>
    <n v="-0.28178459159288832"/>
    <x v="0"/>
    <n v="-6669.14"/>
    <x v="9"/>
  </r>
  <r>
    <s v="FIN-01406"/>
    <d v="2025-03-04T00:00:00"/>
    <x v="1"/>
    <x v="2"/>
    <x v="12"/>
    <x v="3"/>
    <s v="Karachi"/>
    <s v="Softworks"/>
    <x v="4"/>
    <n v="9090.91"/>
    <n v="14879.56"/>
    <n v="5788.65"/>
    <n v="0.63675143632485631"/>
    <x v="1"/>
    <n v="14879.56"/>
    <x v="2"/>
  </r>
  <r>
    <s v="FIN-01407"/>
    <d v="2025-10-12T00:00:00"/>
    <x v="0"/>
    <x v="1"/>
    <x v="4"/>
    <x v="4"/>
    <s v="Lahore"/>
    <s v="Cloudnet"/>
    <x v="1"/>
    <n v="3500"/>
    <n v="901.11"/>
    <n v="-2598.89"/>
    <n v="-0.74253999999999998"/>
    <x v="0"/>
    <n v="-901.11"/>
    <x v="9"/>
  </r>
  <r>
    <s v="FIN-01408"/>
    <d v="2026-02-27T00:00:00"/>
    <x v="1"/>
    <x v="3"/>
    <x v="12"/>
    <x v="0"/>
    <s v="Lahore"/>
    <s v="Cloudnet"/>
    <x v="1"/>
    <n v="8083.33"/>
    <n v="10311.14"/>
    <n v="2227.8099999999995"/>
    <n v="0.27560547447648426"/>
    <x v="1"/>
    <n v="10311.14"/>
    <x v="17"/>
  </r>
  <r>
    <s v="FIN-01409"/>
    <d v="2026-01-31T00:00:00"/>
    <x v="1"/>
    <x v="2"/>
    <x v="12"/>
    <x v="4"/>
    <s v="Karachi"/>
    <s v="Techsource"/>
    <x v="4"/>
    <n v="6062.5"/>
    <n v="1369.19"/>
    <n v="-4693.3099999999995"/>
    <n v="-0.7741542268041236"/>
    <x v="0"/>
    <n v="1369.19"/>
    <x v="12"/>
  </r>
  <r>
    <s v="FIN-01410"/>
    <d v="2025-03-24T00:00:00"/>
    <x v="1"/>
    <x v="3"/>
    <x v="3"/>
    <x v="4"/>
    <s v="Karachi"/>
    <s v="Urban Facilities"/>
    <x v="4"/>
    <n v="8064.52"/>
    <n v="3707.27"/>
    <n v="-4357.25"/>
    <n v="-0.54029874065660444"/>
    <x v="0"/>
    <n v="3707.27"/>
    <x v="2"/>
  </r>
  <r>
    <s v="FIN-01411"/>
    <d v="2026-02-17T00:00:00"/>
    <x v="0"/>
    <x v="4"/>
    <x v="7"/>
    <x v="2"/>
    <s v="Peshawar"/>
    <s v="Officepro"/>
    <x v="2"/>
    <n v="5658.33"/>
    <n v="4327.45"/>
    <n v="-1330.88"/>
    <n v="-0.23520720778038753"/>
    <x v="0"/>
    <n v="-4327.45"/>
    <x v="17"/>
  </r>
  <r>
    <s v="FIN-01412"/>
    <d v="2026-05-14T00:00:00"/>
    <x v="1"/>
    <x v="3"/>
    <x v="2"/>
    <x v="3"/>
    <s v="Lahore"/>
    <s v="Buildcare"/>
    <x v="2"/>
    <n v="6153.85"/>
    <n v="1392.05"/>
    <n v="-4761.8"/>
    <n v="-0.77379201637998973"/>
    <x v="0"/>
    <n v="1392.05"/>
    <x v="16"/>
  </r>
  <r>
    <s v="FIN-01413"/>
    <d v="2026-06-26T00:00:00"/>
    <x v="0"/>
    <x v="6"/>
    <x v="5"/>
    <x v="0"/>
    <s v="Peshawar"/>
    <s v="Markethub"/>
    <x v="2"/>
    <n v="5416.67"/>
    <n v="7251.68"/>
    <n v="1835.0100000000002"/>
    <n v="0.33877086844869636"/>
    <x v="1"/>
    <n v="-7251.68"/>
    <x v="13"/>
  </r>
  <r>
    <s v="FIN-01414"/>
    <d v="2025-04-03T00:00:00"/>
    <x v="0"/>
    <x v="1"/>
    <x v="9"/>
    <x v="4"/>
    <s v="Karachi"/>
    <s v="Softworks"/>
    <x v="3"/>
    <n v="6111.11"/>
    <n v="394.1"/>
    <n v="-5717.0099999999993"/>
    <n v="-0.93551089736561766"/>
    <x v="0"/>
    <n v="-394.1"/>
    <x v="3"/>
  </r>
  <r>
    <s v="FIN-01415"/>
    <d v="2026-06-03T00:00:00"/>
    <x v="1"/>
    <x v="3"/>
    <x v="3"/>
    <x v="4"/>
    <s v="Islamabad"/>
    <s v="Shipfast"/>
    <x v="1"/>
    <n v="10000"/>
    <n v="8978.24"/>
    <n v="-1021.7600000000002"/>
    <n v="-0.10217600000000002"/>
    <x v="0"/>
    <n v="8978.24"/>
    <x v="13"/>
  </r>
  <r>
    <s v="FIN-01416"/>
    <d v="2025-12-18T00:00:00"/>
    <x v="1"/>
    <x v="0"/>
    <x v="12"/>
    <x v="2"/>
    <s v="Islamabad"/>
    <s v="Travellink"/>
    <x v="1"/>
    <n v="9545.4500000000007"/>
    <n v="3114.32"/>
    <n v="-6431.130000000001"/>
    <n v="-0.67373774939892839"/>
    <x v="0"/>
    <n v="3114.32"/>
    <x v="11"/>
  </r>
  <r>
    <s v="FIN-01417"/>
    <d v="2025-08-07T00:00:00"/>
    <x v="0"/>
    <x v="1"/>
    <x v="11"/>
    <x v="2"/>
    <s v="Karachi"/>
    <s v="Dataserve"/>
    <x v="1"/>
    <n v="3666.67"/>
    <n v="1769.63"/>
    <n v="-1897.04"/>
    <n v="-0.51737407511447719"/>
    <x v="0"/>
    <n v="-1769.63"/>
    <x v="7"/>
  </r>
  <r>
    <s v="FIN-01418"/>
    <d v="2025-03-06T00:00:00"/>
    <x v="0"/>
    <x v="2"/>
    <x v="7"/>
    <x v="4"/>
    <s v="Karachi"/>
    <s v="Cloudnet"/>
    <x v="1"/>
    <n v="4375"/>
    <n v="3102.75"/>
    <n v="-1272.25"/>
    <n v="-0.2908"/>
    <x v="0"/>
    <n v="-3102.75"/>
    <x v="2"/>
  </r>
  <r>
    <s v="FIN-01419"/>
    <d v="2025-05-29T00:00:00"/>
    <x v="0"/>
    <x v="3"/>
    <x v="5"/>
    <x v="0"/>
    <s v="Karachi"/>
    <s v="Markethub"/>
    <x v="4"/>
    <n v="4642.8599999999997"/>
    <n v="6540.94"/>
    <n v="1898.08"/>
    <n v="0.40881697918955129"/>
    <x v="1"/>
    <n v="-6540.94"/>
    <x v="4"/>
  </r>
  <r>
    <s v="FIN-01420"/>
    <d v="2026-03-14T00:00:00"/>
    <x v="1"/>
    <x v="3"/>
    <x v="3"/>
    <x v="0"/>
    <s v="Karachi"/>
    <s v="Techsource"/>
    <x v="1"/>
    <n v="11363.64"/>
    <n v="13161.38"/>
    <n v="1797.7399999999998"/>
    <n v="0.15820106937565778"/>
    <x v="1"/>
    <n v="13161.38"/>
    <x v="14"/>
  </r>
  <r>
    <s v="FIN-01421"/>
    <d v="2026-04-22T00:00:00"/>
    <x v="0"/>
    <x v="2"/>
    <x v="0"/>
    <x v="0"/>
    <s v="Karachi"/>
    <s v="Dataserve"/>
    <x v="2"/>
    <n v="5333.33"/>
    <n v="4448.59"/>
    <n v="-884.73999999999978"/>
    <n v="-0.16588885368053352"/>
    <x v="0"/>
    <n v="-4448.59"/>
    <x v="15"/>
  </r>
  <r>
    <s v="FIN-01422"/>
    <d v="2025-09-09T00:00:00"/>
    <x v="0"/>
    <x v="5"/>
    <x v="6"/>
    <x v="0"/>
    <s v="Karachi"/>
    <s v="Peoplefirst"/>
    <x v="1"/>
    <n v="7500"/>
    <n v="3016"/>
    <n v="-4484"/>
    <n v="-0.59786666666666666"/>
    <x v="0"/>
    <n v="-3016"/>
    <x v="8"/>
  </r>
  <r>
    <s v="FIN-01423"/>
    <d v="2025-03-07T00:00:00"/>
    <x v="1"/>
    <x v="3"/>
    <x v="12"/>
    <x v="4"/>
    <s v="Lahore"/>
    <s v="Prime Supplies"/>
    <x v="3"/>
    <n v="9090.91"/>
    <n v="11853.27"/>
    <n v="2762.3600000000006"/>
    <n v="0.30385956961404309"/>
    <x v="1"/>
    <n v="11853.27"/>
    <x v="2"/>
  </r>
  <r>
    <s v="FIN-01424"/>
    <d v="2025-06-28T00:00:00"/>
    <x v="1"/>
    <x v="5"/>
    <x v="3"/>
    <x v="2"/>
    <s v="Karachi"/>
    <s v="Travellink"/>
    <x v="4"/>
    <n v="9615.3799999999992"/>
    <n v="4539.75"/>
    <n v="-5075.6299999999992"/>
    <n v="-0.52786577337557117"/>
    <x v="0"/>
    <n v="4539.75"/>
    <x v="5"/>
  </r>
  <r>
    <s v="FIN-01425"/>
    <d v="2026-02-20T00:00:00"/>
    <x v="0"/>
    <x v="0"/>
    <x v="0"/>
    <x v="1"/>
    <s v="Karachi"/>
    <s v="Markethub"/>
    <x v="2"/>
    <n v="5173.33"/>
    <n v="5893.63"/>
    <n v="720.30000000000018"/>
    <n v="0.1392333371348822"/>
    <x v="1"/>
    <n v="-5893.63"/>
    <x v="17"/>
  </r>
  <r>
    <s v="FIN-01426"/>
    <d v="2026-06-08T00:00:00"/>
    <x v="0"/>
    <x v="4"/>
    <x v="6"/>
    <x v="2"/>
    <s v="Islamabad"/>
    <s v="Softworks"/>
    <x v="4"/>
    <n v="8571.43"/>
    <n v="11366.5"/>
    <n v="2795.0699999999997"/>
    <n v="0.32609144565142567"/>
    <x v="1"/>
    <n v="-11366.5"/>
    <x v="13"/>
  </r>
  <r>
    <s v="FIN-01427"/>
    <d v="2025-06-23T00:00:00"/>
    <x v="1"/>
    <x v="3"/>
    <x v="3"/>
    <x v="3"/>
    <s v="Peshawar"/>
    <s v="Legalworks"/>
    <x v="0"/>
    <n v="9615.3799999999992"/>
    <n v="20563.13"/>
    <n v="10947.750000000002"/>
    <n v="1.1385665465119426"/>
    <x v="1"/>
    <n v="20563.13"/>
    <x v="5"/>
  </r>
  <r>
    <s v="FIN-01428"/>
    <d v="2025-12-17T00:00:00"/>
    <x v="0"/>
    <x v="1"/>
    <x v="8"/>
    <x v="4"/>
    <s v="Islamabad"/>
    <s v="Softworks"/>
    <x v="1"/>
    <n v="4500"/>
    <n v="5913.05"/>
    <n v="1413.0500000000002"/>
    <n v="0.31401111111111113"/>
    <x v="1"/>
    <n v="-5913.05"/>
    <x v="11"/>
  </r>
  <r>
    <s v="FIN-01429"/>
    <d v="2026-03-17T00:00:00"/>
    <x v="0"/>
    <x v="4"/>
    <x v="0"/>
    <x v="0"/>
    <s v="Karachi"/>
    <s v="Officepro"/>
    <x v="1"/>
    <n v="4000"/>
    <n v="657.92"/>
    <n v="-3342.08"/>
    <n v="-0.83551999999999993"/>
    <x v="0"/>
    <n v="-657.92"/>
    <x v="14"/>
  </r>
  <r>
    <s v="FIN-01430"/>
    <d v="2025-09-25T00:00:00"/>
    <x v="0"/>
    <x v="6"/>
    <x v="7"/>
    <x v="4"/>
    <s v="Faisalabad"/>
    <s v="Markethub"/>
    <x v="2"/>
    <n v="3500"/>
    <n v="1750.62"/>
    <n v="-1749.38"/>
    <n v="-0.49982285714285718"/>
    <x v="0"/>
    <n v="-1750.62"/>
    <x v="8"/>
  </r>
  <r>
    <s v="FIN-01431"/>
    <d v="2025-06-30T00:00:00"/>
    <x v="1"/>
    <x v="3"/>
    <x v="3"/>
    <x v="4"/>
    <s v="Faisalabad"/>
    <s v="Powergrid"/>
    <x v="1"/>
    <n v="9615.3799999999992"/>
    <n v="7314.45"/>
    <n v="-2300.9299999999994"/>
    <n v="-0.23929683486248068"/>
    <x v="0"/>
    <n v="7314.45"/>
    <x v="5"/>
  </r>
  <r>
    <s v="FIN-01432"/>
    <d v="2025-08-23T00:00:00"/>
    <x v="0"/>
    <x v="1"/>
    <x v="0"/>
    <x v="4"/>
    <s v="Faisalabad"/>
    <s v="Markethub"/>
    <x v="1"/>
    <n v="2285.71"/>
    <n v="2665.95"/>
    <n v="380.23999999999978"/>
    <n v="0.16635531191620975"/>
    <x v="1"/>
    <n v="-2665.95"/>
    <x v="7"/>
  </r>
  <r>
    <s v="FIN-01433"/>
    <d v="2026-03-27T00:00:00"/>
    <x v="1"/>
    <x v="3"/>
    <x v="2"/>
    <x v="2"/>
    <s v="Islamabad"/>
    <s v="Cloudnet"/>
    <x v="1"/>
    <n v="10000"/>
    <n v="3992.66"/>
    <n v="-6007.34"/>
    <n v="-0.60073399999999999"/>
    <x v="0"/>
    <n v="3992.66"/>
    <x v="14"/>
  </r>
  <r>
    <s v="FIN-01434"/>
    <d v="2026-01-08T00:00:00"/>
    <x v="0"/>
    <x v="2"/>
    <x v="4"/>
    <x v="1"/>
    <s v="Karachi"/>
    <s v="Prime Supplies"/>
    <x v="4"/>
    <n v="5432"/>
    <n v="2870.34"/>
    <n v="-2561.66"/>
    <n v="-0.4715868924889543"/>
    <x v="0"/>
    <n v="-2870.34"/>
    <x v="12"/>
  </r>
  <r>
    <s v="FIN-01435"/>
    <d v="2026-03-18T00:00:00"/>
    <x v="1"/>
    <x v="3"/>
    <x v="3"/>
    <x v="1"/>
    <s v="Faisalabad"/>
    <s v="Techsource"/>
    <x v="2"/>
    <n v="11363.64"/>
    <n v="4160.66"/>
    <n v="-7202.98"/>
    <n v="-0.63386203716414813"/>
    <x v="0"/>
    <n v="4160.66"/>
    <x v="14"/>
  </r>
  <r>
    <s v="FIN-01436"/>
    <d v="2025-10-31T00:00:00"/>
    <x v="0"/>
    <x v="0"/>
    <x v="6"/>
    <x v="3"/>
    <s v="Peshawar"/>
    <s v="Peoplefirst"/>
    <x v="2"/>
    <n v="7826.09"/>
    <n v="5616.45"/>
    <n v="-2209.6400000000003"/>
    <n v="-0.2823427790889193"/>
    <x v="0"/>
    <n v="-5616.45"/>
    <x v="9"/>
  </r>
  <r>
    <s v="FIN-01437"/>
    <d v="2025-09-17T00:00:00"/>
    <x v="0"/>
    <x v="3"/>
    <x v="6"/>
    <x v="4"/>
    <s v="Islamabad"/>
    <s v="Cloudnet"/>
    <x v="4"/>
    <n v="7500"/>
    <n v="1284.5999999999999"/>
    <n v="-6215.4"/>
    <n v="-0.8287199999999999"/>
    <x v="0"/>
    <n v="-1284.5999999999999"/>
    <x v="8"/>
  </r>
  <r>
    <s v="FIN-01438"/>
    <d v="2026-06-20T00:00:00"/>
    <x v="0"/>
    <x v="2"/>
    <x v="7"/>
    <x v="3"/>
    <s v="Lahore"/>
    <s v="Techsource"/>
    <x v="3"/>
    <n v="5000"/>
    <n v="2642.36"/>
    <n v="-2357.64"/>
    <n v="-0.47152799999999995"/>
    <x v="0"/>
    <n v="-2642.36"/>
    <x v="13"/>
  </r>
  <r>
    <s v="FIN-01439"/>
    <d v="2026-03-14T00:00:00"/>
    <x v="1"/>
    <x v="3"/>
    <x v="12"/>
    <x v="2"/>
    <s v="Karachi"/>
    <s v="Prime Supplies"/>
    <x v="2"/>
    <n v="10000"/>
    <n v="15546.75"/>
    <n v="5546.75"/>
    <n v="0.55467500000000003"/>
    <x v="1"/>
    <n v="15546.75"/>
    <x v="14"/>
  </r>
  <r>
    <s v="FIN-01440"/>
    <d v="2026-05-20T00:00:00"/>
    <x v="1"/>
    <x v="3"/>
    <x v="3"/>
    <x v="2"/>
    <s v="Karachi"/>
    <s v="Shipfast"/>
    <x v="3"/>
    <n v="10869.57"/>
    <n v="24657.08"/>
    <n v="13787.510000000002"/>
    <n v="1.268450361881841"/>
    <x v="1"/>
    <n v="24657.08"/>
    <x v="16"/>
  </r>
  <r>
    <s v="FIN-01441"/>
    <d v="2025-02-21T00:00:00"/>
    <x v="1"/>
    <x v="3"/>
    <x v="2"/>
    <x v="1"/>
    <s v="Karachi"/>
    <s v="Buildcare"/>
    <x v="0"/>
    <n v="4850"/>
    <n v="7198.02"/>
    <n v="2348.0200000000004"/>
    <n v="0.4841278350515465"/>
    <x v="1"/>
    <n v="7198.02"/>
    <x v="1"/>
  </r>
  <r>
    <s v="FIN-01442"/>
    <d v="2026-05-13T00:00:00"/>
    <x v="0"/>
    <x v="3"/>
    <x v="7"/>
    <x v="1"/>
    <s v="Karachi"/>
    <s v="Softworks"/>
    <x v="1"/>
    <n v="2692.31"/>
    <n v="391.53"/>
    <n v="-2300.7799999999997"/>
    <n v="-0.85457469607883185"/>
    <x v="0"/>
    <n v="-391.53"/>
    <x v="16"/>
  </r>
  <r>
    <s v="FIN-01443"/>
    <d v="2025-10-11T00:00:00"/>
    <x v="1"/>
    <x v="6"/>
    <x v="2"/>
    <x v="4"/>
    <s v="Lahore"/>
    <s v="Legalworks"/>
    <x v="2"/>
    <n v="4705.88"/>
    <n v="6752.93"/>
    <n v="2047.0500000000002"/>
    <n v="0.4349983424991713"/>
    <x v="1"/>
    <n v="6752.93"/>
    <x v="9"/>
  </r>
  <r>
    <s v="FIN-01444"/>
    <d v="2025-12-16T00:00:00"/>
    <x v="0"/>
    <x v="2"/>
    <x v="7"/>
    <x v="3"/>
    <s v="Karachi"/>
    <s v="Travellink"/>
    <x v="2"/>
    <n v="6125"/>
    <n v="1454.38"/>
    <n v="-4670.62"/>
    <n v="-0.76255020408163265"/>
    <x v="0"/>
    <n v="-1454.38"/>
    <x v="11"/>
  </r>
  <r>
    <s v="FIN-01445"/>
    <d v="2025-08-26T00:00:00"/>
    <x v="1"/>
    <x v="3"/>
    <x v="12"/>
    <x v="0"/>
    <s v="Islamabad"/>
    <s v="Shipfast"/>
    <x v="3"/>
    <n v="7142.86"/>
    <n v="4071.42"/>
    <n v="-3071.4399999999996"/>
    <n v="-0.43000142799942875"/>
    <x v="0"/>
    <n v="4071.42"/>
    <x v="7"/>
  </r>
  <r>
    <s v="FIN-01446"/>
    <d v="2025-06-12T00:00:00"/>
    <x v="0"/>
    <x v="4"/>
    <x v="4"/>
    <x v="2"/>
    <s v="Lahore"/>
    <s v="Dataserve"/>
    <x v="0"/>
    <n v="7000"/>
    <n v="604.6"/>
    <n v="-6395.4"/>
    <n v="-0.91362857142857135"/>
    <x v="0"/>
    <n v="-604.6"/>
    <x v="5"/>
  </r>
  <r>
    <s v="FIN-01447"/>
    <d v="2025-03-29T00:00:00"/>
    <x v="0"/>
    <x v="1"/>
    <x v="0"/>
    <x v="0"/>
    <s v="Faisalabad"/>
    <s v="Buildcare"/>
    <x v="1"/>
    <n v="4571.43"/>
    <n v="2359.3000000000002"/>
    <n v="-2212.13"/>
    <n v="-0.48390328628022306"/>
    <x v="0"/>
    <n v="-2359.3000000000002"/>
    <x v="2"/>
  </r>
  <r>
    <s v="FIN-01448"/>
    <d v="2026-01-09T00:00:00"/>
    <x v="1"/>
    <x v="4"/>
    <x v="12"/>
    <x v="1"/>
    <s v="Karachi"/>
    <s v="Travellink"/>
    <x v="4"/>
    <n v="6062.5"/>
    <n v="9159.89"/>
    <n v="3097.3899999999994"/>
    <n v="0.51090969072164938"/>
    <x v="1"/>
    <n v="9159.89"/>
    <x v="12"/>
  </r>
  <r>
    <s v="FIN-01449"/>
    <d v="2026-05-26T00:00:00"/>
    <x v="0"/>
    <x v="2"/>
    <x v="8"/>
    <x v="4"/>
    <s v="Lahore"/>
    <s v="Dataserve"/>
    <x v="1"/>
    <n v="2727.27"/>
    <n v="1344.89"/>
    <n v="-1382.3799999999999"/>
    <n v="-0.50687317353984018"/>
    <x v="0"/>
    <n v="-1344.89"/>
    <x v="16"/>
  </r>
  <r>
    <s v="FIN-01450"/>
    <d v="2025-06-24T00:00:00"/>
    <x v="0"/>
    <x v="2"/>
    <x v="1"/>
    <x v="3"/>
    <s v="Islamabad"/>
    <s v="Prime Supplies"/>
    <x v="1"/>
    <n v="2000"/>
    <n v="716.16"/>
    <n v="-1283.8400000000001"/>
    <n v="-0.64192000000000005"/>
    <x v="0"/>
    <n v="-716.16"/>
    <x v="5"/>
  </r>
  <r>
    <s v="FIN-01451"/>
    <d v="2025-03-29T00:00:00"/>
    <x v="1"/>
    <x v="1"/>
    <x v="3"/>
    <x v="4"/>
    <s v="Islamabad"/>
    <s v="Dataserve"/>
    <x v="4"/>
    <n v="8064.52"/>
    <n v="5079.13"/>
    <n v="-2985.3900000000003"/>
    <n v="-0.37018818230967249"/>
    <x v="0"/>
    <n v="5079.13"/>
    <x v="2"/>
  </r>
  <r>
    <s v="FIN-01452"/>
    <d v="2026-03-12T00:00:00"/>
    <x v="1"/>
    <x v="4"/>
    <x v="3"/>
    <x v="1"/>
    <s v="Multan"/>
    <s v="Officepro"/>
    <x v="1"/>
    <n v="11363.64"/>
    <n v="6079.97"/>
    <n v="-5283.6699999999992"/>
    <n v="-0.46496281121190036"/>
    <x v="0"/>
    <n v="6079.97"/>
    <x v="14"/>
  </r>
  <r>
    <s v="FIN-01453"/>
    <d v="2026-05-11T00:00:00"/>
    <x v="1"/>
    <x v="3"/>
    <x v="3"/>
    <x v="2"/>
    <s v="Lahore"/>
    <s v="Travellink"/>
    <x v="3"/>
    <n v="10869.57"/>
    <n v="19756.88"/>
    <n v="8887.3100000000013"/>
    <n v="0.81763216024184959"/>
    <x v="1"/>
    <n v="19756.88"/>
    <x v="16"/>
  </r>
  <r>
    <s v="FIN-01454"/>
    <d v="2025-01-15T00:00:00"/>
    <x v="1"/>
    <x v="1"/>
    <x v="3"/>
    <x v="3"/>
    <s v="Islamabad"/>
    <s v="Dataserve"/>
    <x v="4"/>
    <n v="11022.73"/>
    <n v="8275.6299999999992"/>
    <n v="-2747.1000000000004"/>
    <n v="-0.24922138163594684"/>
    <x v="0"/>
    <n v="8275.6299999999992"/>
    <x v="0"/>
  </r>
  <r>
    <s v="FIN-01455"/>
    <d v="2025-04-26T00:00:00"/>
    <x v="1"/>
    <x v="4"/>
    <x v="12"/>
    <x v="3"/>
    <s v="Multan"/>
    <s v="Cloudnet"/>
    <x v="2"/>
    <n v="14285.71"/>
    <n v="14033.92"/>
    <n v="-251.78999999999905"/>
    <n v="-1.7625305287591521E-2"/>
    <x v="0"/>
    <n v="14033.92"/>
    <x v="3"/>
  </r>
  <r>
    <s v="FIN-01456"/>
    <d v="2025-07-25T00:00:00"/>
    <x v="1"/>
    <x v="2"/>
    <x v="3"/>
    <x v="4"/>
    <s v="Lahore"/>
    <s v="Markethub"/>
    <x v="4"/>
    <n v="12500"/>
    <n v="14918.8"/>
    <n v="2418.7999999999993"/>
    <n v="0.19350399999999995"/>
    <x v="1"/>
    <n v="14918.8"/>
    <x v="6"/>
  </r>
  <r>
    <s v="FIN-01457"/>
    <d v="2025-07-05T00:00:00"/>
    <x v="0"/>
    <x v="6"/>
    <x v="1"/>
    <x v="3"/>
    <s v="Karachi"/>
    <s v="Travellink"/>
    <x v="3"/>
    <n v="2250"/>
    <n v="1035.03"/>
    <n v="-1214.97"/>
    <n v="-0.53998666666666673"/>
    <x v="0"/>
    <n v="-1035.03"/>
    <x v="6"/>
  </r>
  <r>
    <s v="FIN-01458"/>
    <d v="2026-04-28T00:00:00"/>
    <x v="0"/>
    <x v="1"/>
    <x v="6"/>
    <x v="2"/>
    <s v="Karachi"/>
    <s v="Travellink"/>
    <x v="4"/>
    <n v="8571.43"/>
    <n v="14079.14"/>
    <n v="5507.7099999999991"/>
    <n v="0.64256605957232327"/>
    <x v="1"/>
    <n v="-14079.14"/>
    <x v="15"/>
  </r>
  <r>
    <s v="FIN-01459"/>
    <d v="2025-04-02T00:00:00"/>
    <x v="0"/>
    <x v="1"/>
    <x v="5"/>
    <x v="3"/>
    <s v="Lahore"/>
    <s v="Markethub"/>
    <x v="3"/>
    <n v="5416.67"/>
    <n v="6834.8"/>
    <n v="1418.13"/>
    <n v="0.26180845427172045"/>
    <x v="1"/>
    <n v="-6834.8"/>
    <x v="3"/>
  </r>
  <r>
    <s v="FIN-01460"/>
    <d v="2025-03-09T00:00:00"/>
    <x v="0"/>
    <x v="2"/>
    <x v="6"/>
    <x v="0"/>
    <s v="Lahore"/>
    <s v="Legalworks"/>
    <x v="4"/>
    <n v="6000"/>
    <n v="5898.73"/>
    <n v="-101.27000000000044"/>
    <n v="-1.6878333333333405E-2"/>
    <x v="0"/>
    <n v="-5898.73"/>
    <x v="2"/>
  </r>
  <r>
    <s v="FIN-01461"/>
    <d v="2026-05-27T00:00:00"/>
    <x v="0"/>
    <x v="1"/>
    <x v="0"/>
    <x v="1"/>
    <s v="Karachi"/>
    <s v="Buildcare"/>
    <x v="1"/>
    <n v="8000"/>
    <n v="5932.53"/>
    <n v="-2067.4700000000003"/>
    <n v="-0.25843375000000002"/>
    <x v="0"/>
    <n v="-5932.53"/>
    <x v="16"/>
  </r>
  <r>
    <s v="FIN-01462"/>
    <d v="2025-06-16T00:00:00"/>
    <x v="0"/>
    <x v="0"/>
    <x v="6"/>
    <x v="4"/>
    <s v="Karachi"/>
    <s v="Shipfast"/>
    <x v="2"/>
    <n v="6428.57"/>
    <n v="4239.37"/>
    <n v="-2189.1999999999998"/>
    <n v="-0.34054229789828838"/>
    <x v="0"/>
    <n v="-4239.37"/>
    <x v="5"/>
  </r>
  <r>
    <s v="FIN-01463"/>
    <d v="2026-06-24T00:00:00"/>
    <x v="0"/>
    <x v="1"/>
    <x v="8"/>
    <x v="1"/>
    <s v="Karachi"/>
    <s v="Markethub"/>
    <x v="4"/>
    <n v="6000"/>
    <n v="3423.75"/>
    <n v="-2576.25"/>
    <n v="-0.42937500000000001"/>
    <x v="0"/>
    <n v="-3423.75"/>
    <x v="13"/>
  </r>
  <r>
    <s v="FIN-01464"/>
    <d v="2025-01-23T00:00:00"/>
    <x v="0"/>
    <x v="4"/>
    <x v="7"/>
    <x v="3"/>
    <s v="Islamabad"/>
    <s v="Officepro"/>
    <x v="1"/>
    <n v="5658.33"/>
    <n v="2366.8000000000002"/>
    <n v="-3291.5299999999997"/>
    <n v="-0.58171403930134857"/>
    <x v="0"/>
    <n v="-2366.8000000000002"/>
    <x v="0"/>
  </r>
  <r>
    <s v="FIN-01465"/>
    <d v="2026-06-23T00:00:00"/>
    <x v="1"/>
    <x v="0"/>
    <x v="2"/>
    <x v="1"/>
    <s v="Lahore"/>
    <s v="Officepro"/>
    <x v="2"/>
    <n v="7272.73"/>
    <n v="2545.94"/>
    <n v="-4726.7899999999991"/>
    <n v="-0.6499333812749819"/>
    <x v="0"/>
    <n v="2545.94"/>
    <x v="13"/>
  </r>
  <r>
    <s v="FIN-01466"/>
    <d v="2025-01-28T00:00:00"/>
    <x v="0"/>
    <x v="2"/>
    <x v="11"/>
    <x v="4"/>
    <s v="Lahore"/>
    <s v="Officepro"/>
    <x v="3"/>
    <n v="3556.67"/>
    <n v="378.42"/>
    <n v="-3178.25"/>
    <n v="-0.89360272389622875"/>
    <x v="0"/>
    <n v="-378.42"/>
    <x v="0"/>
  </r>
  <r>
    <s v="FIN-01467"/>
    <d v="2025-09-17T00:00:00"/>
    <x v="1"/>
    <x v="3"/>
    <x v="2"/>
    <x v="4"/>
    <s v="Faisalabad"/>
    <s v="Markethub"/>
    <x v="2"/>
    <n v="10000"/>
    <n v="7718.51"/>
    <n v="-2281.4899999999998"/>
    <n v="-0.22814899999999999"/>
    <x v="0"/>
    <n v="7718.51"/>
    <x v="8"/>
  </r>
  <r>
    <s v="FIN-01468"/>
    <d v="2025-01-04T00:00:00"/>
    <x v="0"/>
    <x v="0"/>
    <x v="1"/>
    <x v="2"/>
    <s v="Peshawar"/>
    <s v="Dataserve"/>
    <x v="1"/>
    <n v="1746"/>
    <n v="1063.8599999999999"/>
    <n v="-682.1400000000001"/>
    <n v="-0.39068728522336776"/>
    <x v="0"/>
    <n v="-1063.8599999999999"/>
    <x v="0"/>
  </r>
  <r>
    <s v="FIN-01469"/>
    <d v="2026-04-01T00:00:00"/>
    <x v="0"/>
    <x v="4"/>
    <x v="9"/>
    <x v="1"/>
    <s v="Multan"/>
    <s v="Buildcare"/>
    <x v="1"/>
    <n v="9166.67"/>
    <n v="2997"/>
    <n v="-6169.67"/>
    <n v="-0.67305466434375838"/>
    <x v="0"/>
    <n v="-2997"/>
    <x v="15"/>
  </r>
  <r>
    <s v="FIN-01470"/>
    <d v="2026-01-31T00:00:00"/>
    <x v="0"/>
    <x v="0"/>
    <x v="5"/>
    <x v="2"/>
    <s v="Karachi"/>
    <s v="Peoplefirst"/>
    <x v="3"/>
    <n v="6305"/>
    <n v="11614.94"/>
    <n v="5309.9400000000005"/>
    <n v="0.84217922283901669"/>
    <x v="1"/>
    <n v="-11614.94"/>
    <x v="12"/>
  </r>
  <r>
    <s v="FIN-01471"/>
    <d v="2026-02-02T00:00:00"/>
    <x v="0"/>
    <x v="4"/>
    <x v="6"/>
    <x v="4"/>
    <s v="Lahore"/>
    <s v="Buildcare"/>
    <x v="0"/>
    <n v="9189.4699999999993"/>
    <n v="16888.45"/>
    <n v="7698.9800000000014"/>
    <n v="0.83780457414845488"/>
    <x v="1"/>
    <n v="-16888.45"/>
    <x v="17"/>
  </r>
  <r>
    <s v="FIN-01472"/>
    <d v="2026-01-01T00:00:00"/>
    <x v="1"/>
    <x v="4"/>
    <x v="3"/>
    <x v="3"/>
    <s v="Karachi"/>
    <s v="Techsource"/>
    <x v="1"/>
    <n v="11547.62"/>
    <n v="8803.24"/>
    <n v="-2744.380000000001"/>
    <n v="-0.23765762988390687"/>
    <x v="0"/>
    <n v="8803.24"/>
    <x v="12"/>
  </r>
  <r>
    <s v="FIN-01473"/>
    <d v="2026-04-29T00:00:00"/>
    <x v="1"/>
    <x v="1"/>
    <x v="3"/>
    <x v="3"/>
    <s v="Lahore"/>
    <s v="Techsource"/>
    <x v="3"/>
    <n v="8333.33"/>
    <n v="1501.61"/>
    <n v="-6831.72"/>
    <n v="-0.81980672792269116"/>
    <x v="0"/>
    <n v="1501.61"/>
    <x v="15"/>
  </r>
  <r>
    <s v="FIN-01474"/>
    <d v="2025-08-22T00:00:00"/>
    <x v="1"/>
    <x v="3"/>
    <x v="12"/>
    <x v="4"/>
    <s v="Islamabad"/>
    <s v="Peoplefirst"/>
    <x v="3"/>
    <n v="7142.86"/>
    <n v="14025.21"/>
    <n v="6882.3499999999995"/>
    <n v="0.9635286145885541"/>
    <x v="1"/>
    <n v="14025.21"/>
    <x v="7"/>
  </r>
  <r>
    <s v="FIN-01475"/>
    <d v="2026-06-09T00:00:00"/>
    <x v="1"/>
    <x v="6"/>
    <x v="12"/>
    <x v="2"/>
    <s v="Karachi"/>
    <s v="Peoplefirst"/>
    <x v="1"/>
    <n v="4761.8999999999996"/>
    <n v="9064.68"/>
    <n v="4302.7800000000007"/>
    <n v="0.90358470358470377"/>
    <x v="1"/>
    <n v="9064.68"/>
    <x v="13"/>
  </r>
  <r>
    <s v="FIN-01476"/>
    <d v="2025-09-25T00:00:00"/>
    <x v="0"/>
    <x v="0"/>
    <x v="5"/>
    <x v="3"/>
    <s v="Islamabad"/>
    <s v="Softworks"/>
    <x v="4"/>
    <n v="9285.7099999999991"/>
    <n v="8904.6200000000008"/>
    <n v="-381.08999999999833"/>
    <n v="-4.1040480480221582E-2"/>
    <x v="0"/>
    <n v="-8904.6200000000008"/>
    <x v="8"/>
  </r>
  <r>
    <s v="FIN-01477"/>
    <d v="2026-01-24T00:00:00"/>
    <x v="0"/>
    <x v="5"/>
    <x v="10"/>
    <x v="0"/>
    <s v="Lahore"/>
    <s v="Adsphere"/>
    <x v="0"/>
    <n v="4850"/>
    <n v="5609.45"/>
    <n v="759.44999999999982"/>
    <n v="0.15658762886597935"/>
    <x v="1"/>
    <n v="-5609.45"/>
    <x v="12"/>
  </r>
  <r>
    <s v="FIN-01478"/>
    <d v="2025-05-26T00:00:00"/>
    <x v="1"/>
    <x v="3"/>
    <x v="3"/>
    <x v="2"/>
    <s v="Faisalabad"/>
    <s v="Peoplefirst"/>
    <x v="3"/>
    <n v="9615.3799999999992"/>
    <n v="19765.240000000002"/>
    <n v="10149.860000000002"/>
    <n v="1.0555859466812547"/>
    <x v="1"/>
    <n v="19765.240000000002"/>
    <x v="4"/>
  </r>
  <r>
    <s v="FIN-01479"/>
    <d v="2025-02-09T00:00:00"/>
    <x v="1"/>
    <x v="3"/>
    <x v="3"/>
    <x v="4"/>
    <s v="Karachi"/>
    <s v="Markethub"/>
    <x v="1"/>
    <n v="13472.22"/>
    <n v="6465.88"/>
    <n v="-7006.3399999999992"/>
    <n v="-0.52005831258693813"/>
    <x v="0"/>
    <n v="6465.88"/>
    <x v="1"/>
  </r>
  <r>
    <s v="FIN-01480"/>
    <d v="2026-04-26T00:00:00"/>
    <x v="0"/>
    <x v="1"/>
    <x v="9"/>
    <x v="0"/>
    <s v="Islamabad"/>
    <s v="Shipfast"/>
    <x v="1"/>
    <n v="9166.67"/>
    <n v="4868.78"/>
    <n v="-4297.8900000000003"/>
    <n v="-0.46886055677797939"/>
    <x v="0"/>
    <n v="-4868.78"/>
    <x v="15"/>
  </r>
  <r>
    <s v="FIN-01481"/>
    <d v="2025-11-26T00:00:00"/>
    <x v="0"/>
    <x v="6"/>
    <x v="11"/>
    <x v="3"/>
    <s v="Faisalabad"/>
    <s v="Prime Supplies"/>
    <x v="4"/>
    <n v="2310"/>
    <n v="1921.12"/>
    <n v="-388.88000000000011"/>
    <n v="-0.16834632034632038"/>
    <x v="0"/>
    <n v="-1921.12"/>
    <x v="10"/>
  </r>
  <r>
    <s v="FIN-01482"/>
    <d v="2025-04-28T00:00:00"/>
    <x v="1"/>
    <x v="3"/>
    <x v="3"/>
    <x v="0"/>
    <s v="Karachi"/>
    <s v="Adsphere"/>
    <x v="4"/>
    <n v="11363.64"/>
    <n v="9446.26"/>
    <n v="-1917.3799999999992"/>
    <n v="-0.16872938600659643"/>
    <x v="0"/>
    <n v="9446.26"/>
    <x v="3"/>
  </r>
  <r>
    <s v="FIN-01483"/>
    <d v="2026-03-13T00:00:00"/>
    <x v="0"/>
    <x v="6"/>
    <x v="11"/>
    <x v="0"/>
    <s v="Faisalabad"/>
    <s v="Cloudnet"/>
    <x v="2"/>
    <n v="1833.33"/>
    <n v="3817.06"/>
    <n v="1983.73"/>
    <n v="1.0820365127936598"/>
    <x v="1"/>
    <n v="-3817.06"/>
    <x v="14"/>
  </r>
  <r>
    <s v="FIN-01484"/>
    <d v="2026-02-14T00:00:00"/>
    <x v="0"/>
    <x v="1"/>
    <x v="9"/>
    <x v="4"/>
    <s v="Karachi"/>
    <s v="Travellink"/>
    <x v="3"/>
    <n v="4850"/>
    <n v="1794.93"/>
    <n v="-3055.0699999999997"/>
    <n v="-0.62991134020618555"/>
    <x v="0"/>
    <n v="-1794.93"/>
    <x v="17"/>
  </r>
  <r>
    <s v="FIN-01485"/>
    <d v="2025-10-24T00:00:00"/>
    <x v="1"/>
    <x v="3"/>
    <x v="12"/>
    <x v="4"/>
    <s v="Karachi"/>
    <s v="Markethub"/>
    <x v="3"/>
    <n v="7692.31"/>
    <n v="14366.66"/>
    <n v="6674.3499999999995"/>
    <n v="0.86766523970042797"/>
    <x v="1"/>
    <n v="14366.66"/>
    <x v="9"/>
  </r>
  <r>
    <s v="FIN-01486"/>
    <d v="2025-09-10T00:00:00"/>
    <x v="0"/>
    <x v="1"/>
    <x v="11"/>
    <x v="2"/>
    <s v="Peshawar"/>
    <s v="Shipfast"/>
    <x v="1"/>
    <n v="5500"/>
    <n v="1394.66"/>
    <n v="-4105.34"/>
    <n v="-0.74642545454545461"/>
    <x v="0"/>
    <n v="-1394.66"/>
    <x v="8"/>
  </r>
  <r>
    <s v="FIN-01487"/>
    <d v="2025-04-23T00:00:00"/>
    <x v="1"/>
    <x v="3"/>
    <x v="12"/>
    <x v="1"/>
    <s v="Karachi"/>
    <s v="Softworks"/>
    <x v="1"/>
    <n v="14285.71"/>
    <n v="10980.08"/>
    <n v="-3305.6299999999992"/>
    <n v="-0.23139416941825078"/>
    <x v="0"/>
    <n v="10980.08"/>
    <x v="3"/>
  </r>
  <r>
    <s v="FIN-01488"/>
    <d v="2025-07-16T00:00:00"/>
    <x v="1"/>
    <x v="1"/>
    <x v="3"/>
    <x v="2"/>
    <s v="Lahore"/>
    <s v="Travellink"/>
    <x v="1"/>
    <n v="12500"/>
    <n v="2889.67"/>
    <n v="-9610.33"/>
    <n v="-0.76882640000000002"/>
    <x v="0"/>
    <n v="2889.67"/>
    <x v="6"/>
  </r>
  <r>
    <s v="FIN-01489"/>
    <d v="2026-06-25T00:00:00"/>
    <x v="0"/>
    <x v="1"/>
    <x v="11"/>
    <x v="3"/>
    <s v="Multan"/>
    <s v="Powergrid"/>
    <x v="2"/>
    <n v="3142.86"/>
    <n v="1739.28"/>
    <n v="-1403.5800000000002"/>
    <n v="-0.44659323036979059"/>
    <x v="0"/>
    <n v="-1739.28"/>
    <x v="13"/>
  </r>
  <r>
    <s v="FIN-01490"/>
    <d v="2025-07-06T00:00:00"/>
    <x v="1"/>
    <x v="0"/>
    <x v="13"/>
    <x v="3"/>
    <s v="Peshawar"/>
    <s v="Prime Supplies"/>
    <x v="4"/>
    <n v="4000"/>
    <n v="3994.56"/>
    <n v="-5.4400000000000546"/>
    <n v="-1.3600000000000135E-3"/>
    <x v="0"/>
    <n v="3994.56"/>
    <x v="6"/>
  </r>
  <r>
    <s v="FIN-01491"/>
    <d v="2025-12-23T00:00:00"/>
    <x v="0"/>
    <x v="1"/>
    <x v="5"/>
    <x v="2"/>
    <s v="Karachi"/>
    <s v="Softworks"/>
    <x v="0"/>
    <n v="5250"/>
    <n v="4312.18"/>
    <n v="-937.81999999999971"/>
    <n v="-0.1786323809523809"/>
    <x v="0"/>
    <n v="-4312.18"/>
    <x v="11"/>
  </r>
  <r>
    <s v="FIN-01492"/>
    <d v="2025-10-23T00:00:00"/>
    <x v="0"/>
    <x v="7"/>
    <x v="8"/>
    <x v="3"/>
    <s v="Multan"/>
    <s v="Markethub"/>
    <x v="3"/>
    <n v="5000"/>
    <n v="1549.61"/>
    <n v="-3450.3900000000003"/>
    <n v="-0.69007800000000008"/>
    <x v="0"/>
    <n v="-1549.61"/>
    <x v="9"/>
  </r>
  <r>
    <s v="FIN-01493"/>
    <d v="2025-04-06T00:00:00"/>
    <x v="0"/>
    <x v="0"/>
    <x v="9"/>
    <x v="2"/>
    <s v="Karachi"/>
    <s v="Prime Supplies"/>
    <x v="1"/>
    <n v="6111.11"/>
    <n v="4997.6400000000003"/>
    <n v="-1113.4699999999993"/>
    <n v="-0.1822042149462208"/>
    <x v="0"/>
    <n v="-4997.6400000000003"/>
    <x v="3"/>
  </r>
  <r>
    <s v="FIN-01494"/>
    <d v="2025-06-14T00:00:00"/>
    <x v="0"/>
    <x v="5"/>
    <x v="6"/>
    <x v="2"/>
    <s v="Multan"/>
    <s v="Adsphere"/>
    <x v="4"/>
    <n v="6428.57"/>
    <n v="9801.33"/>
    <n v="3372.76"/>
    <n v="0.52465167214481612"/>
    <x v="1"/>
    <n v="-9801.33"/>
    <x v="5"/>
  </r>
  <r>
    <s v="FIN-01495"/>
    <d v="2025-07-06T00:00:00"/>
    <x v="0"/>
    <x v="0"/>
    <x v="0"/>
    <x v="4"/>
    <s v="Faisalabad"/>
    <s v="Officepro"/>
    <x v="1"/>
    <n v="4000"/>
    <n v="5330.82"/>
    <n v="1330.8199999999997"/>
    <n v="0.33270499999999992"/>
    <x v="1"/>
    <n v="-5330.82"/>
    <x v="6"/>
  </r>
  <r>
    <s v="FIN-01496"/>
    <d v="2025-01-25T00:00:00"/>
    <x v="1"/>
    <x v="3"/>
    <x v="2"/>
    <x v="4"/>
    <s v="Islamabad"/>
    <s v="Legalworks"/>
    <x v="1"/>
    <n v="11085.71"/>
    <n v="2100.35"/>
    <n v="-8985.3599999999988"/>
    <n v="-0.81053536489769251"/>
    <x v="0"/>
    <n v="2100.35"/>
    <x v="0"/>
  </r>
  <r>
    <s v="FIN-01497"/>
    <d v="2026-04-22T00:00:00"/>
    <x v="1"/>
    <x v="3"/>
    <x v="2"/>
    <x v="2"/>
    <s v="Karachi"/>
    <s v="Legalworks"/>
    <x v="1"/>
    <n v="20000"/>
    <n v="7532.59"/>
    <n v="-12467.41"/>
    <n v="-0.62337049999999994"/>
    <x v="0"/>
    <n v="7532.59"/>
    <x v="15"/>
  </r>
  <r>
    <s v="FIN-01498"/>
    <d v="2025-04-08T00:00:00"/>
    <x v="0"/>
    <x v="1"/>
    <x v="9"/>
    <x v="4"/>
    <s v="Lahore"/>
    <s v="Officepro"/>
    <x v="1"/>
    <n v="6111.11"/>
    <n v="4799.0200000000004"/>
    <n v="-1312.0899999999992"/>
    <n v="-0.21470567540103178"/>
    <x v="0"/>
    <n v="-4799.0200000000004"/>
    <x v="3"/>
  </r>
  <r>
    <s v="FIN-01499"/>
    <d v="2025-08-24T00:00:00"/>
    <x v="1"/>
    <x v="3"/>
    <x v="3"/>
    <x v="3"/>
    <s v="Peshawar"/>
    <s v="Adsphere"/>
    <x v="1"/>
    <n v="10416.67"/>
    <n v="23475.95"/>
    <n v="13059.28"/>
    <n v="1.2536904788190468"/>
    <x v="1"/>
    <n v="23475.95"/>
    <x v="7"/>
  </r>
  <r>
    <s v="FIN-01500"/>
    <d v="2025-10-01T00:00:00"/>
    <x v="0"/>
    <x v="1"/>
    <x v="6"/>
    <x v="2"/>
    <s v="Faisalabad"/>
    <s v="Dataserve"/>
    <x v="3"/>
    <n v="7826.09"/>
    <n v="1825.98"/>
    <n v="-6000.1100000000006"/>
    <n v="-0.76668042406872405"/>
    <x v="0"/>
    <n v="-1825.98"/>
    <x v="9"/>
  </r>
  <r>
    <s v="FIN-01501"/>
    <d v="2026-05-18T00:00:00"/>
    <x v="1"/>
    <x v="1"/>
    <x v="3"/>
    <x v="4"/>
    <s v="Karachi"/>
    <s v="Legalworks"/>
    <x v="2"/>
    <n v="10869.57"/>
    <n v="4699.43"/>
    <n v="-6170.1399999999994"/>
    <n v="-0.56765263023284263"/>
    <x v="0"/>
    <n v="4699.43"/>
    <x v="16"/>
  </r>
  <r>
    <s v="FIN-01502"/>
    <d v="2025-02-14T00:00:00"/>
    <x v="0"/>
    <x v="3"/>
    <x v="10"/>
    <x v="4"/>
    <s v="Karachi"/>
    <s v="Softworks"/>
    <x v="1"/>
    <n v="5542.86"/>
    <n v="5377.97"/>
    <n v="-164.88999999999942"/>
    <n v="-2.9748180542174874E-2"/>
    <x v="0"/>
    <n v="-5377.97"/>
    <x v="1"/>
  </r>
  <r>
    <s v="FIN-01503"/>
    <d v="2025-06-23T00:00:00"/>
    <x v="0"/>
    <x v="2"/>
    <x v="7"/>
    <x v="2"/>
    <s v="Karachi"/>
    <s v="Urban Facilities"/>
    <x v="1"/>
    <n v="4375"/>
    <n v="1456.21"/>
    <n v="-2918.79"/>
    <n v="-0.66715199999999997"/>
    <x v="0"/>
    <n v="-1456.21"/>
    <x v="5"/>
  </r>
  <r>
    <s v="FIN-01504"/>
    <d v="2025-12-30T00:00:00"/>
    <x v="0"/>
    <x v="5"/>
    <x v="0"/>
    <x v="3"/>
    <s v="Karachi"/>
    <s v="Peoplefirst"/>
    <x v="3"/>
    <n v="4800"/>
    <n v="2511.2600000000002"/>
    <n v="-2288.7399999999998"/>
    <n v="-0.4768208333333333"/>
    <x v="0"/>
    <n v="-2511.2600000000002"/>
    <x v="11"/>
  </r>
  <r>
    <s v="FIN-01505"/>
    <d v="2025-08-22T00:00:00"/>
    <x v="1"/>
    <x v="0"/>
    <x v="3"/>
    <x v="3"/>
    <s v="Islamabad"/>
    <s v="Softworks"/>
    <x v="3"/>
    <n v="10416.67"/>
    <n v="12836.08"/>
    <n v="2419.41"/>
    <n v="0.23226328567574858"/>
    <x v="1"/>
    <n v="12836.08"/>
    <x v="7"/>
  </r>
  <r>
    <s v="FIN-01506"/>
    <d v="2025-07-05T00:00:00"/>
    <x v="0"/>
    <x v="3"/>
    <x v="10"/>
    <x v="3"/>
    <s v="Islamabad"/>
    <s v="Officepro"/>
    <x v="4"/>
    <n v="0"/>
    <n v="859.31"/>
    <n v="859.31"/>
    <n v="0"/>
    <x v="2"/>
    <n v="-859.31"/>
    <x v="6"/>
  </r>
  <r>
    <s v="FIN-01507"/>
    <d v="2025-11-30T00:00:00"/>
    <x v="0"/>
    <x v="4"/>
    <x v="7"/>
    <x v="2"/>
    <s v="Peshawar"/>
    <s v="Shipfast"/>
    <x v="3"/>
    <n v="7350"/>
    <n v="538.24"/>
    <n v="-6811.76"/>
    <n v="-0.92677006802721096"/>
    <x v="0"/>
    <n v="-538.24"/>
    <x v="10"/>
  </r>
  <r>
    <s v="FIN-01508"/>
    <d v="2025-04-21T00:00:00"/>
    <x v="0"/>
    <x v="5"/>
    <x v="1"/>
    <x v="1"/>
    <s v="Islamabad"/>
    <s v="Travellink"/>
    <x v="2"/>
    <n v="2250"/>
    <n v="253.87"/>
    <n v="-1996.13"/>
    <n v="-0.8871688888888889"/>
    <x v="0"/>
    <n v="-253.87"/>
    <x v="3"/>
  </r>
  <r>
    <s v="FIN-01509"/>
    <d v="2025-03-05T00:00:00"/>
    <x v="0"/>
    <x v="1"/>
    <x v="6"/>
    <x v="3"/>
    <s v="Islamabad"/>
    <s v="Powergrid"/>
    <x v="1"/>
    <n v="6000"/>
    <n v="2280.5300000000002"/>
    <n v="-3719.47"/>
    <n v="-0.61991166666666664"/>
    <x v="0"/>
    <n v="-2280.5300000000002"/>
    <x v="2"/>
  </r>
  <r>
    <s v="FIN-01510"/>
    <d v="2025-10-07T00:00:00"/>
    <x v="1"/>
    <x v="1"/>
    <x v="12"/>
    <x v="0"/>
    <s v="Karachi"/>
    <s v="Travellink"/>
    <x v="4"/>
    <n v="7692.31"/>
    <n v="8022.99"/>
    <n v="330.67999999999938"/>
    <n v="4.2988387103483787E-2"/>
    <x v="1"/>
    <n v="8022.99"/>
    <x v="9"/>
  </r>
  <r>
    <s v="FIN-01511"/>
    <d v="2025-09-28T00:00:00"/>
    <x v="0"/>
    <x v="0"/>
    <x v="9"/>
    <x v="1"/>
    <s v="Islamabad"/>
    <s v="Prime Supplies"/>
    <x v="1"/>
    <n v="6111.11"/>
    <n v="8009.59"/>
    <n v="1898.4800000000005"/>
    <n v="0.3106604201200765"/>
    <x v="1"/>
    <n v="-8009.59"/>
    <x v="8"/>
  </r>
  <r>
    <s v="FIN-01512"/>
    <d v="2025-03-02T00:00:00"/>
    <x v="0"/>
    <x v="2"/>
    <x v="7"/>
    <x v="2"/>
    <s v="Lahore"/>
    <s v="Officepro"/>
    <x v="4"/>
    <n v="4375"/>
    <n v="1534.57"/>
    <n v="-2840.4300000000003"/>
    <n v="-0.64924114285714296"/>
    <x v="0"/>
    <n v="-1534.57"/>
    <x v="2"/>
  </r>
  <r>
    <s v="FIN-01513"/>
    <d v="2025-12-06T00:00:00"/>
    <x v="1"/>
    <x v="2"/>
    <x v="14"/>
    <x v="2"/>
    <s v="Karachi"/>
    <s v="Travellink"/>
    <x v="3"/>
    <n v="9333.33"/>
    <n v="1254.21"/>
    <n v="-8079.12"/>
    <n v="-0.86562030915011046"/>
    <x v="0"/>
    <n v="1254.21"/>
    <x v="11"/>
  </r>
  <r>
    <s v="FIN-01514"/>
    <d v="2025-04-15T00:00:00"/>
    <x v="0"/>
    <x v="4"/>
    <x v="5"/>
    <x v="4"/>
    <s v="Lahore"/>
    <s v="Peoplefirst"/>
    <x v="4"/>
    <n v="5416.67"/>
    <n v="5396.76"/>
    <n v="-19.909999999999854"/>
    <n v="-3.6756900457291758E-3"/>
    <x v="0"/>
    <n v="-5396.76"/>
    <x v="3"/>
  </r>
  <r>
    <s v="FIN-01515"/>
    <d v="2026-01-14T00:00:00"/>
    <x v="1"/>
    <x v="3"/>
    <x v="12"/>
    <x v="1"/>
    <s v="Karachi"/>
    <s v="Softworks"/>
    <x v="4"/>
    <n v="6062.5"/>
    <n v="7183.54"/>
    <n v="1121.04"/>
    <n v="0.18491381443298968"/>
    <x v="1"/>
    <n v="7183.54"/>
    <x v="12"/>
  </r>
  <r>
    <s v="FIN-01516"/>
    <d v="2025-12-02T00:00:00"/>
    <x v="0"/>
    <x v="1"/>
    <x v="6"/>
    <x v="1"/>
    <s v="Karachi"/>
    <s v="Travellink"/>
    <x v="3"/>
    <n v="7875"/>
    <n v="17961.509999999998"/>
    <n v="10086.509999999998"/>
    <n v="1.2808266666666666"/>
    <x v="1"/>
    <n v="-17961.509999999998"/>
    <x v="11"/>
  </r>
  <r>
    <s v="FIN-01517"/>
    <d v="2026-04-20T00:00:00"/>
    <x v="0"/>
    <x v="4"/>
    <x v="7"/>
    <x v="1"/>
    <s v="Multan"/>
    <s v="Officepro"/>
    <x v="4"/>
    <n v="5833.33"/>
    <n v="1704.34"/>
    <n v="-4128.99"/>
    <n v="-0.70782726161557807"/>
    <x v="0"/>
    <n v="-1704.34"/>
    <x v="15"/>
  </r>
  <r>
    <s v="FIN-01518"/>
    <d v="2026-02-01T00:00:00"/>
    <x v="0"/>
    <x v="1"/>
    <x v="8"/>
    <x v="3"/>
    <s v="Multan"/>
    <s v="Legalworks"/>
    <x v="1"/>
    <n v="2910"/>
    <n v="3383.21"/>
    <n v="473.21000000000004"/>
    <n v="0.16261512027491409"/>
    <x v="1"/>
    <n v="-3383.21"/>
    <x v="17"/>
  </r>
  <r>
    <s v="FIN-01519"/>
    <d v="2026-06-01T00:00:00"/>
    <x v="1"/>
    <x v="6"/>
    <x v="3"/>
    <x v="3"/>
    <s v="Karachi"/>
    <s v="Travellink"/>
    <x v="2"/>
    <n v="10000"/>
    <n v="5246.9"/>
    <n v="-4753.1000000000004"/>
    <n v="-0.47531000000000001"/>
    <x v="0"/>
    <n v="5246.9"/>
    <x v="13"/>
  </r>
  <r>
    <s v="FIN-01520"/>
    <d v="2025-03-31T00:00:00"/>
    <x v="0"/>
    <x v="4"/>
    <x v="5"/>
    <x v="1"/>
    <s v="Karachi"/>
    <s v="Dataserve"/>
    <x v="2"/>
    <n v="5000"/>
    <n v="10529.49"/>
    <n v="5529.49"/>
    <n v="1.105898"/>
    <x v="1"/>
    <n v="-10529.49"/>
    <x v="2"/>
  </r>
  <r>
    <s v="FIN-01521"/>
    <d v="2025-01-17T00:00:00"/>
    <x v="0"/>
    <x v="0"/>
    <x v="6"/>
    <x v="4"/>
    <s v="Lahore"/>
    <s v="Techsource"/>
    <x v="2"/>
    <n v="7591.3"/>
    <n v="2010.99"/>
    <n v="-5580.31"/>
    <n v="-0.73509280360412577"/>
    <x v="0"/>
    <n v="-2010.99"/>
    <x v="0"/>
  </r>
  <r>
    <s v="FIN-01522"/>
    <d v="2025-12-09T00:00:00"/>
    <x v="0"/>
    <x v="1"/>
    <x v="7"/>
    <x v="3"/>
    <s v="Peshawar"/>
    <s v="Powergrid"/>
    <x v="4"/>
    <n v="6125"/>
    <n v="1514.09"/>
    <n v="-4610.91"/>
    <n v="-0.75280163265306121"/>
    <x v="0"/>
    <n v="-1514.09"/>
    <x v="11"/>
  </r>
  <r>
    <s v="FIN-01523"/>
    <d v="2025-08-11T00:00:00"/>
    <x v="0"/>
    <x v="2"/>
    <x v="9"/>
    <x v="1"/>
    <s v="Peshawar"/>
    <s v="Buildcare"/>
    <x v="3"/>
    <n v="3928.57"/>
    <n v="2945.83"/>
    <n v="-982.74000000000024"/>
    <n v="-0.25015209096439678"/>
    <x v="0"/>
    <n v="-2945.83"/>
    <x v="7"/>
  </r>
  <r>
    <s v="FIN-01524"/>
    <d v="2025-11-02T00:00:00"/>
    <x v="0"/>
    <x v="4"/>
    <x v="6"/>
    <x v="4"/>
    <s v="Islamabad"/>
    <s v="Peoplefirst"/>
    <x v="1"/>
    <n v="9947.3700000000008"/>
    <n v="3335.94"/>
    <n v="-6611.43"/>
    <n v="-0.6646410056125388"/>
    <x v="0"/>
    <n v="-3335.94"/>
    <x v="10"/>
  </r>
  <r>
    <s v="FIN-01525"/>
    <d v="2025-11-09T00:00:00"/>
    <x v="0"/>
    <x v="4"/>
    <x v="6"/>
    <x v="4"/>
    <s v="Lahore"/>
    <s v="Officepro"/>
    <x v="0"/>
    <n v="9947.3700000000008"/>
    <n v="3313.4"/>
    <n v="-6633.9700000000012"/>
    <n v="-0.66690693117879407"/>
    <x v="0"/>
    <n v="-3313.4"/>
    <x v="10"/>
  </r>
  <r>
    <s v="FIN-01526"/>
    <d v="2025-11-03T00:00:00"/>
    <x v="0"/>
    <x v="1"/>
    <x v="11"/>
    <x v="3"/>
    <s v="Karachi"/>
    <s v="Dataserve"/>
    <x v="4"/>
    <n v="2310"/>
    <n v="2175"/>
    <n v="-135"/>
    <n v="-5.844155844155844E-2"/>
    <x v="0"/>
    <n v="-2175"/>
    <x v="10"/>
  </r>
  <r>
    <s v="FIN-01527"/>
    <d v="2025-09-22T00:00:00"/>
    <x v="1"/>
    <x v="3"/>
    <x v="2"/>
    <x v="0"/>
    <s v="Lahore"/>
    <s v="Powergrid"/>
    <x v="1"/>
    <n v="10000"/>
    <n v="5430.01"/>
    <n v="-4569.99"/>
    <n v="-0.45699899999999999"/>
    <x v="0"/>
    <n v="5430.01"/>
    <x v="8"/>
  </r>
  <r>
    <s v="FIN-01528"/>
    <d v="2026-02-23T00:00:00"/>
    <x v="1"/>
    <x v="2"/>
    <x v="13"/>
    <x v="3"/>
    <s v="Islamabad"/>
    <s v="Buildcare"/>
    <x v="0"/>
    <n v="3880"/>
    <n v="3634.66"/>
    <n v="-245.34000000000015"/>
    <n v="-6.3231958762886634E-2"/>
    <x v="0"/>
    <n v="3634.66"/>
    <x v="17"/>
  </r>
  <r>
    <s v="FIN-01529"/>
    <d v="2025-11-26T00:00:00"/>
    <x v="1"/>
    <x v="4"/>
    <x v="3"/>
    <x v="3"/>
    <s v="Lahore"/>
    <s v="Unknown"/>
    <x v="2"/>
    <n v="13125"/>
    <n v="21944.68"/>
    <n v="8819.68"/>
    <n v="0.67197561904761904"/>
    <x v="1"/>
    <n v="21944.68"/>
    <x v="10"/>
  </r>
  <r>
    <s v="FIN-01530"/>
    <d v="2025-11-26T00:00:00"/>
    <x v="1"/>
    <x v="1"/>
    <x v="2"/>
    <x v="4"/>
    <s v="Peshawar"/>
    <s v="Adsphere"/>
    <x v="0"/>
    <n v="8400"/>
    <n v="5495.48"/>
    <n v="-2904.5200000000004"/>
    <n v="-0.34577619047619051"/>
    <x v="0"/>
    <n v="5495.48"/>
    <x v="10"/>
  </r>
  <r>
    <s v="FIN-01531"/>
    <d v="2025-09-02T00:00:00"/>
    <x v="1"/>
    <x v="0"/>
    <x v="12"/>
    <x v="3"/>
    <s v="Lahore"/>
    <s v="Markethub"/>
    <x v="3"/>
    <n v="7142.86"/>
    <n v="15554.55"/>
    <n v="8411.6899999999987"/>
    <n v="1.1776361289455484"/>
    <x v="1"/>
    <n v="15554.55"/>
    <x v="8"/>
  </r>
  <r>
    <s v="FIN-01532"/>
    <d v="2025-09-15T00:00:00"/>
    <x v="0"/>
    <x v="4"/>
    <x v="6"/>
    <x v="4"/>
    <s v="Karachi"/>
    <s v="Legalworks"/>
    <x v="2"/>
    <n v="7500"/>
    <n v="13876.74"/>
    <n v="6376.74"/>
    <n v="0.85023199999999999"/>
    <x v="1"/>
    <n v="-13876.74"/>
    <x v="8"/>
  </r>
  <r>
    <s v="FIN-01533"/>
    <d v="2026-02-23T00:00:00"/>
    <x v="1"/>
    <x v="6"/>
    <x v="3"/>
    <x v="3"/>
    <s v="Lahore"/>
    <s v="Markethub"/>
    <x v="1"/>
    <n v="12125"/>
    <n v="10672.98"/>
    <n v="-1452.0200000000004"/>
    <n v="-0.11975422680412375"/>
    <x v="0"/>
    <n v="10672.98"/>
    <x v="17"/>
  </r>
  <r>
    <s v="FIN-01534"/>
    <d v="2025-07-31T00:00:00"/>
    <x v="1"/>
    <x v="3"/>
    <x v="12"/>
    <x v="4"/>
    <s v="Multan"/>
    <s v="Markethub"/>
    <x v="1"/>
    <n v="7142.86"/>
    <n v="1314.32"/>
    <n v="-5828.54"/>
    <n v="-0.81599527360189061"/>
    <x v="0"/>
    <n v="1314.32"/>
    <x v="6"/>
  </r>
  <r>
    <s v="FIN-01535"/>
    <d v="2026-05-19T00:00:00"/>
    <x v="1"/>
    <x v="3"/>
    <x v="2"/>
    <x v="3"/>
    <s v="Lahore"/>
    <s v="Powergrid"/>
    <x v="3"/>
    <n v="6153.85"/>
    <n v="7554.72"/>
    <n v="1400.87"/>
    <n v="0.22764123272422951"/>
    <x v="1"/>
    <n v="7554.72"/>
    <x v="16"/>
  </r>
  <r>
    <s v="FIN-01536"/>
    <d v="2026-03-21T00:00:00"/>
    <x v="0"/>
    <x v="2"/>
    <x v="10"/>
    <x v="4"/>
    <s v="Lahore"/>
    <s v="Techsource"/>
    <x v="0"/>
    <n v="5000"/>
    <n v="3825.53"/>
    <n v="-1174.4699999999998"/>
    <n v="-0.23489399999999996"/>
    <x v="0"/>
    <n v="-3825.53"/>
    <x v="14"/>
  </r>
  <r>
    <s v="FIN-01537"/>
    <d v="2025-03-01T00:00:00"/>
    <x v="1"/>
    <x v="5"/>
    <x v="12"/>
    <x v="3"/>
    <s v="Islamabad"/>
    <s v="Urban Facilities"/>
    <x v="0"/>
    <n v="9090.91"/>
    <n v="4370.1000000000004"/>
    <n v="-4720.8099999999995"/>
    <n v="-0.51928904807109511"/>
    <x v="0"/>
    <n v="4370.1000000000004"/>
    <x v="2"/>
  </r>
  <r>
    <s v="FIN-01538"/>
    <d v="2025-09-26T00:00:00"/>
    <x v="1"/>
    <x v="3"/>
    <x v="3"/>
    <x v="2"/>
    <s v="Multan"/>
    <s v="Urban Facilities"/>
    <x v="4"/>
    <n v="11904.76"/>
    <n v="4199.08"/>
    <n v="-7705.68"/>
    <n v="-0.6472772235643558"/>
    <x v="0"/>
    <n v="4199.08"/>
    <x v="8"/>
  </r>
  <r>
    <s v="FIN-01539"/>
    <d v="2026-01-26T00:00:00"/>
    <x v="0"/>
    <x v="1"/>
    <x v="9"/>
    <x v="2"/>
    <s v="Multan"/>
    <s v="Markethub"/>
    <x v="4"/>
    <n v="7621.43"/>
    <n v="6003.26"/>
    <n v="-1618.17"/>
    <n v="-0.21231842318305094"/>
    <x v="0"/>
    <n v="-6003.26"/>
    <x v="12"/>
  </r>
  <r>
    <s v="FIN-01540"/>
    <d v="2025-06-20T00:00:00"/>
    <x v="0"/>
    <x v="2"/>
    <x v="5"/>
    <x v="3"/>
    <s v="Lahore"/>
    <s v="Adsphere"/>
    <x v="2"/>
    <n v="8125"/>
    <n v="10515.95"/>
    <n v="2390.9500000000007"/>
    <n v="0.29427076923076934"/>
    <x v="1"/>
    <n v="-10515.95"/>
    <x v="5"/>
  </r>
  <r>
    <s v="FIN-01541"/>
    <d v="2025-10-05T00:00:00"/>
    <x v="0"/>
    <x v="2"/>
    <x v="6"/>
    <x v="4"/>
    <s v="Lahore"/>
    <s v="Buildcare"/>
    <x v="1"/>
    <n v="7826.09"/>
    <n v="7629.23"/>
    <n v="-196.86000000000058"/>
    <n v="-2.515432355109647E-2"/>
    <x v="0"/>
    <n v="-7629.23"/>
    <x v="9"/>
  </r>
  <r>
    <s v="FIN-01542"/>
    <d v="2025-10-02T00:00:00"/>
    <x v="0"/>
    <x v="6"/>
    <x v="9"/>
    <x v="2"/>
    <s v="Karachi"/>
    <s v="Cloudnet"/>
    <x v="4"/>
    <n v="3928.57"/>
    <n v="6307.46"/>
    <n v="2378.89"/>
    <n v="0.60553585655849329"/>
    <x v="1"/>
    <n v="-6307.46"/>
    <x v="9"/>
  </r>
  <r>
    <s v="FIN-01543"/>
    <d v="2025-03-20T00:00:00"/>
    <x v="0"/>
    <x v="6"/>
    <x v="5"/>
    <x v="0"/>
    <s v="Karachi"/>
    <s v="Officepro"/>
    <x v="2"/>
    <n v="5000"/>
    <n v="6758.54"/>
    <n v="1758.54"/>
    <n v="0.35170799999999997"/>
    <x v="1"/>
    <n v="-6758.54"/>
    <x v="2"/>
  </r>
  <r>
    <s v="FIN-01544"/>
    <d v="2025-11-13T00:00:00"/>
    <x v="0"/>
    <x v="4"/>
    <x v="6"/>
    <x v="4"/>
    <s v="Multan"/>
    <s v="Dataserve"/>
    <x v="4"/>
    <n v="9947.3700000000008"/>
    <n v="16655.060000000001"/>
    <n v="6707.6900000000005"/>
    <n v="0.67431793529344941"/>
    <x v="1"/>
    <n v="-16655.060000000001"/>
    <x v="10"/>
  </r>
  <r>
    <s v="FIN-01545"/>
    <d v="2025-04-06T00:00:00"/>
    <x v="0"/>
    <x v="5"/>
    <x v="6"/>
    <x v="4"/>
    <s v="Peshawar"/>
    <s v="Buildcare"/>
    <x v="2"/>
    <n v="13846.15"/>
    <n v="16941.93"/>
    <n v="3095.7800000000007"/>
    <n v="0.22358417321782595"/>
    <x v="1"/>
    <n v="-16941.93"/>
    <x v="3"/>
  </r>
  <r>
    <s v="FIN-01546"/>
    <d v="2025-04-26T00:00:00"/>
    <x v="0"/>
    <x v="6"/>
    <x v="6"/>
    <x v="0"/>
    <s v="Peshawar"/>
    <s v="Techsource"/>
    <x v="1"/>
    <n v="13846.15"/>
    <n v="17820.13"/>
    <n v="3973.9800000000014"/>
    <n v="0.28700974639159632"/>
    <x v="1"/>
    <n v="-17820.13"/>
    <x v="3"/>
  </r>
  <r>
    <s v="FIN-01547"/>
    <d v="2025-04-25T00:00:00"/>
    <x v="1"/>
    <x v="3"/>
    <x v="2"/>
    <x v="4"/>
    <s v="Karachi"/>
    <s v="Shipfast"/>
    <x v="1"/>
    <n v="10000"/>
    <n v="1316.28"/>
    <n v="-8683.7199999999993"/>
    <n v="-0.86837199999999992"/>
    <x v="0"/>
    <n v="1316.28"/>
    <x v="3"/>
  </r>
  <r>
    <s v="FIN-01548"/>
    <d v="2025-04-11T00:00:00"/>
    <x v="0"/>
    <x v="2"/>
    <x v="8"/>
    <x v="2"/>
    <s v="Faisalabad"/>
    <s v="Officepro"/>
    <x v="4"/>
    <n v="3750"/>
    <n v="6374.43"/>
    <n v="2624.4300000000003"/>
    <n v="0.69984800000000003"/>
    <x v="1"/>
    <n v="-6374.43"/>
    <x v="3"/>
  </r>
  <r>
    <s v="FIN-01549"/>
    <d v="2025-06-21T00:00:00"/>
    <x v="0"/>
    <x v="6"/>
    <x v="6"/>
    <x v="1"/>
    <s v="Karachi"/>
    <s v="Shipfast"/>
    <x v="4"/>
    <n v="6428.57"/>
    <n v="13714.29"/>
    <n v="7285.7200000000012"/>
    <n v="1.1333344740743279"/>
    <x v="1"/>
    <n v="-13714.29"/>
    <x v="5"/>
  </r>
  <r>
    <s v="FIN-01550"/>
    <d v="2025-06-17T00:00:00"/>
    <x v="1"/>
    <x v="3"/>
    <x v="3"/>
    <x v="2"/>
    <s v="Karachi"/>
    <s v="Softworks"/>
    <x v="3"/>
    <n v="9615.3799999999992"/>
    <n v="5897.4"/>
    <n v="-3717.9799999999996"/>
    <n v="-0.38667010560165066"/>
    <x v="0"/>
    <n v="5897.4"/>
    <x v="5"/>
  </r>
  <r>
    <s v="FIN-01551"/>
    <d v="2025-12-18T00:00:00"/>
    <x v="0"/>
    <x v="2"/>
    <x v="11"/>
    <x v="1"/>
    <s v="Lahore"/>
    <s v="Markethub"/>
    <x v="1"/>
    <n v="3300"/>
    <n v="3752.73"/>
    <n v="452.73"/>
    <n v="0.13719090909090909"/>
    <x v="1"/>
    <n v="-3752.73"/>
    <x v="11"/>
  </r>
  <r>
    <s v="FIN-01552"/>
    <d v="2026-06-05T00:00:00"/>
    <x v="0"/>
    <x v="1"/>
    <x v="5"/>
    <x v="0"/>
    <s v="Islamabad"/>
    <s v="Peoplefirst"/>
    <x v="2"/>
    <n v="5416.67"/>
    <n v="11192.97"/>
    <n v="5776.2999999999993"/>
    <n v="1.066393189911883"/>
    <x v="1"/>
    <n v="-11192.97"/>
    <x v="13"/>
  </r>
  <r>
    <s v="FIN-01553"/>
    <d v="2025-10-27T00:00:00"/>
    <x v="1"/>
    <x v="3"/>
    <x v="12"/>
    <x v="2"/>
    <s v="Lahore"/>
    <s v="Prime Supplies"/>
    <x v="1"/>
    <n v="7692.31"/>
    <n v="5665.87"/>
    <n v="-2026.4400000000005"/>
    <n v="-0.26343712096886374"/>
    <x v="0"/>
    <n v="5665.87"/>
    <x v="9"/>
  </r>
  <r>
    <s v="FIN-01554"/>
    <d v="2026-06-20T00:00:00"/>
    <x v="1"/>
    <x v="0"/>
    <x v="12"/>
    <x v="2"/>
    <s v="Karachi"/>
    <s v="Cloudnet"/>
    <x v="2"/>
    <n v="4761.8999999999996"/>
    <n v="17961.3"/>
    <n v="13199.4"/>
    <n v="2.7718767718767721"/>
    <x v="1"/>
    <n v="17961.3"/>
    <x v="13"/>
  </r>
  <r>
    <s v="FIN-01555"/>
    <d v="2025-02-24T00:00:00"/>
    <x v="0"/>
    <x v="5"/>
    <x v="5"/>
    <x v="4"/>
    <s v="Lahore"/>
    <s v="Officepro"/>
    <x v="4"/>
    <n v="10508.33"/>
    <n v="3418.18"/>
    <n v="-7090.15"/>
    <n v="-0.67471710538211116"/>
    <x v="0"/>
    <n v="-3418.18"/>
    <x v="1"/>
  </r>
  <r>
    <s v="FIN-01556"/>
    <d v="2026-03-05T00:00:00"/>
    <x v="0"/>
    <x v="2"/>
    <x v="4"/>
    <x v="4"/>
    <s v="Islamabad"/>
    <s v="Dataserve"/>
    <x v="3"/>
    <n v="4000"/>
    <n v="1723.04"/>
    <n v="-2276.96"/>
    <n v="-0.56923999999999997"/>
    <x v="0"/>
    <n v="-1723.04"/>
    <x v="14"/>
  </r>
  <r>
    <s v="FIN-01557"/>
    <d v="2025-10-16T00:00:00"/>
    <x v="0"/>
    <x v="1"/>
    <x v="9"/>
    <x v="3"/>
    <s v="Lahore"/>
    <s v="Dataserve"/>
    <x v="2"/>
    <n v="3928.57"/>
    <n v="6311.67"/>
    <n v="2383.1"/>
    <n v="0.60660749331181574"/>
    <x v="1"/>
    <n v="-6311.67"/>
    <x v="9"/>
  </r>
  <r>
    <s v="FIN-01558"/>
    <d v="2025-03-28T00:00:00"/>
    <x v="0"/>
    <x v="4"/>
    <x v="8"/>
    <x v="2"/>
    <s v="Karachi"/>
    <s v="Cloudnet"/>
    <x v="1"/>
    <n v="3000"/>
    <n v="6560.82"/>
    <n v="3560.8199999999997"/>
    <n v="1.1869399999999999"/>
    <x v="1"/>
    <n v="-6560.82"/>
    <x v="2"/>
  </r>
  <r>
    <s v="FIN-01559"/>
    <d v="2025-12-14T00:00:00"/>
    <x v="0"/>
    <x v="4"/>
    <x v="9"/>
    <x v="4"/>
    <s v="Islamabad"/>
    <s v="Dataserve"/>
    <x v="1"/>
    <n v="4125"/>
    <n v="2450.94"/>
    <n v="-1674.06"/>
    <n v="-0.40583272727272723"/>
    <x v="0"/>
    <n v="-2450.94"/>
    <x v="11"/>
  </r>
  <r>
    <s v="FIN-01560"/>
    <d v="2026-01-21T00:00:00"/>
    <x v="1"/>
    <x v="2"/>
    <x v="12"/>
    <x v="3"/>
    <s v="Peshawar"/>
    <s v="Cloudnet"/>
    <x v="4"/>
    <n v="6062.5"/>
    <n v="11936.08"/>
    <n v="5873.58"/>
    <n v="0.96883793814432984"/>
    <x v="1"/>
    <n v="11936.08"/>
    <x v="12"/>
  </r>
  <r>
    <s v="FIN-01561"/>
    <d v="2025-09-18T00:00:00"/>
    <x v="0"/>
    <x v="1"/>
    <x v="6"/>
    <x v="3"/>
    <s v="Karachi"/>
    <s v="Dataserve"/>
    <x v="4"/>
    <n v="7500"/>
    <n v="10851.48"/>
    <n v="3351.4799999999996"/>
    <n v="0.44686399999999993"/>
    <x v="1"/>
    <n v="-10851.48"/>
    <x v="8"/>
  </r>
  <r>
    <s v="FIN-01562"/>
    <d v="2026-04-20T00:00:00"/>
    <x v="1"/>
    <x v="3"/>
    <x v="3"/>
    <x v="1"/>
    <s v="Islamabad"/>
    <s v="Prime Supplies"/>
    <x v="2"/>
    <n v="8333.33"/>
    <n v="12393.54"/>
    <n v="4060.2100000000009"/>
    <n v="0.48722539489015809"/>
    <x v="1"/>
    <n v="12393.54"/>
    <x v="15"/>
  </r>
  <r>
    <s v="FIN-01563"/>
    <d v="2025-02-04T00:00:00"/>
    <x v="0"/>
    <x v="2"/>
    <x v="6"/>
    <x v="4"/>
    <s v="Karachi"/>
    <s v="Buildcare"/>
    <x v="2"/>
    <n v="11640"/>
    <n v="13461.09"/>
    <n v="1821.0900000000001"/>
    <n v="0.15645103092783508"/>
    <x v="1"/>
    <n v="-13461.09"/>
    <x v="1"/>
  </r>
  <r>
    <s v="FIN-01564"/>
    <d v="2025-03-07T00:00:00"/>
    <x v="1"/>
    <x v="4"/>
    <x v="12"/>
    <x v="3"/>
    <s v="Karachi"/>
    <s v="Shipfast"/>
    <x v="1"/>
    <n v="9090.91"/>
    <n v="15454.13"/>
    <n v="6363.2199999999993"/>
    <n v="0.69995413000458695"/>
    <x v="1"/>
    <n v="15454.13"/>
    <x v="2"/>
  </r>
  <r>
    <s v="FIN-01565"/>
    <d v="2025-09-20T00:00:00"/>
    <x v="0"/>
    <x v="0"/>
    <x v="7"/>
    <x v="2"/>
    <s v="Karachi"/>
    <s v="Cloudnet"/>
    <x v="1"/>
    <n v="3500"/>
    <n v="2613.0500000000002"/>
    <n v="-886.94999999999982"/>
    <n v="-0.25341428571428565"/>
    <x v="0"/>
    <n v="-2613.0500000000002"/>
    <x v="8"/>
  </r>
  <r>
    <s v="FIN-01566"/>
    <d v="2026-06-16T00:00:00"/>
    <x v="0"/>
    <x v="2"/>
    <x v="10"/>
    <x v="4"/>
    <s v="Islamabad"/>
    <s v="Buildcare"/>
    <x v="1"/>
    <n v="3076.92"/>
    <n v="4046.6"/>
    <n v="969.67999999999984"/>
    <n v="0.31514631514631508"/>
    <x v="1"/>
    <n v="-4046.6"/>
    <x v="13"/>
  </r>
  <r>
    <s v="FIN-01567"/>
    <d v="2026-02-09T00:00:00"/>
    <x v="1"/>
    <x v="4"/>
    <x v="3"/>
    <x v="3"/>
    <s v="Karachi"/>
    <s v="Peoplefirst"/>
    <x v="2"/>
    <n v="12125"/>
    <n v="9635.1200000000008"/>
    <n v="-2489.8799999999992"/>
    <n v="-0.20535092783505149"/>
    <x v="0"/>
    <n v="9635.1200000000008"/>
    <x v="17"/>
  </r>
  <r>
    <s v="FIN-01568"/>
    <d v="2025-05-09T00:00:00"/>
    <x v="0"/>
    <x v="0"/>
    <x v="0"/>
    <x v="3"/>
    <s v="Karachi"/>
    <s v="Powergrid"/>
    <x v="3"/>
    <n v="2909.09"/>
    <n v="2361.02"/>
    <n v="-548.07000000000016"/>
    <n v="-0.18839912137472548"/>
    <x v="0"/>
    <n v="-2361.02"/>
    <x v="4"/>
  </r>
  <r>
    <s v="FIN-01569"/>
    <d v="2025-06-30T00:00:00"/>
    <x v="0"/>
    <x v="4"/>
    <x v="0"/>
    <x v="2"/>
    <s v="Lahore"/>
    <s v="Buildcare"/>
    <x v="4"/>
    <n v="4571.43"/>
    <n v="708.52"/>
    <n v="-3862.9100000000003"/>
    <n v="-0.84501129843396927"/>
    <x v="0"/>
    <n v="-708.52"/>
    <x v="5"/>
  </r>
  <r>
    <s v="FIN-01570"/>
    <d v="2026-06-15T00:00:00"/>
    <x v="0"/>
    <x v="5"/>
    <x v="10"/>
    <x v="2"/>
    <s v="Islamabad"/>
    <s v="Peoplefirst"/>
    <x v="1"/>
    <n v="3076.92"/>
    <n v="632.59"/>
    <n v="-2444.33"/>
    <n v="-0.79440804440804436"/>
    <x v="0"/>
    <n v="-632.59"/>
    <x v="13"/>
  </r>
  <r>
    <s v="FIN-01571"/>
    <d v="2025-10-04T00:00:00"/>
    <x v="1"/>
    <x v="1"/>
    <x v="2"/>
    <x v="4"/>
    <s v="Lahore"/>
    <s v="Powergrid"/>
    <x v="4"/>
    <n v="4705.88"/>
    <n v="2867.98"/>
    <n v="-1837.9"/>
    <n v="-0.39055394527697262"/>
    <x v="0"/>
    <n v="2867.98"/>
    <x v="9"/>
  </r>
  <r>
    <s v="FIN-01572"/>
    <d v="2025-07-29T00:00:00"/>
    <x v="0"/>
    <x v="1"/>
    <x v="5"/>
    <x v="4"/>
    <s v="Islamabad"/>
    <s v="Urban Facilities"/>
    <x v="4"/>
    <n v="5909.09"/>
    <n v="8476.08"/>
    <n v="2566.9899999999998"/>
    <n v="0.43441375914057828"/>
    <x v="1"/>
    <n v="-8476.08"/>
    <x v="6"/>
  </r>
  <r>
    <s v="FIN-01573"/>
    <d v="2026-01-23T00:00:00"/>
    <x v="0"/>
    <x v="5"/>
    <x v="9"/>
    <x v="4"/>
    <s v="Islamabad"/>
    <s v="Buildcare"/>
    <x v="0"/>
    <n v="7621.43"/>
    <n v="1690.84"/>
    <n v="-5930.59"/>
    <n v="-0.77814662077851526"/>
    <x v="0"/>
    <n v="-1690.84"/>
    <x v="12"/>
  </r>
  <r>
    <s v="FIN-01574"/>
    <d v="2025-08-07T00:00:00"/>
    <x v="1"/>
    <x v="3"/>
    <x v="3"/>
    <x v="1"/>
    <s v="Islamabad"/>
    <s v="Peoplefirst"/>
    <x v="2"/>
    <n v="10416.67"/>
    <n v="12805.03"/>
    <n v="2388.3600000000006"/>
    <n v="0.22928248662960432"/>
    <x v="1"/>
    <n v="12805.03"/>
    <x v="7"/>
  </r>
  <r>
    <s v="FIN-01575"/>
    <d v="2025-06-26T00:00:00"/>
    <x v="0"/>
    <x v="0"/>
    <x v="11"/>
    <x v="2"/>
    <s v="Islamabad"/>
    <s v="Softworks"/>
    <x v="4"/>
    <n v="3666.67"/>
    <n v="3836.15"/>
    <n v="169.48000000000002"/>
    <n v="4.6221776162021673E-2"/>
    <x v="1"/>
    <n v="-3836.15"/>
    <x v="5"/>
  </r>
  <r>
    <s v="FIN-01576"/>
    <d v="2025-06-20T00:00:00"/>
    <x v="0"/>
    <x v="4"/>
    <x v="10"/>
    <x v="1"/>
    <s v="Islamabad"/>
    <s v="Softworks"/>
    <x v="2"/>
    <n v="6666.67"/>
    <n v="1343.97"/>
    <n v="-5322.7"/>
    <n v="-0.79840460079769959"/>
    <x v="0"/>
    <n v="-1343.97"/>
    <x v="5"/>
  </r>
  <r>
    <s v="FIN-01577"/>
    <d v="2025-03-27T00:00:00"/>
    <x v="0"/>
    <x v="4"/>
    <x v="5"/>
    <x v="3"/>
    <s v="Karachi"/>
    <s v="Powergrid"/>
    <x v="2"/>
    <n v="5000"/>
    <n v="3701.7"/>
    <n v="-1298.3000000000002"/>
    <n v="-0.25966000000000006"/>
    <x v="0"/>
    <n v="-3701.7"/>
    <x v="2"/>
  </r>
  <r>
    <s v="FIN-01578"/>
    <d v="2025-03-02T00:00:00"/>
    <x v="0"/>
    <x v="1"/>
    <x v="9"/>
    <x v="1"/>
    <s v="Faisalabad"/>
    <s v="Shipfast"/>
    <x v="3"/>
    <n v="3928.57"/>
    <n v="6582.85"/>
    <n v="2654.28"/>
    <n v="0.67563515477641989"/>
    <x v="1"/>
    <n v="-6582.85"/>
    <x v="2"/>
  </r>
  <r>
    <s v="FIN-01579"/>
    <d v="2025-06-15T00:00:00"/>
    <x v="0"/>
    <x v="2"/>
    <x v="7"/>
    <x v="1"/>
    <s v="Karachi"/>
    <s v="Urban Facilities"/>
    <x v="0"/>
    <n v="4375"/>
    <n v="1480.51"/>
    <n v="-2894.49"/>
    <n v="-0.66159771428571423"/>
    <x v="0"/>
    <n v="-1480.51"/>
    <x v="5"/>
  </r>
  <r>
    <s v="FIN-01580"/>
    <d v="2026-03-07T00:00:00"/>
    <x v="0"/>
    <x v="0"/>
    <x v="6"/>
    <x v="1"/>
    <s v="Lahore"/>
    <s v="Urban Facilities"/>
    <x v="4"/>
    <n v="7200"/>
    <n v="963.8"/>
    <n v="-6236.2"/>
    <n v="-0.8661388888888889"/>
    <x v="0"/>
    <n v="-963.8"/>
    <x v="14"/>
  </r>
  <r>
    <s v="FIN-01581"/>
    <d v="2025-12-19T00:00:00"/>
    <x v="0"/>
    <x v="2"/>
    <x v="9"/>
    <x v="0"/>
    <s v="Karachi"/>
    <s v="Shipfast"/>
    <x v="4"/>
    <n v="4125"/>
    <n v="3913.09"/>
    <n v="-211.90999999999985"/>
    <n v="-5.1372121212121175E-2"/>
    <x v="0"/>
    <n v="-3913.09"/>
    <x v="11"/>
  </r>
  <r>
    <s v="FIN-01582"/>
    <d v="2025-01-28T00:00:00"/>
    <x v="0"/>
    <x v="1"/>
    <x v="6"/>
    <x v="3"/>
    <s v="Karachi"/>
    <s v="Adsphere"/>
    <x v="4"/>
    <n v="7591.3"/>
    <n v="2579.64"/>
    <n v="-5011.66"/>
    <n v="-0.66018468510004868"/>
    <x v="0"/>
    <n v="-2579.64"/>
    <x v="0"/>
  </r>
  <r>
    <s v="FIN-01583"/>
    <d v="2025-04-04T00:00:00"/>
    <x v="0"/>
    <x v="2"/>
    <x v="10"/>
    <x v="2"/>
    <s v="Lahore"/>
    <s v="Adsphere"/>
    <x v="3"/>
    <n v="5714.29"/>
    <n v="5725.95"/>
    <n v="11.659999999999854"/>
    <n v="2.0404984696261222E-3"/>
    <x v="1"/>
    <n v="-5725.95"/>
    <x v="3"/>
  </r>
  <r>
    <s v="FIN-01584"/>
    <d v="2025-03-07T00:00:00"/>
    <x v="0"/>
    <x v="0"/>
    <x v="6"/>
    <x v="0"/>
    <s v="Karachi"/>
    <s v="Adsphere"/>
    <x v="2"/>
    <n v="6000"/>
    <n v="7965.8"/>
    <n v="1965.8000000000002"/>
    <n v="0.32763333333333339"/>
    <x v="1"/>
    <n v="-7965.8"/>
    <x v="2"/>
  </r>
  <r>
    <s v="FIN-01585"/>
    <d v="2025-07-08T00:00:00"/>
    <x v="0"/>
    <x v="4"/>
    <x v="9"/>
    <x v="3"/>
    <s v="Karachi"/>
    <s v="Adsphere"/>
    <x v="3"/>
    <n v="3437.5"/>
    <n v="1117.25"/>
    <n v="-2320.25"/>
    <n v="-0.67498181818181813"/>
    <x v="0"/>
    <n v="-1117.25"/>
    <x v="6"/>
  </r>
  <r>
    <s v="FIN-01586"/>
    <d v="2025-12-31T00:00:00"/>
    <x v="1"/>
    <x v="3"/>
    <x v="3"/>
    <x v="3"/>
    <s v="Faisalabad"/>
    <s v="Urban Facilities"/>
    <x v="1"/>
    <n v="15441.18"/>
    <n v="3335.32"/>
    <n v="-12105.86"/>
    <n v="-0.78399837318132426"/>
    <x v="0"/>
    <n v="3335.32"/>
    <x v="11"/>
  </r>
  <r>
    <s v="FIN-01587"/>
    <d v="2025-03-14T00:00:00"/>
    <x v="0"/>
    <x v="6"/>
    <x v="9"/>
    <x v="2"/>
    <s v="Lahore"/>
    <s v="Adsphere"/>
    <x v="2"/>
    <n v="3928.57"/>
    <n v="8423.94"/>
    <n v="4495.3700000000008"/>
    <n v="1.144276416100515"/>
    <x v="1"/>
    <n v="-8423.94"/>
    <x v="2"/>
  </r>
  <r>
    <s v="FIN-01588"/>
    <d v="2025-05-05T00:00:00"/>
    <x v="0"/>
    <x v="6"/>
    <x v="8"/>
    <x v="1"/>
    <s v="Islamabad"/>
    <s v="Markethub"/>
    <x v="3"/>
    <n v="2307.69"/>
    <n v="4520.47"/>
    <n v="2212.7800000000002"/>
    <n v="0.95887229220562564"/>
    <x v="1"/>
    <n v="-4520.47"/>
    <x v="4"/>
  </r>
  <r>
    <s v="FIN-01589"/>
    <d v="2025-08-18T00:00:00"/>
    <x v="0"/>
    <x v="4"/>
    <x v="6"/>
    <x v="4"/>
    <s v="Islamabad"/>
    <s v="Travellink"/>
    <x v="1"/>
    <n v="8181.82"/>
    <n v="6736.79"/>
    <n v="-1445.0299999999997"/>
    <n v="-0.17661473853005807"/>
    <x v="0"/>
    <n v="-6736.79"/>
    <x v="7"/>
  </r>
  <r>
    <s v="FIN-01590"/>
    <d v="2026-04-22T00:00:00"/>
    <x v="0"/>
    <x v="2"/>
    <x v="6"/>
    <x v="1"/>
    <s v="Karachi"/>
    <s v="Peoplefirst"/>
    <x v="1"/>
    <n v="8571.43"/>
    <n v="9773.7000000000007"/>
    <n v="1202.2700000000004"/>
    <n v="0.14026480995586504"/>
    <x v="1"/>
    <n v="-9773.7000000000007"/>
    <x v="15"/>
  </r>
  <r>
    <s v="FIN-01591"/>
    <d v="2026-03-24T00:00:00"/>
    <x v="1"/>
    <x v="1"/>
    <x v="3"/>
    <x v="4"/>
    <s v="Multan"/>
    <s v="Powergrid"/>
    <x v="3"/>
    <n v="11363.64"/>
    <n v="2771.68"/>
    <n v="-8591.9599999999991"/>
    <n v="-0.75609223805048376"/>
    <x v="0"/>
    <n v="2771.68"/>
    <x v="14"/>
  </r>
  <r>
    <s v="FIN-01592"/>
    <d v="2025-07-28T00:00:00"/>
    <x v="0"/>
    <x v="4"/>
    <x v="10"/>
    <x v="0"/>
    <s v="Faisalabad"/>
    <s v="Buildcare"/>
    <x v="2"/>
    <n v="3333.33"/>
    <n v="1575.71"/>
    <n v="-1757.62"/>
    <n v="-0.52728652728652725"/>
    <x v="0"/>
    <n v="-1575.71"/>
    <x v="6"/>
  </r>
  <r>
    <s v="FIN-01593"/>
    <d v="2025-12-28T00:00:00"/>
    <x v="0"/>
    <x v="0"/>
    <x v="9"/>
    <x v="4"/>
    <s v="Karachi"/>
    <s v="Powergrid"/>
    <x v="3"/>
    <n v="4125"/>
    <n v="7979.86"/>
    <n v="3854.8599999999997"/>
    <n v="0.93451151515151509"/>
    <x v="1"/>
    <n v="-7979.86"/>
    <x v="11"/>
  </r>
  <r>
    <s v="FIN-01594"/>
    <d v="2026-04-14T00:00:00"/>
    <x v="1"/>
    <x v="7"/>
    <x v="2"/>
    <x v="2"/>
    <s v="Multan"/>
    <s v="Dataserve"/>
    <x v="1"/>
    <n v="20000"/>
    <n v="3309.19"/>
    <n v="-16690.810000000001"/>
    <n v="-0.83454050000000002"/>
    <x v="0"/>
    <n v="3309.19"/>
    <x v="15"/>
  </r>
  <r>
    <s v="FIN-01595"/>
    <d v="2025-11-13T00:00:00"/>
    <x v="1"/>
    <x v="6"/>
    <x v="2"/>
    <x v="2"/>
    <s v="Karachi"/>
    <s v="Shipfast"/>
    <x v="4"/>
    <n v="8400"/>
    <n v="1947.17"/>
    <n v="-6452.83"/>
    <n v="-0.76819404761904764"/>
    <x v="0"/>
    <n v="1947.17"/>
    <x v="10"/>
  </r>
  <r>
    <s v="FIN-01596"/>
    <d v="2025-08-31T00:00:00"/>
    <x v="0"/>
    <x v="0"/>
    <x v="1"/>
    <x v="4"/>
    <s v="Karachi"/>
    <s v="Dataserve"/>
    <x v="4"/>
    <n v="3000"/>
    <n v="851.26"/>
    <n v="-2148.7399999999998"/>
    <n v="-0.71624666666666659"/>
    <x v="0"/>
    <n v="-851.26"/>
    <x v="7"/>
  </r>
  <r>
    <s v="FIN-01597"/>
    <d v="2025-06-07T00:00:00"/>
    <x v="1"/>
    <x v="3"/>
    <x v="12"/>
    <x v="4"/>
    <s v="Lahore"/>
    <s v="Peoplefirst"/>
    <x v="1"/>
    <n v="6250"/>
    <n v="12669.73"/>
    <n v="6419.73"/>
    <n v="1.0271568"/>
    <x v="1"/>
    <n v="12669.73"/>
    <x v="5"/>
  </r>
  <r>
    <s v="FIN-01598"/>
    <d v="2026-04-27T00:00:00"/>
    <x v="1"/>
    <x v="6"/>
    <x v="3"/>
    <x v="1"/>
    <s v="Lahore"/>
    <s v="Powergrid"/>
    <x v="4"/>
    <n v="8333.33"/>
    <n v="2865.41"/>
    <n v="-5467.92"/>
    <n v="-0.65615066246026499"/>
    <x v="0"/>
    <n v="2865.41"/>
    <x v="15"/>
  </r>
  <r>
    <s v="FIN-01599"/>
    <d v="2026-06-27T00:00:00"/>
    <x v="1"/>
    <x v="6"/>
    <x v="12"/>
    <x v="4"/>
    <s v="Islamabad"/>
    <s v="Shipfast"/>
    <x v="1"/>
    <n v="4761.8999999999996"/>
    <n v="14118.92"/>
    <n v="9357.02"/>
    <n v="1.9649761649761652"/>
    <x v="1"/>
    <n v="14118.92"/>
    <x v="13"/>
  </r>
  <r>
    <s v="FIN-01600"/>
    <d v="2025-04-16T00:00:00"/>
    <x v="1"/>
    <x v="2"/>
    <x v="3"/>
    <x v="4"/>
    <s v="Lahore"/>
    <s v="Legalworks"/>
    <x v="3"/>
    <n v="11363.64"/>
    <n v="21909.29"/>
    <n v="10545.650000000001"/>
    <n v="0.92801690303459117"/>
    <x v="1"/>
    <n v="21909.29"/>
    <x v="3"/>
  </r>
  <r>
    <s v="FIN-01601"/>
    <d v="2025-05-25T00:00:00"/>
    <x v="0"/>
    <x v="4"/>
    <x v="6"/>
    <x v="4"/>
    <s v="Peshawar"/>
    <s v="Prime Supplies"/>
    <x v="2"/>
    <n v="7200"/>
    <n v="11735.14"/>
    <n v="4535.1399999999994"/>
    <n v="0.62988055555555544"/>
    <x v="1"/>
    <n v="-11735.14"/>
    <x v="4"/>
  </r>
  <r>
    <s v="FIN-01602"/>
    <d v="2025-10-19T00:00:00"/>
    <x v="1"/>
    <x v="2"/>
    <x v="12"/>
    <x v="4"/>
    <s v="Karachi"/>
    <s v="Urban Facilities"/>
    <x v="4"/>
    <n v="7692.31"/>
    <n v="1123.07"/>
    <n v="-6569.2400000000007"/>
    <n v="-0.85400094379971692"/>
    <x v="0"/>
    <n v="1123.07"/>
    <x v="9"/>
  </r>
  <r>
    <s v="FIN-01603"/>
    <d v="2026-05-03T00:00:00"/>
    <x v="0"/>
    <x v="6"/>
    <x v="9"/>
    <x v="4"/>
    <s v="Karachi"/>
    <s v="Urban Facilities"/>
    <x v="3"/>
    <n v="7857.14"/>
    <n v="1972.72"/>
    <n v="-5884.42"/>
    <n v="-0.74892645415507419"/>
    <x v="0"/>
    <n v="-1972.72"/>
    <x v="16"/>
  </r>
  <r>
    <s v="FIN-01604"/>
    <d v="2025-10-14T00:00:00"/>
    <x v="0"/>
    <x v="4"/>
    <x v="0"/>
    <x v="4"/>
    <s v="Karachi"/>
    <s v="Peoplefirst"/>
    <x v="4"/>
    <n v="2666.67"/>
    <n v="5239.83"/>
    <n v="2573.16"/>
    <n v="0.96493379383275768"/>
    <x v="1"/>
    <n v="-5239.83"/>
    <x v="9"/>
  </r>
  <r>
    <s v="FIN-01605"/>
    <d v="2025-03-18T00:00:00"/>
    <x v="1"/>
    <x v="3"/>
    <x v="3"/>
    <x v="2"/>
    <s v="Lahore"/>
    <s v="Techsource"/>
    <x v="2"/>
    <n v="8064.52"/>
    <n v="23378.77"/>
    <n v="15314.25"/>
    <n v="1.8989660884962773"/>
    <x v="1"/>
    <n v="23378.77"/>
    <x v="2"/>
  </r>
  <r>
    <s v="FIN-01606"/>
    <d v="2026-05-27T00:00:00"/>
    <x v="0"/>
    <x v="2"/>
    <x v="10"/>
    <x v="3"/>
    <s v="Lahore"/>
    <s v="Shipfast"/>
    <x v="2"/>
    <n v="5714.29"/>
    <n v="1200.08"/>
    <n v="-4514.21"/>
    <n v="-0.78998615751038193"/>
    <x v="0"/>
    <n v="-1200.08"/>
    <x v="16"/>
  </r>
  <r>
    <s v="FIN-01607"/>
    <d v="2025-10-04T00:00:00"/>
    <x v="0"/>
    <x v="1"/>
    <x v="5"/>
    <x v="4"/>
    <s v="Peshawar"/>
    <s v="Techsource"/>
    <x v="3"/>
    <n v="9285.7099999999991"/>
    <n v="3884.75"/>
    <n v="-5400.9599999999991"/>
    <n v="-0.58164211460405291"/>
    <x v="0"/>
    <n v="-3884.75"/>
    <x v="9"/>
  </r>
  <r>
    <s v="FIN-01608"/>
    <d v="2025-05-13T00:00:00"/>
    <x v="1"/>
    <x v="4"/>
    <x v="2"/>
    <x v="0"/>
    <s v="Karachi"/>
    <s v="Techsource"/>
    <x v="1"/>
    <n v="10000"/>
    <n v="4566.78"/>
    <n v="-5433.22"/>
    <n v="-0.54332199999999997"/>
    <x v="0"/>
    <n v="4566.78"/>
    <x v="4"/>
  </r>
  <r>
    <s v="FIN-01609"/>
    <d v="2025-03-11T00:00:00"/>
    <x v="0"/>
    <x v="0"/>
    <x v="9"/>
    <x v="4"/>
    <s v="Multan"/>
    <s v="Peoplefirst"/>
    <x v="1"/>
    <n v="3928.57"/>
    <n v="1625.7"/>
    <n v="-2302.87"/>
    <n v="-0.58618530406738323"/>
    <x v="0"/>
    <n v="-1625.7"/>
    <x v="2"/>
  </r>
  <r>
    <s v="FIN-01610"/>
    <d v="2026-02-07T00:00:00"/>
    <x v="0"/>
    <x v="2"/>
    <x v="1"/>
    <x v="4"/>
    <s v="Islamabad"/>
    <s v="Techsource"/>
    <x v="4"/>
    <n v="2182.5"/>
    <n v="1449.75"/>
    <n v="-732.75"/>
    <n v="-0.33573883161512025"/>
    <x v="0"/>
    <n v="-1449.75"/>
    <x v="17"/>
  </r>
  <r>
    <s v="FIN-01611"/>
    <d v="2025-09-21T00:00:00"/>
    <x v="0"/>
    <x v="1"/>
    <x v="9"/>
    <x v="1"/>
    <s v="Karachi"/>
    <s v="Officepro"/>
    <x v="1"/>
    <n v="6111.11"/>
    <n v="8295.61"/>
    <n v="2184.5000000000009"/>
    <n v="0.35746370135703676"/>
    <x v="1"/>
    <n v="-8295.61"/>
    <x v="8"/>
  </r>
  <r>
    <s v="FIN-01612"/>
    <d v="2026-06-25T00:00:00"/>
    <x v="0"/>
    <x v="1"/>
    <x v="5"/>
    <x v="4"/>
    <s v="Islamabad"/>
    <s v="Prime Supplies"/>
    <x v="3"/>
    <n v="5416.67"/>
    <n v="5138.0200000000004"/>
    <n v="-278.64999999999964"/>
    <n v="-5.1443045265818228E-2"/>
    <x v="0"/>
    <n v="-5138.0200000000004"/>
    <x v="13"/>
  </r>
  <r>
    <s v="FIN-01613"/>
    <d v="2025-09-01T00:00:00"/>
    <x v="0"/>
    <x v="2"/>
    <x v="8"/>
    <x v="1"/>
    <s v="Faisalabad"/>
    <s v="Powergrid"/>
    <x v="2"/>
    <n v="5000"/>
    <n v="2317.38"/>
    <n v="-2682.62"/>
    <n v="-0.536524"/>
    <x v="0"/>
    <n v="-2317.38"/>
    <x v="8"/>
  </r>
  <r>
    <s v="FIN-01614"/>
    <d v="2026-03-04T00:00:00"/>
    <x v="0"/>
    <x v="0"/>
    <x v="8"/>
    <x v="4"/>
    <s v="Lahore"/>
    <s v="Adsphere"/>
    <x v="1"/>
    <n v="6000"/>
    <n v="2847.9"/>
    <n v="-3152.1"/>
    <n v="-0.52534999999999998"/>
    <x v="0"/>
    <n v="-2847.9"/>
    <x v="14"/>
  </r>
  <r>
    <s v="FIN-01615"/>
    <d v="2026-06-22T00:00:00"/>
    <x v="0"/>
    <x v="1"/>
    <x v="6"/>
    <x v="1"/>
    <s v="Karachi"/>
    <s v="Powergrid"/>
    <x v="3"/>
    <n v="8571.43"/>
    <n v="9465.48"/>
    <n v="894.04999999999927"/>
    <n v="0.10430581594903059"/>
    <x v="1"/>
    <n v="-9465.48"/>
    <x v="13"/>
  </r>
  <r>
    <s v="FIN-01616"/>
    <d v="2026-06-11T00:00:00"/>
    <x v="0"/>
    <x v="2"/>
    <x v="6"/>
    <x v="4"/>
    <s v="Islamabad"/>
    <s v="Shipfast"/>
    <x v="1"/>
    <n v="8571.43"/>
    <n v="17122.189999999999"/>
    <n v="8550.7599999999984"/>
    <n v="0.99758850040191638"/>
    <x v="1"/>
    <n v="-17122.189999999999"/>
    <x v="13"/>
  </r>
  <r>
    <s v="FIN-01617"/>
    <d v="2026-06-14T00:00:00"/>
    <x v="0"/>
    <x v="6"/>
    <x v="7"/>
    <x v="1"/>
    <s v="Peshawar"/>
    <s v="Officepro"/>
    <x v="1"/>
    <n v="5000"/>
    <n v="2420.9"/>
    <n v="-2579.1"/>
    <n v="-0.51581999999999995"/>
    <x v="0"/>
    <n v="-2420.9"/>
    <x v="13"/>
  </r>
  <r>
    <s v="FIN-01618"/>
    <d v="2025-07-09T00:00:00"/>
    <x v="1"/>
    <x v="3"/>
    <x v="2"/>
    <x v="2"/>
    <s v="Islamabad"/>
    <s v="Powergrid"/>
    <x v="2"/>
    <n v="13333.33"/>
    <n v="5446.22"/>
    <n v="-7887.11"/>
    <n v="-0.59153339788334947"/>
    <x v="0"/>
    <n v="5446.22"/>
    <x v="6"/>
  </r>
  <r>
    <s v="FIN-01619"/>
    <d v="2025-05-28T00:00:00"/>
    <x v="0"/>
    <x v="5"/>
    <x v="9"/>
    <x v="1"/>
    <s v="Karachi"/>
    <s v="Legalworks"/>
    <x v="1"/>
    <n v="5500"/>
    <n v="2582.9899999999998"/>
    <n v="-2917.01"/>
    <n v="-0.53036545454545458"/>
    <x v="0"/>
    <n v="-2582.9899999999998"/>
    <x v="4"/>
  </r>
  <r>
    <s v="FIN-01620"/>
    <d v="2025-10-25T00:00:00"/>
    <x v="0"/>
    <x v="2"/>
    <x v="10"/>
    <x v="2"/>
    <s v="Peshawar"/>
    <s v="Cloudnet"/>
    <x v="2"/>
    <n v="3333.33"/>
    <n v="1696.66"/>
    <n v="-1636.6699999999998"/>
    <n v="-0.49100149100149099"/>
    <x v="0"/>
    <n v="-1696.66"/>
    <x v="9"/>
  </r>
  <r>
    <s v="FIN-01621"/>
    <d v="2025-03-10T00:00:00"/>
    <x v="0"/>
    <x v="1"/>
    <x v="8"/>
    <x v="1"/>
    <s v="Lahore"/>
    <s v="Adsphere"/>
    <x v="1"/>
    <n v="3000"/>
    <n v="4166.34"/>
    <n v="1166.3400000000001"/>
    <n v="0.38878000000000007"/>
    <x v="1"/>
    <n v="-4166.34"/>
    <x v="2"/>
  </r>
  <r>
    <s v="FIN-01622"/>
    <d v="2025-07-14T00:00:00"/>
    <x v="0"/>
    <x v="2"/>
    <x v="6"/>
    <x v="1"/>
    <s v="Karachi"/>
    <s v="Techsource"/>
    <x v="1"/>
    <n v="6923.08"/>
    <n v="15056.72"/>
    <n v="8133.6399999999994"/>
    <n v="1.1748585889517382"/>
    <x v="1"/>
    <n v="-15056.72"/>
    <x v="6"/>
  </r>
  <r>
    <s v="FIN-01623"/>
    <d v="2026-04-21T00:00:00"/>
    <x v="0"/>
    <x v="1"/>
    <x v="6"/>
    <x v="4"/>
    <s v="Faisalabad"/>
    <s v="Markethub"/>
    <x v="3"/>
    <n v="8571.43"/>
    <n v="4523.7299999999996"/>
    <n v="-4047.7000000000007"/>
    <n v="-0.47223158796140208"/>
    <x v="0"/>
    <n v="-4523.7299999999996"/>
    <x v="15"/>
  </r>
  <r>
    <s v="FIN-01624"/>
    <d v="2026-06-28T00:00:00"/>
    <x v="0"/>
    <x v="3"/>
    <x v="10"/>
    <x v="4"/>
    <s v="Lahore"/>
    <s v="Travellink"/>
    <x v="4"/>
    <n v="3076.92"/>
    <n v="3821.92"/>
    <n v="745"/>
    <n v="0.24212524212524211"/>
    <x v="1"/>
    <n v="-3821.92"/>
    <x v="13"/>
  </r>
  <r>
    <s v="FIN-01625"/>
    <d v="2025-09-06T00:00:00"/>
    <x v="1"/>
    <x v="3"/>
    <x v="2"/>
    <x v="2"/>
    <s v="Faisalabad"/>
    <s v="Travellink"/>
    <x v="3"/>
    <n v="10000"/>
    <n v="7108.85"/>
    <n v="-2891.1499999999996"/>
    <n v="-0.28911499999999996"/>
    <x v="0"/>
    <n v="7108.85"/>
    <x v="8"/>
  </r>
  <r>
    <s v="FIN-01626"/>
    <d v="2025-05-09T00:00:00"/>
    <x v="0"/>
    <x v="5"/>
    <x v="8"/>
    <x v="3"/>
    <s v="Lahore"/>
    <s v="Travellink"/>
    <x v="4"/>
    <n v="2307.69"/>
    <n v="3690.65"/>
    <n v="1382.96"/>
    <n v="0.59928326594993264"/>
    <x v="1"/>
    <n v="-3690.65"/>
    <x v="4"/>
  </r>
  <r>
    <s v="FIN-01627"/>
    <d v="2025-06-16T00:00:00"/>
    <x v="0"/>
    <x v="6"/>
    <x v="4"/>
    <x v="4"/>
    <s v="Karachi"/>
    <s v="Softworks"/>
    <x v="1"/>
    <n v="7000"/>
    <n v="3455.02"/>
    <n v="-3544.98"/>
    <n v="-0.50642571428571426"/>
    <x v="0"/>
    <n v="-3455.02"/>
    <x v="5"/>
  </r>
  <r>
    <s v="FIN-01628"/>
    <d v="2026-04-20T00:00:00"/>
    <x v="0"/>
    <x v="2"/>
    <x v="1"/>
    <x v="2"/>
    <s v="Islamabad"/>
    <s v="Markethub"/>
    <x v="1"/>
    <n v="2250"/>
    <n v="1609.49"/>
    <n v="-640.51"/>
    <n v="-0.2846711111111111"/>
    <x v="0"/>
    <n v="-1609.49"/>
    <x v="15"/>
  </r>
  <r>
    <s v="FIN-01629"/>
    <d v="2025-10-21T00:00:00"/>
    <x v="1"/>
    <x v="3"/>
    <x v="3"/>
    <x v="2"/>
    <s v="Karachi"/>
    <s v="Officepro"/>
    <x v="4"/>
    <n v="8928.57"/>
    <n v="6416.62"/>
    <n v="-2511.9499999999998"/>
    <n v="-0.28133844501415117"/>
    <x v="0"/>
    <n v="6416.62"/>
    <x v="9"/>
  </r>
  <r>
    <s v="FIN-01630"/>
    <d v="2026-01-28T00:00:00"/>
    <x v="1"/>
    <x v="2"/>
    <x v="3"/>
    <x v="3"/>
    <s v="Karachi"/>
    <s v="Officepro"/>
    <x v="2"/>
    <n v="11547.62"/>
    <n v="23309.58"/>
    <n v="11761.960000000001"/>
    <n v="1.0185614005310186"/>
    <x v="1"/>
    <n v="23309.58"/>
    <x v="12"/>
  </r>
  <r>
    <s v="FIN-01631"/>
    <d v="2025-07-25T00:00:00"/>
    <x v="0"/>
    <x v="0"/>
    <x v="6"/>
    <x v="1"/>
    <s v="Islamabad"/>
    <s v="Urban Facilities"/>
    <x v="3"/>
    <n v="6923.08"/>
    <n v="17337.25"/>
    <n v="10414.17"/>
    <n v="1.5042683314362972"/>
    <x v="1"/>
    <n v="-17337.25"/>
    <x v="6"/>
  </r>
  <r>
    <s v="FIN-01632"/>
    <d v="2026-01-06T00:00:00"/>
    <x v="1"/>
    <x v="0"/>
    <x v="3"/>
    <x v="2"/>
    <s v="Karachi"/>
    <s v="Urban Facilities"/>
    <x v="1"/>
    <n v="11547.62"/>
    <n v="3969.78"/>
    <n v="-7577.84"/>
    <n v="-0.6562252654659575"/>
    <x v="0"/>
    <n v="3969.78"/>
    <x v="12"/>
  </r>
  <r>
    <s v="FIN-01633"/>
    <d v="2026-03-13T00:00:00"/>
    <x v="0"/>
    <x v="6"/>
    <x v="1"/>
    <x v="0"/>
    <s v="Lahore"/>
    <s v="Techsource"/>
    <x v="2"/>
    <n v="2571.4299999999998"/>
    <n v="582.89"/>
    <n v="-1988.54"/>
    <n v="-0.7733206814885103"/>
    <x v="0"/>
    <n v="-582.89"/>
    <x v="14"/>
  </r>
  <r>
    <s v="FIN-01634"/>
    <d v="2026-06-01T00:00:00"/>
    <x v="1"/>
    <x v="0"/>
    <x v="2"/>
    <x v="3"/>
    <s v="Islamabad"/>
    <s v="Travellink"/>
    <x v="1"/>
    <n v="7272.73"/>
    <n v="563.76"/>
    <n v="-6708.9699999999993"/>
    <n v="-0.92248302906886404"/>
    <x v="0"/>
    <n v="563.76"/>
    <x v="13"/>
  </r>
  <r>
    <s v="FIN-01635"/>
    <d v="2026-02-08T00:00:00"/>
    <x v="1"/>
    <x v="0"/>
    <x v="3"/>
    <x v="1"/>
    <s v="Islamabad"/>
    <s v="Shipfast"/>
    <x v="2"/>
    <n v="12125"/>
    <n v="12495.7"/>
    <n v="370.70000000000073"/>
    <n v="3.057319587628872E-2"/>
    <x v="1"/>
    <n v="12495.7"/>
    <x v="17"/>
  </r>
  <r>
    <s v="FIN-01636"/>
    <d v="2026-05-22T00:00:00"/>
    <x v="0"/>
    <x v="6"/>
    <x v="9"/>
    <x v="1"/>
    <s v="Karachi"/>
    <s v="Buildcare"/>
    <x v="1"/>
    <n v="7857.14"/>
    <n v="4529.18"/>
    <n v="-3327.96"/>
    <n v="-0.4235586994758907"/>
    <x v="0"/>
    <n v="-4529.18"/>
    <x v="16"/>
  </r>
  <r>
    <s v="FIN-01637"/>
    <d v="2026-02-22T00:00:00"/>
    <x v="0"/>
    <x v="0"/>
    <x v="9"/>
    <x v="1"/>
    <s v="Karachi"/>
    <s v="Dataserve"/>
    <x v="3"/>
    <n v="4850"/>
    <n v="4583.91"/>
    <n v="-266.09000000000015"/>
    <n v="-5.4863917525773229E-2"/>
    <x v="0"/>
    <n v="-4583.91"/>
    <x v="17"/>
  </r>
  <r>
    <s v="FIN-01638"/>
    <d v="2025-03-18T00:00:00"/>
    <x v="1"/>
    <x v="3"/>
    <x v="2"/>
    <x v="4"/>
    <s v="Karachi"/>
    <s v="Techsource"/>
    <x v="0"/>
    <n v="11428.57"/>
    <n v="377.33"/>
    <n v="-11051.24"/>
    <n v="-0.96698362087295264"/>
    <x v="0"/>
    <n v="377.33"/>
    <x v="2"/>
  </r>
  <r>
    <s v="FIN-01639"/>
    <d v="2025-03-22T00:00:00"/>
    <x v="0"/>
    <x v="2"/>
    <x v="0"/>
    <x v="4"/>
    <s v="Karachi"/>
    <s v="Travellink"/>
    <x v="1"/>
    <n v="4571.43"/>
    <n v="5632.57"/>
    <n v="1061.1399999999994"/>
    <n v="0.23212430246115534"/>
    <x v="1"/>
    <n v="-5632.57"/>
    <x v="2"/>
  </r>
  <r>
    <s v="FIN-01640"/>
    <d v="2026-06-30T00:00:00"/>
    <x v="1"/>
    <x v="0"/>
    <x v="3"/>
    <x v="0"/>
    <s v="Lahore"/>
    <s v="Techsource"/>
    <x v="3"/>
    <n v="10000"/>
    <n v="13774.46"/>
    <n v="3774.4599999999991"/>
    <n v="0.37744599999999989"/>
    <x v="1"/>
    <n v="13774.46"/>
    <x v="13"/>
  </r>
  <r>
    <s v="FIN-01641"/>
    <d v="2026-02-06T00:00:00"/>
    <x v="0"/>
    <x v="1"/>
    <x v="1"/>
    <x v="4"/>
    <s v="Islamabad"/>
    <s v="Adsphere"/>
    <x v="3"/>
    <n v="2182.5"/>
    <n v="1684.36"/>
    <n v="-498.1400000000001"/>
    <n v="-0.22824284077892329"/>
    <x v="0"/>
    <n v="-1684.36"/>
    <x v="17"/>
  </r>
  <r>
    <s v="FIN-01642"/>
    <d v="2025-03-10T00:00:00"/>
    <x v="1"/>
    <x v="6"/>
    <x v="12"/>
    <x v="3"/>
    <s v="Karachi"/>
    <s v="Shipfast"/>
    <x v="2"/>
    <n v="9090.91"/>
    <n v="6541.46"/>
    <n v="-2549.4499999999998"/>
    <n v="-0.28043947195605279"/>
    <x v="0"/>
    <n v="6541.46"/>
    <x v="2"/>
  </r>
  <r>
    <s v="FIN-01643"/>
    <d v="2025-01-27T00:00:00"/>
    <x v="1"/>
    <x v="0"/>
    <x v="3"/>
    <x v="4"/>
    <s v="Karachi"/>
    <s v="Officepro"/>
    <x v="0"/>
    <n v="11022.73"/>
    <n v="17636.14"/>
    <n v="6613.41"/>
    <n v="0.59997931546903538"/>
    <x v="1"/>
    <n v="17636.14"/>
    <x v="0"/>
  </r>
  <r>
    <s v="FIN-01644"/>
    <d v="2026-04-07T00:00:00"/>
    <x v="1"/>
    <x v="3"/>
    <x v="13"/>
    <x v="4"/>
    <s v="Islamabad"/>
    <s v="Buildcare"/>
    <x v="0"/>
    <n v="3333.33"/>
    <n v="2601.29"/>
    <n v="-732.04"/>
    <n v="-0.21961221961221961"/>
    <x v="0"/>
    <n v="2601.29"/>
    <x v="15"/>
  </r>
  <r>
    <s v="FIN-01645"/>
    <d v="2025-08-31T00:00:00"/>
    <x v="0"/>
    <x v="1"/>
    <x v="0"/>
    <x v="2"/>
    <s v="Multan"/>
    <s v="Travellink"/>
    <x v="1"/>
    <n v="2285.71"/>
    <n v="2992.05"/>
    <n v="706.34000000000015"/>
    <n v="0.30902432942061775"/>
    <x v="1"/>
    <n v="-2992.05"/>
    <x v="7"/>
  </r>
  <r>
    <s v="FIN-01646"/>
    <d v="2025-02-01T00:00:00"/>
    <x v="1"/>
    <x v="3"/>
    <x v="2"/>
    <x v="3"/>
    <s v="Karachi"/>
    <s v="Techsource"/>
    <x v="4"/>
    <n v="4850"/>
    <n v="2353.71"/>
    <n v="-2496.29"/>
    <n v="-0.51469896907216495"/>
    <x v="0"/>
    <n v="2353.71"/>
    <x v="1"/>
  </r>
  <r>
    <s v="FIN-01647"/>
    <d v="2025-02-13T00:00:00"/>
    <x v="1"/>
    <x v="3"/>
    <x v="13"/>
    <x v="3"/>
    <s v="Karachi"/>
    <s v="Legalworks"/>
    <x v="1"/>
    <n v="3233.33"/>
    <n v="4264.6899999999996"/>
    <n v="1031.3599999999997"/>
    <n v="0.31897764843056531"/>
    <x v="1"/>
    <n v="4264.6899999999996"/>
    <x v="1"/>
  </r>
  <r>
    <s v="FIN-01648"/>
    <d v="2025-01-31T00:00:00"/>
    <x v="1"/>
    <x v="1"/>
    <x v="3"/>
    <x v="0"/>
    <s v="Karachi"/>
    <s v="Legalworks"/>
    <x v="1"/>
    <n v="11022.73"/>
    <n v="11799.14"/>
    <n v="776.40999999999985"/>
    <n v="7.0437178448533158E-2"/>
    <x v="1"/>
    <n v="11799.14"/>
    <x v="0"/>
  </r>
  <r>
    <s v="FIN-01649"/>
    <d v="2025-03-01T00:00:00"/>
    <x v="1"/>
    <x v="3"/>
    <x v="3"/>
    <x v="1"/>
    <s v="Karachi"/>
    <s v="Shipfast"/>
    <x v="2"/>
    <n v="8064.52"/>
    <n v="2276.2600000000002"/>
    <n v="-5788.26"/>
    <n v="-0.71774389548293016"/>
    <x v="0"/>
    <n v="2276.2600000000002"/>
    <x v="2"/>
  </r>
  <r>
    <s v="FIN-01650"/>
    <d v="2026-02-03T00:00:00"/>
    <x v="1"/>
    <x v="4"/>
    <x v="3"/>
    <x v="1"/>
    <s v="Karachi"/>
    <s v="Adsphere"/>
    <x v="4"/>
    <n v="12125"/>
    <n v="21817.64"/>
    <n v="9692.64"/>
    <n v="0.79939298969072159"/>
    <x v="1"/>
    <n v="21817.64"/>
    <x v="17"/>
  </r>
  <r>
    <s v="FIN-01651"/>
    <d v="2026-06-18T00:00:00"/>
    <x v="1"/>
    <x v="3"/>
    <x v="12"/>
    <x v="2"/>
    <s v="Karachi"/>
    <s v="Dataserve"/>
    <x v="2"/>
    <n v="4761.8999999999996"/>
    <n v="7723.45"/>
    <n v="2961.55"/>
    <n v="0.62192612192612207"/>
    <x v="1"/>
    <n v="7723.45"/>
    <x v="13"/>
  </r>
  <r>
    <s v="FIN-01652"/>
    <d v="2025-01-10T00:00:00"/>
    <x v="0"/>
    <x v="2"/>
    <x v="5"/>
    <x v="2"/>
    <s v="Faisalabad"/>
    <s v="Shipfast"/>
    <x v="1"/>
    <n v="12610"/>
    <n v="7188.85"/>
    <n v="-5421.15"/>
    <n v="-0.4299088025376685"/>
    <x v="0"/>
    <n v="-7188.85"/>
    <x v="0"/>
  </r>
  <r>
    <s v="FIN-01653"/>
    <d v="2026-04-29T00:00:00"/>
    <x v="0"/>
    <x v="5"/>
    <x v="11"/>
    <x v="3"/>
    <s v="Islamabad"/>
    <s v="Urban Facilities"/>
    <x v="1"/>
    <n v="2750"/>
    <n v="2307.09"/>
    <n v="-442.90999999999985"/>
    <n v="-0.16105818181818177"/>
    <x v="0"/>
    <n v="-2307.09"/>
    <x v="15"/>
  </r>
  <r>
    <s v="FIN-01654"/>
    <d v="2026-03-28T00:00:00"/>
    <x v="1"/>
    <x v="4"/>
    <x v="12"/>
    <x v="1"/>
    <s v="Lahore"/>
    <s v="Shipfast"/>
    <x v="3"/>
    <n v="10000"/>
    <n v="3644.4"/>
    <n v="-6355.6"/>
    <n v="-0.63556000000000001"/>
    <x v="0"/>
    <n v="3644.4"/>
    <x v="14"/>
  </r>
  <r>
    <s v="FIN-01655"/>
    <d v="2026-02-08T00:00:00"/>
    <x v="0"/>
    <x v="2"/>
    <x v="5"/>
    <x v="3"/>
    <s v="Karachi"/>
    <s v="Markethub"/>
    <x v="1"/>
    <n v="6305"/>
    <n v="3548.72"/>
    <n v="-2756.28"/>
    <n v="-0.43715781126090408"/>
    <x v="0"/>
    <n v="-3548.72"/>
    <x v="17"/>
  </r>
  <r>
    <s v="FIN-01656"/>
    <d v="2025-12-08T00:00:00"/>
    <x v="1"/>
    <x v="3"/>
    <x v="13"/>
    <x v="0"/>
    <s v="Peshawar"/>
    <s v="Officepro"/>
    <x v="1"/>
    <n v="3500"/>
    <n v="1562.83"/>
    <n v="-1937.17"/>
    <n v="-0.55347714285714289"/>
    <x v="0"/>
    <n v="1562.83"/>
    <x v="11"/>
  </r>
  <r>
    <s v="FIN-01657"/>
    <d v="2025-10-05T00:00:00"/>
    <x v="1"/>
    <x v="3"/>
    <x v="2"/>
    <x v="4"/>
    <s v="Islamabad"/>
    <s v="Prime Supplies"/>
    <x v="1"/>
    <n v="4705.88"/>
    <n v="3312.3"/>
    <n v="-1393.58"/>
    <n v="-0.29613589806794899"/>
    <x v="0"/>
    <n v="3312.3"/>
    <x v="9"/>
  </r>
  <r>
    <s v="FIN-01658"/>
    <d v="2025-07-08T00:00:00"/>
    <x v="0"/>
    <x v="1"/>
    <x v="6"/>
    <x v="4"/>
    <s v="Karachi"/>
    <s v="Buildcare"/>
    <x v="4"/>
    <n v="6923.08"/>
    <n v="7012.6"/>
    <n v="89.520000000000437"/>
    <n v="1.2930660919706322E-2"/>
    <x v="1"/>
    <n v="-7012.6"/>
    <x v="6"/>
  </r>
  <r>
    <s v="FIN-01659"/>
    <d v="2025-12-31T00:00:00"/>
    <x v="0"/>
    <x v="5"/>
    <x v="11"/>
    <x v="1"/>
    <s v="Karachi"/>
    <s v="Adsphere"/>
    <x v="3"/>
    <n v="3300"/>
    <n v="1822.72"/>
    <n v="-1477.28"/>
    <n v="-0.44766060606060604"/>
    <x v="0"/>
    <n v="-1822.72"/>
    <x v="11"/>
  </r>
  <r>
    <s v="FIN-01660"/>
    <d v="2025-12-24T00:00:00"/>
    <x v="1"/>
    <x v="1"/>
    <x v="12"/>
    <x v="0"/>
    <s v="Karachi"/>
    <s v="Prime Supplies"/>
    <x v="3"/>
    <n v="9545.4500000000007"/>
    <n v="9771.42"/>
    <n v="225.96999999999935"/>
    <n v="2.3673058891932736E-2"/>
    <x v="1"/>
    <n v="9771.42"/>
    <x v="11"/>
  </r>
  <r>
    <s v="FIN-01661"/>
    <d v="2025-06-11T00:00:00"/>
    <x v="1"/>
    <x v="3"/>
    <x v="13"/>
    <x v="3"/>
    <s v="Multan"/>
    <s v="Powergrid"/>
    <x v="2"/>
    <n v="20000"/>
    <n v="4868.2"/>
    <n v="-15131.8"/>
    <n v="-0.75658999999999998"/>
    <x v="0"/>
    <n v="4868.2"/>
    <x v="5"/>
  </r>
  <r>
    <s v="FIN-01662"/>
    <d v="2026-06-05T00:00:00"/>
    <x v="0"/>
    <x v="6"/>
    <x v="8"/>
    <x v="4"/>
    <s v="Karachi"/>
    <s v="Shipfast"/>
    <x v="1"/>
    <n v="6000"/>
    <n v="5412.07"/>
    <n v="-587.93000000000029"/>
    <n v="-9.7988333333333386E-2"/>
    <x v="0"/>
    <n v="-5412.07"/>
    <x v="13"/>
  </r>
  <r>
    <s v="FIN-01663"/>
    <d v="2026-03-13T00:00:00"/>
    <x v="1"/>
    <x v="2"/>
    <x v="12"/>
    <x v="0"/>
    <s v="Peshawar"/>
    <s v="Buildcare"/>
    <x v="2"/>
    <n v="10000"/>
    <n v="11976.39"/>
    <n v="1976.3899999999994"/>
    <n v="0.19763899999999995"/>
    <x v="1"/>
    <n v="11976.39"/>
    <x v="14"/>
  </r>
  <r>
    <s v="FIN-01664"/>
    <d v="2025-04-16T00:00:00"/>
    <x v="1"/>
    <x v="3"/>
    <x v="13"/>
    <x v="2"/>
    <s v="Lahore"/>
    <s v="Peoplefirst"/>
    <x v="3"/>
    <n v="6666.67"/>
    <n v="841.99"/>
    <n v="-5824.68"/>
    <n v="-0.87370156314921843"/>
    <x v="0"/>
    <n v="841.99"/>
    <x v="3"/>
  </r>
  <r>
    <s v="FIN-01665"/>
    <d v="2025-09-17T00:00:00"/>
    <x v="0"/>
    <x v="2"/>
    <x v="6"/>
    <x v="2"/>
    <s v="Faisalabad"/>
    <s v="Techsource"/>
    <x v="1"/>
    <n v="7500"/>
    <n v="6339.89"/>
    <n v="-1160.1099999999997"/>
    <n v="-0.15468133333333328"/>
    <x v="0"/>
    <n v="-6339.89"/>
    <x v="8"/>
  </r>
  <r>
    <s v="FIN-01666"/>
    <d v="2025-02-11T00:00:00"/>
    <x v="1"/>
    <x v="1"/>
    <x v="2"/>
    <x v="3"/>
    <s v="Multan"/>
    <s v="Adsphere"/>
    <x v="1"/>
    <n v="4850"/>
    <n v="5310.42"/>
    <n v="460.42000000000007"/>
    <n v="9.4931958762886612E-2"/>
    <x v="1"/>
    <n v="5310.42"/>
    <x v="1"/>
  </r>
  <r>
    <s v="FIN-01667"/>
    <d v="2026-06-22T00:00:00"/>
    <x v="0"/>
    <x v="5"/>
    <x v="9"/>
    <x v="2"/>
    <s v="Lahore"/>
    <s v="Techsource"/>
    <x v="4"/>
    <n v="3666.67"/>
    <n v="4269.8100000000004"/>
    <n v="603.14000000000033"/>
    <n v="0.16449257773402032"/>
    <x v="1"/>
    <n v="-4269.8100000000004"/>
    <x v="13"/>
  </r>
  <r>
    <s v="FIN-01668"/>
    <d v="2026-06-23T00:00:00"/>
    <x v="0"/>
    <x v="3"/>
    <x v="5"/>
    <x v="4"/>
    <s v="Karachi"/>
    <s v="Officepro"/>
    <x v="1"/>
    <n v="5416.67"/>
    <n v="3599.97"/>
    <n v="-1816.7000000000003"/>
    <n v="-0.33539056283657676"/>
    <x v="0"/>
    <n v="-3599.97"/>
    <x v="13"/>
  </r>
  <r>
    <s v="FIN-01669"/>
    <d v="2026-02-19T00:00:00"/>
    <x v="0"/>
    <x v="1"/>
    <x v="8"/>
    <x v="1"/>
    <s v="Islamabad"/>
    <s v="Adsphere"/>
    <x v="2"/>
    <n v="2910"/>
    <n v="5110.3"/>
    <n v="2200.3000000000002"/>
    <n v="0.75611683848797262"/>
    <x v="1"/>
    <n v="-5110.3"/>
    <x v="17"/>
  </r>
  <r>
    <s v="FIN-01670"/>
    <d v="2026-02-08T00:00:00"/>
    <x v="0"/>
    <x v="6"/>
    <x v="8"/>
    <x v="4"/>
    <s v="Karachi"/>
    <s v="Markethub"/>
    <x v="1"/>
    <n v="2910"/>
    <n v="2097.7199999999998"/>
    <n v="-812.2800000000002"/>
    <n v="-0.27913402061855674"/>
    <x v="0"/>
    <n v="-2097.7199999999998"/>
    <x v="17"/>
  </r>
  <r>
    <s v="FIN-01671"/>
    <d v="2025-11-28T00:00:00"/>
    <x v="1"/>
    <x v="1"/>
    <x v="3"/>
    <x v="4"/>
    <s v="Karachi"/>
    <s v="Adsphere"/>
    <x v="4"/>
    <n v="13125"/>
    <n v="9721.7099999999991"/>
    <n v="-3403.2900000000009"/>
    <n v="-0.25929828571428576"/>
    <x v="0"/>
    <n v="9721.7099999999991"/>
    <x v="10"/>
  </r>
  <r>
    <s v="FIN-01672"/>
    <d v="2025-01-06T00:00:00"/>
    <x v="0"/>
    <x v="5"/>
    <x v="6"/>
    <x v="3"/>
    <s v="Peshawar"/>
    <s v="Markethub"/>
    <x v="2"/>
    <n v="7591.3"/>
    <n v="1422.63"/>
    <n v="-6168.67"/>
    <n v="-0.81259731534783242"/>
    <x v="0"/>
    <n v="-1422.63"/>
    <x v="0"/>
  </r>
  <r>
    <s v="FIN-01673"/>
    <d v="2026-03-25T00:00:00"/>
    <x v="0"/>
    <x v="1"/>
    <x v="8"/>
    <x v="2"/>
    <s v="Karachi"/>
    <s v="Cloudnet"/>
    <x v="1"/>
    <n v="6000"/>
    <n v="2446.9899999999998"/>
    <n v="-3553.01"/>
    <n v="-0.59216833333333341"/>
    <x v="0"/>
    <n v="-2446.9899999999998"/>
    <x v="14"/>
  </r>
  <r>
    <s v="FIN-01674"/>
    <d v="2025-06-30T00:00:00"/>
    <x v="0"/>
    <x v="1"/>
    <x v="6"/>
    <x v="0"/>
    <s v="Faisalabad"/>
    <s v="Peoplefirst"/>
    <x v="2"/>
    <n v="6428.57"/>
    <n v="9325.7099999999991"/>
    <n v="2897.1399999999994"/>
    <n v="0.4506663223702938"/>
    <x v="1"/>
    <n v="-9325.7099999999991"/>
    <x v="5"/>
  </r>
  <r>
    <s v="FIN-01675"/>
    <d v="2025-10-16T00:00:00"/>
    <x v="1"/>
    <x v="1"/>
    <x v="3"/>
    <x v="2"/>
    <s v="Islamabad"/>
    <s v="Softworks"/>
    <x v="1"/>
    <n v="8928.57"/>
    <n v="3799.65"/>
    <n v="-5128.92"/>
    <n v="-0.57443913191026108"/>
    <x v="0"/>
    <n v="3799.65"/>
    <x v="9"/>
  </r>
  <r>
    <s v="FIN-01676"/>
    <d v="2025-01-02T00:00:00"/>
    <x v="0"/>
    <x v="0"/>
    <x v="1"/>
    <x v="3"/>
    <s v="Karachi"/>
    <s v="Cloudnet"/>
    <x v="3"/>
    <n v="1746"/>
    <n v="181.38"/>
    <n v="-1564.62"/>
    <n v="-0.89611683848797241"/>
    <x v="0"/>
    <n v="-181.38"/>
    <x v="0"/>
  </r>
  <r>
    <s v="FIN-01677"/>
    <d v="2025-09-15T00:00:00"/>
    <x v="1"/>
    <x v="3"/>
    <x v="2"/>
    <x v="4"/>
    <s v="Karachi"/>
    <s v="Officepro"/>
    <x v="1"/>
    <n v="10000"/>
    <n v="5922.82"/>
    <n v="-4077.1800000000003"/>
    <n v="-0.40771800000000002"/>
    <x v="0"/>
    <n v="5922.82"/>
    <x v="8"/>
  </r>
  <r>
    <s v="FIN-01678"/>
    <d v="2025-02-22T00:00:00"/>
    <x v="0"/>
    <x v="6"/>
    <x v="6"/>
    <x v="1"/>
    <s v="Peshawar"/>
    <s v="Prime Supplies"/>
    <x v="4"/>
    <n v="11640"/>
    <n v="7433.03"/>
    <n v="-4206.97"/>
    <n v="-0.36142353951890038"/>
    <x v="0"/>
    <n v="-7433.03"/>
    <x v="1"/>
  </r>
  <r>
    <s v="FIN-01679"/>
    <d v="2025-08-19T00:00:00"/>
    <x v="1"/>
    <x v="4"/>
    <x v="13"/>
    <x v="0"/>
    <s v="Peshawar"/>
    <s v="Buildcare"/>
    <x v="4"/>
    <n v="6666.67"/>
    <n v="972.18"/>
    <n v="-5694.49"/>
    <n v="-0.85417307291346345"/>
    <x v="0"/>
    <n v="972.18"/>
    <x v="7"/>
  </r>
  <r>
    <s v="FIN-01680"/>
    <d v="2026-05-08T00:00:00"/>
    <x v="0"/>
    <x v="5"/>
    <x v="8"/>
    <x v="2"/>
    <s v="Karachi"/>
    <s v="Travellink"/>
    <x v="1"/>
    <n v="2727.27"/>
    <n v="2981.1"/>
    <n v="253.82999999999993"/>
    <n v="9.3071093071093042E-2"/>
    <x v="1"/>
    <n v="-2981.1"/>
    <x v="16"/>
  </r>
  <r>
    <s v="FIN-01681"/>
    <d v="2025-03-20T00:00:00"/>
    <x v="1"/>
    <x v="0"/>
    <x v="3"/>
    <x v="2"/>
    <s v="Peshawar"/>
    <s v="Softworks"/>
    <x v="1"/>
    <n v="8064.52"/>
    <n v="10341.01"/>
    <n v="2276.4899999999998"/>
    <n v="0.28228462450338021"/>
    <x v="1"/>
    <n v="10341.01"/>
    <x v="2"/>
  </r>
  <r>
    <s v="FIN-01682"/>
    <d v="2025-04-18T00:00:00"/>
    <x v="1"/>
    <x v="2"/>
    <x v="3"/>
    <x v="3"/>
    <s v="Karachi"/>
    <s v="Prime Supplies"/>
    <x v="3"/>
    <n v="11363.64"/>
    <n v="9502.94"/>
    <n v="-1860.6999999999989"/>
    <n v="-0.16374154760270468"/>
    <x v="0"/>
    <n v="9502.94"/>
    <x v="3"/>
  </r>
  <r>
    <s v="FIN-01683"/>
    <d v="2025-09-16T00:00:00"/>
    <x v="0"/>
    <x v="5"/>
    <x v="7"/>
    <x v="3"/>
    <s v="Lahore"/>
    <s v="Adsphere"/>
    <x v="1"/>
    <n v="3500"/>
    <n v="367.87"/>
    <n v="-3132.13"/>
    <n v="-0.89489428571428575"/>
    <x v="0"/>
    <n v="-367.87"/>
    <x v="8"/>
  </r>
  <r>
    <s v="FIN-01684"/>
    <d v="2025-06-06T00:00:00"/>
    <x v="1"/>
    <x v="6"/>
    <x v="3"/>
    <x v="4"/>
    <s v="Islamabad"/>
    <s v="Markethub"/>
    <x v="0"/>
    <n v="9615.3799999999992"/>
    <n v="4021.67"/>
    <n v="-5593.7099999999991"/>
    <n v="-0.58174611923813724"/>
    <x v="0"/>
    <n v="4021.67"/>
    <x v="5"/>
  </r>
  <r>
    <s v="FIN-01685"/>
    <d v="2026-01-19T00:00:00"/>
    <x v="1"/>
    <x v="4"/>
    <x v="3"/>
    <x v="3"/>
    <s v="Faisalabad"/>
    <s v="Techsource"/>
    <x v="2"/>
    <n v="11547.62"/>
    <n v="11563.02"/>
    <n v="15.399999999999636"/>
    <n v="1.3336081374343489E-3"/>
    <x v="1"/>
    <n v="11563.02"/>
    <x v="12"/>
  </r>
  <r>
    <s v="FIN-01686"/>
    <d v="2025-08-03T00:00:00"/>
    <x v="1"/>
    <x v="3"/>
    <x v="3"/>
    <x v="0"/>
    <s v="Karachi"/>
    <s v="Travellink"/>
    <x v="1"/>
    <n v="10416.67"/>
    <n v="10098.44"/>
    <n v="-318.22999999999956"/>
    <n v="-3.0550070223977484E-2"/>
    <x v="0"/>
    <n v="10098.44"/>
    <x v="7"/>
  </r>
  <r>
    <s v="FIN-01687"/>
    <d v="2025-02-26T00:00:00"/>
    <x v="0"/>
    <x v="1"/>
    <x v="6"/>
    <x v="2"/>
    <s v="Islamabad"/>
    <s v="Legalworks"/>
    <x v="4"/>
    <n v="11640"/>
    <n v="14961.77"/>
    <n v="3321.7700000000004"/>
    <n v="0.28537542955326461"/>
    <x v="1"/>
    <n v="-14961.77"/>
    <x v="1"/>
  </r>
  <r>
    <s v="FIN-01688"/>
    <d v="2025-06-13T00:00:00"/>
    <x v="0"/>
    <x v="0"/>
    <x v="6"/>
    <x v="2"/>
    <s v="Lahore"/>
    <s v="Cloudnet"/>
    <x v="5"/>
    <n v="6428.57"/>
    <n v="15062.12"/>
    <n v="8633.5500000000011"/>
    <n v="1.342996965110437"/>
    <x v="1"/>
    <n v="-15062.12"/>
    <x v="5"/>
  </r>
  <r>
    <s v="FIN-01689"/>
    <d v="2025-01-15T00:00:00"/>
    <x v="0"/>
    <x v="1"/>
    <x v="6"/>
    <x v="1"/>
    <s v="Karachi"/>
    <s v="Officepro"/>
    <x v="4"/>
    <n v="7591.3"/>
    <n v="0"/>
    <n v="-7591.3"/>
    <n v="-1"/>
    <x v="0"/>
    <n v="0"/>
    <x v="0"/>
  </r>
  <r>
    <s v="FIN-01690"/>
    <d v="2025-07-14T00:00:00"/>
    <x v="0"/>
    <x v="1"/>
    <x v="6"/>
    <x v="4"/>
    <s v="Karachi"/>
    <s v="Softworks"/>
    <x v="3"/>
    <n v="6923.08"/>
    <n v="6650.64"/>
    <n v="-272.4399999999996"/>
    <n v="-3.9352426954476855E-2"/>
    <x v="0"/>
    <n v="-6650.64"/>
    <x v="6"/>
  </r>
  <r>
    <s v="FIN-01691"/>
    <d v="2025-11-12T00:00:00"/>
    <x v="0"/>
    <x v="2"/>
    <x v="7"/>
    <x v="4"/>
    <s v="Islamabad"/>
    <s v="Peoplefirst"/>
    <x v="1"/>
    <n v="7350"/>
    <n v="1382.17"/>
    <n v="-5967.83"/>
    <n v="-0.81194965986394552"/>
    <x v="0"/>
    <n v="-1382.17"/>
    <x v="10"/>
  </r>
  <r>
    <s v="FIN-01692"/>
    <d v="2025-03-09T00:00:00"/>
    <x v="0"/>
    <x v="4"/>
    <x v="8"/>
    <x v="0"/>
    <s v="Lahore"/>
    <s v="Peoplefirst"/>
    <x v="4"/>
    <n v="3000"/>
    <n v="2021.84"/>
    <n v="-978.16000000000008"/>
    <n v="-0.32605333333333336"/>
    <x v="0"/>
    <n v="-2021.84"/>
    <x v="2"/>
  </r>
  <r>
    <s v="FIN-01693"/>
    <d v="2025-03-27T00:00:00"/>
    <x v="0"/>
    <x v="1"/>
    <x v="9"/>
    <x v="0"/>
    <s v="Karachi"/>
    <s v="Softworks"/>
    <x v="1"/>
    <n v="3928.57"/>
    <n v="1245.6400000000001"/>
    <n v="-2682.9300000000003"/>
    <n v="-0.68292788470104904"/>
    <x v="0"/>
    <n v="-1245.6400000000001"/>
    <x v="2"/>
  </r>
  <r>
    <s v="FIN-01694"/>
    <d v="2026-01-10T00:00:00"/>
    <x v="0"/>
    <x v="2"/>
    <x v="10"/>
    <x v="4"/>
    <s v="Karachi"/>
    <s v="Officepro"/>
    <x v="0"/>
    <n v="4850"/>
    <n v="2054.83"/>
    <n v="-2795.17"/>
    <n v="-0.57632371134020621"/>
    <x v="0"/>
    <n v="-2054.83"/>
    <x v="12"/>
  </r>
  <r>
    <s v="FIN-01695"/>
    <d v="2025-02-01T00:00:00"/>
    <x v="0"/>
    <x v="4"/>
    <x v="10"/>
    <x v="0"/>
    <s v="Multan"/>
    <s v="Techsource"/>
    <x v="0"/>
    <n v="5542.86"/>
    <n v="3247.71"/>
    <n v="-2295.1499999999996"/>
    <n v="-0.41407324016843289"/>
    <x v="0"/>
    <n v="-3247.71"/>
    <x v="1"/>
  </r>
  <r>
    <s v="FIN-01696"/>
    <d v="2025-02-27T00:00:00"/>
    <x v="1"/>
    <x v="3"/>
    <x v="2"/>
    <x v="1"/>
    <s v="Lahore"/>
    <s v="Techsource"/>
    <x v="1"/>
    <n v="4850"/>
    <n v="5380.61"/>
    <n v="530.60999999999967"/>
    <n v="0.10940412371134015"/>
    <x v="1"/>
    <n v="5380.61"/>
    <x v="1"/>
  </r>
  <r>
    <s v="FIN-01697"/>
    <d v="2025-05-27T00:00:00"/>
    <x v="0"/>
    <x v="4"/>
    <x v="9"/>
    <x v="3"/>
    <s v="Lahore"/>
    <s v="Travellink"/>
    <x v="2"/>
    <n v="5500"/>
    <n v="8644.44"/>
    <n v="3144.4400000000005"/>
    <n v="0.57171636363636369"/>
    <x v="1"/>
    <n v="-8644.44"/>
    <x v="4"/>
  </r>
  <r>
    <s v="FIN-01698"/>
    <d v="2026-03-29T00:00:00"/>
    <x v="0"/>
    <x v="2"/>
    <x v="0"/>
    <x v="4"/>
    <s v="Islamabad"/>
    <s v="Buildcare"/>
    <x v="3"/>
    <n v="4000"/>
    <n v="2691.68"/>
    <n v="-1308.3200000000002"/>
    <n v="-0.32708000000000004"/>
    <x v="0"/>
    <n v="-2691.68"/>
    <x v="14"/>
  </r>
  <r>
    <s v="FIN-01699"/>
    <d v="2026-01-20T00:00:00"/>
    <x v="0"/>
    <x v="1"/>
    <x v="4"/>
    <x v="3"/>
    <s v="Karachi"/>
    <s v="Legalworks"/>
    <x v="3"/>
    <n v="5432"/>
    <n v="2330.69"/>
    <n v="-3101.31"/>
    <n v="-0.57093335787923416"/>
    <x v="0"/>
    <n v="-2330.69"/>
    <x v="12"/>
  </r>
  <r>
    <s v="FIN-01700"/>
    <d v="2025-10-21T00:00:00"/>
    <x v="1"/>
    <x v="3"/>
    <x v="2"/>
    <x v="1"/>
    <s v="Karachi"/>
    <s v="Peoplefirst"/>
    <x v="3"/>
    <n v="4705.88"/>
    <n v="2660.75"/>
    <n v="-2045.13"/>
    <n v="-0.43459034229517118"/>
    <x v="0"/>
    <n v="2660.75"/>
    <x v="9"/>
  </r>
  <r>
    <s v="FIN-01701"/>
    <d v="2026-06-14T00:00:00"/>
    <x v="1"/>
    <x v="3"/>
    <x v="3"/>
    <x v="3"/>
    <s v="Karachi"/>
    <s v="Peoplefirst"/>
    <x v="2"/>
    <n v="10000"/>
    <n v="5309.44"/>
    <n v="-4690.5600000000004"/>
    <n v="-0.46905600000000003"/>
    <x v="0"/>
    <n v="5309.44"/>
    <x v="13"/>
  </r>
  <r>
    <s v="FIN-01702"/>
    <d v="2026-05-20T00:00:00"/>
    <x v="1"/>
    <x v="4"/>
    <x v="2"/>
    <x v="3"/>
    <s v="Multan"/>
    <s v="Travellink"/>
    <x v="1"/>
    <n v="6153.85"/>
    <n v="4953.17"/>
    <n v="-1200.6800000000003"/>
    <n v="-0.19511037805601375"/>
    <x v="0"/>
    <n v="4953.17"/>
    <x v="16"/>
  </r>
  <r>
    <s v="FIN-01703"/>
    <d v="2026-03-21T00:00:00"/>
    <x v="0"/>
    <x v="0"/>
    <x v="6"/>
    <x v="3"/>
    <s v="Faisalabad"/>
    <s v="Officepro"/>
    <x v="2"/>
    <n v="7200"/>
    <n v="11310.32"/>
    <n v="4110.32"/>
    <n v="0.57087777777777771"/>
    <x v="1"/>
    <n v="-11310.32"/>
    <x v="14"/>
  </r>
  <r>
    <s v="FIN-01704"/>
    <d v="2026-06-10T00:00:00"/>
    <x v="0"/>
    <x v="2"/>
    <x v="5"/>
    <x v="2"/>
    <s v="Karachi"/>
    <s v="Techsource"/>
    <x v="2"/>
    <n v="5416.67"/>
    <n v="10982.18"/>
    <n v="5565.51"/>
    <n v="1.0274781369365311"/>
    <x v="1"/>
    <n v="-10982.18"/>
    <x v="13"/>
  </r>
  <r>
    <s v="FIN-01705"/>
    <d v="2025-06-05T00:00:00"/>
    <x v="1"/>
    <x v="3"/>
    <x v="2"/>
    <x v="4"/>
    <s v="Multan"/>
    <s v="Urban Facilities"/>
    <x v="1"/>
    <n v="5333.33"/>
    <n v="153.11000000000001"/>
    <n v="-5180.22"/>
    <n v="-0.97129185705741072"/>
    <x v="0"/>
    <n v="153.11000000000001"/>
    <x v="5"/>
  </r>
  <r>
    <s v="FIN-01706"/>
    <d v="2025-02-15T00:00:00"/>
    <x v="0"/>
    <x v="4"/>
    <x v="1"/>
    <x v="1"/>
    <s v="Islamabad"/>
    <s v="Officepro"/>
    <x v="0"/>
    <n v="1940"/>
    <n v="452.5"/>
    <n v="-1487.5"/>
    <n v="-0.76675257731958768"/>
    <x v="0"/>
    <n v="-452.5"/>
    <x v="1"/>
  </r>
  <r>
    <s v="FIN-01707"/>
    <d v="2026-04-25T00:00:00"/>
    <x v="0"/>
    <x v="2"/>
    <x v="8"/>
    <x v="2"/>
    <s v="Karachi"/>
    <s v="Officepro"/>
    <x v="1"/>
    <n v="10000"/>
    <n v="1768.92"/>
    <n v="-8231.08"/>
    <n v="-0.82310799999999995"/>
    <x v="0"/>
    <n v="-1768.92"/>
    <x v="15"/>
  </r>
  <r>
    <s v="FIN-01708"/>
    <d v="2025-11-19T00:00:00"/>
    <x v="0"/>
    <x v="4"/>
    <x v="11"/>
    <x v="3"/>
    <s v="Peshawar"/>
    <s v="Urban Facilities"/>
    <x v="4"/>
    <n v="2310"/>
    <n v="2518.13"/>
    <n v="208.13000000000011"/>
    <n v="9.0099567099567152E-2"/>
    <x v="1"/>
    <n v="-2518.13"/>
    <x v="10"/>
  </r>
  <r>
    <s v="FIN-01709"/>
    <d v="2026-06-23T00:00:00"/>
    <x v="1"/>
    <x v="1"/>
    <x v="12"/>
    <x v="1"/>
    <s v="Multan"/>
    <s v="Softworks"/>
    <x v="5"/>
    <n v="4761.8999999999996"/>
    <n v="11438.75"/>
    <n v="6676.85"/>
    <n v="1.4021399021399024"/>
    <x v="1"/>
    <n v="11438.75"/>
    <x v="13"/>
  </r>
  <r>
    <s v="FIN-01710"/>
    <d v="2025-11-11T00:00:00"/>
    <x v="1"/>
    <x v="1"/>
    <x v="12"/>
    <x v="2"/>
    <s v="Lahore"/>
    <s v="Cloudnet"/>
    <x v="1"/>
    <n v="9545.4500000000007"/>
    <n v="9077.67"/>
    <n v="-467.78000000000065"/>
    <n v="-4.9005547145498707E-2"/>
    <x v="0"/>
    <n v="9077.67"/>
    <x v="10"/>
  </r>
  <r>
    <s v="FIN-01711"/>
    <d v="2025-03-02T00:00:00"/>
    <x v="1"/>
    <x v="5"/>
    <x v="3"/>
    <x v="4"/>
    <s v="Lahore"/>
    <s v="Adsphere"/>
    <x v="4"/>
    <n v="8064.52"/>
    <n v="8406.67"/>
    <n v="342.14999999999964"/>
    <n v="4.2426579635241726E-2"/>
    <x v="1"/>
    <n v="8406.67"/>
    <x v="2"/>
  </r>
  <r>
    <s v="FIN-01712"/>
    <d v="2025-06-27T00:00:00"/>
    <x v="1"/>
    <x v="2"/>
    <x v="3"/>
    <x v="4"/>
    <s v="Karachi"/>
    <s v="Travellink"/>
    <x v="4"/>
    <n v="9615.3799999999992"/>
    <n v="3122.99"/>
    <n v="-6492.3899999999994"/>
    <n v="-0.67520888410026436"/>
    <x v="0"/>
    <n v="3122.99"/>
    <x v="5"/>
  </r>
  <r>
    <s v="FIN-01713"/>
    <d v="2025-07-01T00:00:00"/>
    <x v="1"/>
    <x v="3"/>
    <x v="3"/>
    <x v="2"/>
    <s v="Karachi"/>
    <s v="Adsphere"/>
    <x v="4"/>
    <n v="12500"/>
    <n v="21815.85"/>
    <n v="9315.8499999999985"/>
    <n v="0.74526799999999993"/>
    <x v="1"/>
    <n v="21815.85"/>
    <x v="6"/>
  </r>
  <r>
    <s v="FIN-01714"/>
    <d v="2026-03-09T00:00:00"/>
    <x v="0"/>
    <x v="5"/>
    <x v="6"/>
    <x v="4"/>
    <s v="Karachi"/>
    <s v="Officepro"/>
    <x v="3"/>
    <n v="7200"/>
    <n v="17033.810000000001"/>
    <n v="9833.8100000000013"/>
    <n v="1.3658069444444447"/>
    <x v="1"/>
    <n v="-17033.810000000001"/>
    <x v="14"/>
  </r>
  <r>
    <s v="FIN-01715"/>
    <d v="2025-07-13T00:00:00"/>
    <x v="0"/>
    <x v="4"/>
    <x v="11"/>
    <x v="4"/>
    <s v="Islamabad"/>
    <s v="Urban Facilities"/>
    <x v="1"/>
    <n v="2750"/>
    <n v="2637.31"/>
    <n v="-112.69000000000005"/>
    <n v="-4.0978181818181837E-2"/>
    <x v="0"/>
    <n v="-2637.31"/>
    <x v="6"/>
  </r>
  <r>
    <s v="FIN-01716"/>
    <d v="2025-12-15T00:00:00"/>
    <x v="1"/>
    <x v="6"/>
    <x v="12"/>
    <x v="0"/>
    <s v="Lahore"/>
    <s v="Legalworks"/>
    <x v="3"/>
    <n v="9545.4500000000007"/>
    <n v="15342.49"/>
    <n v="5797.0399999999991"/>
    <n v="0.60730924157582922"/>
    <x v="1"/>
    <n v="15342.49"/>
    <x v="11"/>
  </r>
  <r>
    <s v="FIN-01717"/>
    <d v="2026-02-27T00:00:00"/>
    <x v="0"/>
    <x v="5"/>
    <x v="11"/>
    <x v="1"/>
    <s v="Faisalabad"/>
    <s v="Techsource"/>
    <x v="2"/>
    <n v="2667.5"/>
    <n v="1850.39"/>
    <n v="-817.1099999999999"/>
    <n v="-0.30632052483598871"/>
    <x v="0"/>
    <n v="-1850.39"/>
    <x v="17"/>
  </r>
  <r>
    <s v="FIN-01718"/>
    <d v="2026-01-05T00:00:00"/>
    <x v="0"/>
    <x v="6"/>
    <x v="10"/>
    <x v="3"/>
    <s v="Islamabad"/>
    <s v="Legalworks"/>
    <x v="0"/>
    <n v="4850"/>
    <n v="3330.37"/>
    <n v="-1519.63"/>
    <n v="-0.31332577319587629"/>
    <x v="0"/>
    <n v="-3330.37"/>
    <x v="12"/>
  </r>
  <r>
    <s v="FIN-01719"/>
    <d v="2026-04-09T00:00:00"/>
    <x v="0"/>
    <x v="5"/>
    <x v="0"/>
    <x v="3"/>
    <s v="Islamabad"/>
    <s v="Shipfast"/>
    <x v="4"/>
    <n v="5333.33"/>
    <n v="1304.47"/>
    <n v="-4028.8599999999997"/>
    <n v="-0.75541172213232632"/>
    <x v="0"/>
    <n v="-1304.47"/>
    <x v="15"/>
  </r>
  <r>
    <s v="FIN-01720"/>
    <d v="2025-10-30T00:00:00"/>
    <x v="1"/>
    <x v="0"/>
    <x v="3"/>
    <x v="2"/>
    <s v="Karachi"/>
    <s v="Prime Supplies"/>
    <x v="4"/>
    <n v="8928.57"/>
    <n v="23509.57"/>
    <n v="14581"/>
    <n v="1.6330722612915618"/>
    <x v="1"/>
    <n v="23509.57"/>
    <x v="9"/>
  </r>
  <r>
    <s v="FIN-01721"/>
    <d v="2025-12-10T00:00:00"/>
    <x v="0"/>
    <x v="2"/>
    <x v="9"/>
    <x v="3"/>
    <s v="Islamabad"/>
    <s v="Buildcare"/>
    <x v="4"/>
    <n v="4125"/>
    <n v="6003.61"/>
    <n v="1878.6099999999997"/>
    <n v="0.45542060606060597"/>
    <x v="1"/>
    <n v="-6003.61"/>
    <x v="11"/>
  </r>
  <r>
    <s v="FIN-01722"/>
    <d v="2026-04-22T00:00:00"/>
    <x v="1"/>
    <x v="3"/>
    <x v="13"/>
    <x v="3"/>
    <s v="Multan"/>
    <s v="Travellink"/>
    <x v="4"/>
    <n v="3333.33"/>
    <n v="3070.05"/>
    <n v="-263.27999999999975"/>
    <n v="-7.8984078984078915E-2"/>
    <x v="0"/>
    <n v="3070.05"/>
    <x v="15"/>
  </r>
  <r>
    <s v="FIN-01723"/>
    <d v="2025-05-17T00:00:00"/>
    <x v="0"/>
    <x v="6"/>
    <x v="6"/>
    <x v="0"/>
    <s v="Islamabad"/>
    <s v="Buildcare"/>
    <x v="1"/>
    <n v="7200"/>
    <n v="7678.42"/>
    <n v="478.42000000000007"/>
    <n v="6.6447222222222227E-2"/>
    <x v="1"/>
    <n v="-7678.42"/>
    <x v="4"/>
  </r>
  <r>
    <s v="FIN-01724"/>
    <d v="2025-05-25T00:00:00"/>
    <x v="0"/>
    <x v="2"/>
    <x v="7"/>
    <x v="3"/>
    <s v="Lahore"/>
    <s v="Dataserve"/>
    <x v="2"/>
    <n v="3888.89"/>
    <n v="831.65"/>
    <n v="-3057.24"/>
    <n v="-0.78614720395794169"/>
    <x v="0"/>
    <n v="-831.65"/>
    <x v="4"/>
  </r>
  <r>
    <s v="FIN-01725"/>
    <d v="2026-01-05T00:00:00"/>
    <x v="0"/>
    <x v="6"/>
    <x v="6"/>
    <x v="2"/>
    <s v="Karachi"/>
    <s v="Cloudnet"/>
    <x v="5"/>
    <n v="6715.38"/>
    <n v="1631.53"/>
    <n v="-5083.8500000000004"/>
    <n v="-0.75704576658357392"/>
    <x v="0"/>
    <n v="-1631.53"/>
    <x v="12"/>
  </r>
  <r>
    <s v="FIN-01726"/>
    <d v="2025-03-09T00:00:00"/>
    <x v="0"/>
    <x v="6"/>
    <x v="6"/>
    <x v="4"/>
    <s v="Karachi"/>
    <s v="Powergrid"/>
    <x v="4"/>
    <n v="6000"/>
    <n v="11011.26"/>
    <n v="5011.26"/>
    <n v="0.83521000000000001"/>
    <x v="1"/>
    <n v="-11011.26"/>
    <x v="2"/>
  </r>
  <r>
    <s v="FIN-01727"/>
    <d v="2025-02-08T00:00:00"/>
    <x v="0"/>
    <x v="0"/>
    <x v="6"/>
    <x v="3"/>
    <s v="Lahore"/>
    <s v="Peoplefirst"/>
    <x v="2"/>
    <n v="11640"/>
    <n v="12714.72"/>
    <n v="1074.7199999999993"/>
    <n v="9.2329896907216435E-2"/>
    <x v="1"/>
    <n v="-12714.72"/>
    <x v="1"/>
  </r>
  <r>
    <s v="FIN-01728"/>
    <d v="2026-02-17T00:00:00"/>
    <x v="0"/>
    <x v="1"/>
    <x v="9"/>
    <x v="0"/>
    <s v="Karachi"/>
    <s v="Legalworks"/>
    <x v="2"/>
    <n v="4850"/>
    <n v="8969.9500000000007"/>
    <n v="4119.9500000000007"/>
    <n v="0.84947422680412388"/>
    <x v="1"/>
    <n v="-8969.9500000000007"/>
    <x v="17"/>
  </r>
  <r>
    <s v="FIN-01729"/>
    <d v="2025-03-07T00:00:00"/>
    <x v="0"/>
    <x v="0"/>
    <x v="9"/>
    <x v="4"/>
    <s v="Karachi"/>
    <s v="Officepro"/>
    <x v="1"/>
    <n v="3928.57"/>
    <n v="3886.57"/>
    <n v="-42"/>
    <n v="-1.069091297851381E-2"/>
    <x v="0"/>
    <n v="-3886.57"/>
    <x v="2"/>
  </r>
  <r>
    <s v="FIN-01730"/>
    <d v="2026-06-25T00:00:00"/>
    <x v="0"/>
    <x v="1"/>
    <x v="5"/>
    <x v="2"/>
    <s v="Lahore"/>
    <s v="Buildcare"/>
    <x v="4"/>
    <n v="5416.67"/>
    <n v="10168.4"/>
    <n v="4751.7299999999996"/>
    <n v="0.87724192169727888"/>
    <x v="1"/>
    <n v="-10168.4"/>
    <x v="13"/>
  </r>
  <r>
    <s v="FIN-01731"/>
    <d v="2026-04-20T00:00:00"/>
    <x v="0"/>
    <x v="6"/>
    <x v="5"/>
    <x v="4"/>
    <s v="Faisalabad"/>
    <s v="Officepro"/>
    <x v="1"/>
    <n v="10833.33"/>
    <n v="9586.68"/>
    <n v="-1246.6499999999996"/>
    <n v="-0.11507542002320613"/>
    <x v="0"/>
    <n v="-9586.68"/>
    <x v="15"/>
  </r>
  <r>
    <s v="FIN-01732"/>
    <d v="2025-07-11T00:00:00"/>
    <x v="1"/>
    <x v="4"/>
    <x v="12"/>
    <x v="2"/>
    <s v="Karachi"/>
    <s v="Prime Supplies"/>
    <x v="3"/>
    <n v="7142.86"/>
    <n v="5204.88"/>
    <n v="-1937.9799999999996"/>
    <n v="-0.27131709147316335"/>
    <x v="0"/>
    <n v="5204.88"/>
    <x v="6"/>
  </r>
  <r>
    <s v="FIN-01733"/>
    <d v="2025-03-17T00:00:00"/>
    <x v="1"/>
    <x v="0"/>
    <x v="12"/>
    <x v="1"/>
    <s v="Lahore"/>
    <s v="Prime Supplies"/>
    <x v="4"/>
    <n v="9090.91"/>
    <n v="8418.73"/>
    <n v="-672.18000000000029"/>
    <n v="-7.3939792606020779E-2"/>
    <x v="0"/>
    <n v="8418.73"/>
    <x v="2"/>
  </r>
  <r>
    <s v="FIN-01734"/>
    <d v="2025-04-11T00:00:00"/>
    <x v="1"/>
    <x v="0"/>
    <x v="12"/>
    <x v="0"/>
    <s v="Karachi"/>
    <s v="Adsphere"/>
    <x v="4"/>
    <n v="14285.71"/>
    <n v="2869.61"/>
    <n v="-11416.099999999999"/>
    <n v="-0.7991272397381719"/>
    <x v="0"/>
    <n v="2869.61"/>
    <x v="3"/>
  </r>
  <r>
    <s v="FIN-01735"/>
    <d v="2025-09-11T00:00:00"/>
    <x v="0"/>
    <x v="2"/>
    <x v="7"/>
    <x v="4"/>
    <s v="Faisalabad"/>
    <s v="Prime Supplies"/>
    <x v="4"/>
    <n v="3500"/>
    <n v="942.5"/>
    <n v="-2557.5"/>
    <n v="-0.73071428571428576"/>
    <x v="0"/>
    <n v="-942.5"/>
    <x v="8"/>
  </r>
  <r>
    <s v="FIN-01736"/>
    <d v="2025-04-19T00:00:00"/>
    <x v="1"/>
    <x v="3"/>
    <x v="3"/>
    <x v="3"/>
    <s v="Peshawar"/>
    <s v="Markethub"/>
    <x v="2"/>
    <n v="11363.64"/>
    <n v="12788.86"/>
    <n v="1425.2200000000012"/>
    <n v="0.12541931986581775"/>
    <x v="1"/>
    <n v="12788.86"/>
    <x v="3"/>
  </r>
  <r>
    <s v="FIN-01737"/>
    <d v="2025-07-10T00:00:00"/>
    <x v="1"/>
    <x v="1"/>
    <x v="2"/>
    <x v="3"/>
    <s v="Karachi"/>
    <s v="Markethub"/>
    <x v="0"/>
    <n v="13333.33"/>
    <n v="7104.96"/>
    <n v="-6228.37"/>
    <n v="-0.46712786678196672"/>
    <x v="0"/>
    <n v="7104.96"/>
    <x v="6"/>
  </r>
  <r>
    <s v="FIN-01738"/>
    <d v="2025-09-13T00:00:00"/>
    <x v="1"/>
    <x v="4"/>
    <x v="3"/>
    <x v="3"/>
    <s v="Islamabad"/>
    <s v="Travellink"/>
    <x v="4"/>
    <n v="11904.76"/>
    <n v="8604.56"/>
    <n v="-3300.2000000000007"/>
    <n v="-0.27721684435469518"/>
    <x v="0"/>
    <n v="8604.56"/>
    <x v="8"/>
  </r>
  <r>
    <s v="FIN-01739"/>
    <d v="2026-06-02T00:00:00"/>
    <x v="0"/>
    <x v="5"/>
    <x v="1"/>
    <x v="2"/>
    <s v="Islamabad"/>
    <s v="Techsource"/>
    <x v="1"/>
    <n v="3000"/>
    <n v="848.06"/>
    <n v="-2151.94"/>
    <n v="-0.71731333333333336"/>
    <x v="0"/>
    <n v="-848.06"/>
    <x v="13"/>
  </r>
  <r>
    <s v="FIN-01740"/>
    <d v="2025-04-05T00:00:00"/>
    <x v="1"/>
    <x v="2"/>
    <x v="13"/>
    <x v="3"/>
    <s v="Karachi"/>
    <s v="Prime Supplies"/>
    <x v="2"/>
    <n v="6666.67"/>
    <n v="424.61"/>
    <n v="-6242.06"/>
    <n v="-0.93630853184573415"/>
    <x v="0"/>
    <n v="424.61"/>
    <x v="3"/>
  </r>
  <r>
    <s v="FIN-01741"/>
    <d v="2025-12-02T00:00:00"/>
    <x v="0"/>
    <x v="1"/>
    <x v="1"/>
    <x v="3"/>
    <s v="Karachi"/>
    <s v="Softworks"/>
    <x v="4"/>
    <n v="2100"/>
    <n v="1217.92"/>
    <n v="-882.07999999999993"/>
    <n v="-0.42003809523809521"/>
    <x v="0"/>
    <n v="-1217.92"/>
    <x v="11"/>
  </r>
  <r>
    <s v="FIN-01742"/>
    <d v="2025-04-15T00:00:00"/>
    <x v="0"/>
    <x v="6"/>
    <x v="0"/>
    <x v="3"/>
    <s v="Faisalabad"/>
    <s v="Markethub"/>
    <x v="4"/>
    <n v="5333.33"/>
    <n v="4138.97"/>
    <n v="-1194.3599999999997"/>
    <n v="-0.22394263996414993"/>
    <x v="0"/>
    <n v="-4138.97"/>
    <x v="3"/>
  </r>
  <r>
    <s v="FIN-01743"/>
    <d v="2025-09-21T00:00:00"/>
    <x v="1"/>
    <x v="1"/>
    <x v="12"/>
    <x v="2"/>
    <s v="Islamabad"/>
    <s v="Dataserve"/>
    <x v="1"/>
    <n v="7142.86"/>
    <n v="13958.79"/>
    <n v="6815.9300000000012"/>
    <n v="0.95422981830807285"/>
    <x v="1"/>
    <n v="13958.79"/>
    <x v="8"/>
  </r>
  <r>
    <s v="FIN-01744"/>
    <d v="2025-01-09T00:00:00"/>
    <x v="0"/>
    <x v="3"/>
    <x v="8"/>
    <x v="2"/>
    <s v="Multan"/>
    <s v="Techsource"/>
    <x v="0"/>
    <n v="3637.5"/>
    <n v="7608.46"/>
    <n v="3970.96"/>
    <n v="1.0916728522336769"/>
    <x v="1"/>
    <n v="-7608.46"/>
    <x v="0"/>
  </r>
  <r>
    <s v="FIN-01745"/>
    <d v="2026-06-12T00:00:00"/>
    <x v="0"/>
    <x v="6"/>
    <x v="10"/>
    <x v="2"/>
    <s v="Faisalabad"/>
    <s v="Prime Supplies"/>
    <x v="1"/>
    <n v="3076.92"/>
    <n v="1479.46"/>
    <n v="-1597.46"/>
    <n v="-0.51917501917501918"/>
    <x v="0"/>
    <n v="-1479.46"/>
    <x v="13"/>
  </r>
  <r>
    <s v="FIN-01746"/>
    <d v="2025-06-27T00:00:00"/>
    <x v="1"/>
    <x v="4"/>
    <x v="2"/>
    <x v="0"/>
    <s v="Lahore"/>
    <s v="Prime Supplies"/>
    <x v="3"/>
    <n v="5333.33"/>
    <n v="6740.9"/>
    <n v="1407.5699999999997"/>
    <n v="0.2639195399497124"/>
    <x v="1"/>
    <n v="6740.9"/>
    <x v="5"/>
  </r>
  <r>
    <s v="FIN-01747"/>
    <d v="2025-02-08T00:00:00"/>
    <x v="0"/>
    <x v="2"/>
    <x v="8"/>
    <x v="2"/>
    <s v="Karachi"/>
    <s v="Cloudnet"/>
    <x v="2"/>
    <n v="7275"/>
    <n v="681.06"/>
    <n v="-6593.9400000000005"/>
    <n v="-0.90638350515463928"/>
    <x v="0"/>
    <n v="-681.06"/>
    <x v="1"/>
  </r>
  <r>
    <s v="FIN-01748"/>
    <d v="2025-03-28T00:00:00"/>
    <x v="0"/>
    <x v="1"/>
    <x v="10"/>
    <x v="4"/>
    <s v="Faisalabad"/>
    <s v="Cloudnet"/>
    <x v="3"/>
    <n v="8000"/>
    <n v="3657.74"/>
    <n v="-4342.26"/>
    <n v="-0.54278250000000006"/>
    <x v="0"/>
    <n v="-3657.74"/>
    <x v="2"/>
  </r>
  <r>
    <s v="FIN-01749"/>
    <d v="2025-05-26T00:00:00"/>
    <x v="0"/>
    <x v="1"/>
    <x v="6"/>
    <x v="4"/>
    <s v="Islamabad"/>
    <s v="Urban Facilities"/>
    <x v="1"/>
    <n v="7200"/>
    <n v="15218.13"/>
    <n v="8018.1299999999992"/>
    <n v="1.1136291666666664"/>
    <x v="1"/>
    <n v="-15218.13"/>
    <x v="4"/>
  </r>
  <r>
    <s v="FIN-01750"/>
    <d v="2025-01-13T00:00:00"/>
    <x v="0"/>
    <x v="2"/>
    <x v="1"/>
    <x v="2"/>
    <s v="Karachi"/>
    <s v="Shipfast"/>
    <x v="4"/>
    <n v="1746"/>
    <n v="530.98"/>
    <n v="-1215.02"/>
    <n v="-0.69588774341351656"/>
    <x v="0"/>
    <n v="-530.98"/>
    <x v="0"/>
  </r>
  <r>
    <s v="FIN-01751"/>
    <d v="2025-05-28T00:00:00"/>
    <x v="0"/>
    <x v="2"/>
    <x v="5"/>
    <x v="1"/>
    <s v="Multan"/>
    <s v="Shipfast"/>
    <x v="2"/>
    <n v="4642.8599999999997"/>
    <n v="2872.3"/>
    <n v="-1770.5599999999995"/>
    <n v="-0.38135114993775382"/>
    <x v="0"/>
    <n v="-2872.3"/>
    <x v="4"/>
  </r>
  <r>
    <s v="FIN-01752"/>
    <d v="2026-05-19T00:00:00"/>
    <x v="0"/>
    <x v="5"/>
    <x v="0"/>
    <x v="0"/>
    <s v="Faisalabad"/>
    <s v="Urban Facilities"/>
    <x v="4"/>
    <n v="8000"/>
    <n v="5543.25"/>
    <n v="-2456.75"/>
    <n v="-0.30709375"/>
    <x v="0"/>
    <n v="-5543.25"/>
    <x v="16"/>
  </r>
  <r>
    <s v="FIN-01753"/>
    <d v="2026-05-14T00:00:00"/>
    <x v="1"/>
    <x v="0"/>
    <x v="3"/>
    <x v="4"/>
    <s v="Islamabad"/>
    <s v="Travellink"/>
    <x v="4"/>
    <n v="10869.57"/>
    <n v="17656.91"/>
    <n v="6787.34"/>
    <n v="0.62443500524859774"/>
    <x v="1"/>
    <n v="17656.91"/>
    <x v="16"/>
  </r>
  <r>
    <s v="FIN-01754"/>
    <d v="2025-06-30T00:00:00"/>
    <x v="0"/>
    <x v="0"/>
    <x v="7"/>
    <x v="1"/>
    <s v="Karachi"/>
    <s v="Shipfast"/>
    <x v="3"/>
    <n v="4375"/>
    <n v="3682.54"/>
    <n v="-692.46"/>
    <n v="-0.15827657142857143"/>
    <x v="0"/>
    <n v="-3682.54"/>
    <x v="5"/>
  </r>
  <r>
    <s v="FIN-01755"/>
    <d v="2025-05-12T00:00:00"/>
    <x v="0"/>
    <x v="0"/>
    <x v="7"/>
    <x v="2"/>
    <s v="Multan"/>
    <s v="Cloudnet"/>
    <x v="4"/>
    <n v="3888.89"/>
    <n v="4568.78"/>
    <n v="679.88999999999987"/>
    <n v="0.17482880719176935"/>
    <x v="1"/>
    <n v="-4568.78"/>
    <x v="4"/>
  </r>
  <r>
    <s v="FIN-01756"/>
    <d v="2025-03-02T00:00:00"/>
    <x v="0"/>
    <x v="1"/>
    <x v="5"/>
    <x v="4"/>
    <s v="Peshawar"/>
    <s v="Shipfast"/>
    <x v="2"/>
    <n v="5000"/>
    <n v="10241.370000000001"/>
    <n v="5241.3700000000008"/>
    <n v="1.0482740000000002"/>
    <x v="1"/>
    <n v="-10241.370000000001"/>
    <x v="2"/>
  </r>
  <r>
    <s v="FIN-01757"/>
    <d v="2026-03-07T00:00:00"/>
    <x v="1"/>
    <x v="0"/>
    <x v="3"/>
    <x v="1"/>
    <s v="Karachi"/>
    <s v="Buildcare"/>
    <x v="1"/>
    <n v="11363.64"/>
    <n v="23791.41"/>
    <n v="12427.77"/>
    <n v="1.0936434100341088"/>
    <x v="1"/>
    <n v="23791.41"/>
    <x v="14"/>
  </r>
  <r>
    <s v="FIN-01758"/>
    <d v="2026-06-26T00:00:00"/>
    <x v="0"/>
    <x v="4"/>
    <x v="6"/>
    <x v="4"/>
    <s v="Faisalabad"/>
    <s v="Legalworks"/>
    <x v="4"/>
    <n v="8571.43"/>
    <n v="3432.23"/>
    <n v="-5139.2000000000007"/>
    <n v="-0.59957323340446111"/>
    <x v="0"/>
    <n v="-3432.23"/>
    <x v="13"/>
  </r>
  <r>
    <s v="FIN-01759"/>
    <d v="2025-11-04T00:00:00"/>
    <x v="0"/>
    <x v="1"/>
    <x v="10"/>
    <x v="1"/>
    <s v="Islamabad"/>
    <s v="Buildcare"/>
    <x v="3"/>
    <n v="4666.67"/>
    <n v="3927.42"/>
    <n v="-739.25"/>
    <n v="-0.15841060113528491"/>
    <x v="0"/>
    <n v="-3927.42"/>
    <x v="10"/>
  </r>
  <r>
    <s v="FIN-01760"/>
    <d v="2026-02-16T00:00:00"/>
    <x v="0"/>
    <x v="2"/>
    <x v="4"/>
    <x v="2"/>
    <s v="Lahore"/>
    <s v="Legalworks"/>
    <x v="3"/>
    <n v="3880"/>
    <n v="1006.03"/>
    <n v="-2873.9700000000003"/>
    <n v="-0.74071391752577331"/>
    <x v="0"/>
    <n v="-1006.03"/>
    <x v="17"/>
  </r>
  <r>
    <s v="FIN-01761"/>
    <d v="2025-11-09T00:00:00"/>
    <x v="1"/>
    <x v="3"/>
    <x v="3"/>
    <x v="2"/>
    <s v="Karachi"/>
    <s v="Legalworks"/>
    <x v="1"/>
    <n v="13125"/>
    <n v="17790.38"/>
    <n v="4665.380000000001"/>
    <n v="0.35545752380952389"/>
    <x v="1"/>
    <n v="17790.38"/>
    <x v="10"/>
  </r>
  <r>
    <s v="FIN-01762"/>
    <d v="2025-07-08T00:00:00"/>
    <x v="1"/>
    <x v="4"/>
    <x v="12"/>
    <x v="3"/>
    <s v="Karachi"/>
    <s v="Legalworks"/>
    <x v="4"/>
    <n v="7142.86"/>
    <n v="16835.16"/>
    <n v="9692.2999999999993"/>
    <n v="1.356921457231417"/>
    <x v="1"/>
    <n v="16835.16"/>
    <x v="6"/>
  </r>
  <r>
    <s v="FIN-01763"/>
    <d v="2025-06-08T00:00:00"/>
    <x v="1"/>
    <x v="4"/>
    <x v="2"/>
    <x v="4"/>
    <s v="Multan"/>
    <s v="Softworks"/>
    <x v="2"/>
    <n v="5333.33"/>
    <n v="830.34"/>
    <n v="-4502.99"/>
    <n v="-0.84431115269447043"/>
    <x v="0"/>
    <n v="830.34"/>
    <x v="5"/>
  </r>
  <r>
    <s v="FIN-01764"/>
    <d v="2025-10-03T00:00:00"/>
    <x v="1"/>
    <x v="3"/>
    <x v="2"/>
    <x v="3"/>
    <s v="Peshawar"/>
    <s v="Dataserve"/>
    <x v="4"/>
    <n v="4705.88"/>
    <n v="3137.73"/>
    <n v="-1568.15"/>
    <n v="-0.33323204161602082"/>
    <x v="0"/>
    <n v="3137.73"/>
    <x v="9"/>
  </r>
  <r>
    <s v="FIN-01765"/>
    <d v="2025-10-03T00:00:00"/>
    <x v="1"/>
    <x v="3"/>
    <x v="3"/>
    <x v="4"/>
    <s v="Islamabad"/>
    <s v="Legalworks"/>
    <x v="1"/>
    <n v="8928.57"/>
    <n v="21521.21"/>
    <n v="12592.64"/>
    <n v="1.4103759056601448"/>
    <x v="1"/>
    <n v="21521.21"/>
    <x v="9"/>
  </r>
  <r>
    <s v="FIN-01766"/>
    <d v="2026-05-07T00:00:00"/>
    <x v="1"/>
    <x v="4"/>
    <x v="3"/>
    <x v="0"/>
    <s v="Karachi"/>
    <s v="Legalworks"/>
    <x v="3"/>
    <n v="10869.57"/>
    <n v="16165.98"/>
    <n v="5296.41"/>
    <n v="0.48726950560141752"/>
    <x v="1"/>
    <n v="16165.98"/>
    <x v="16"/>
  </r>
  <r>
    <s v="FIN-01767"/>
    <d v="2025-07-04T00:00:00"/>
    <x v="1"/>
    <x v="1"/>
    <x v="2"/>
    <x v="3"/>
    <s v="Islamabad"/>
    <s v="Prime Supplies"/>
    <x v="4"/>
    <n v="13333.33"/>
    <n v="6795.2"/>
    <n v="-6538.13"/>
    <n v="-0.49035987258996816"/>
    <x v="0"/>
    <n v="6795.2"/>
    <x v="6"/>
  </r>
  <r>
    <s v="FIN-01768"/>
    <d v="2025-09-07T00:00:00"/>
    <x v="0"/>
    <x v="1"/>
    <x v="9"/>
    <x v="4"/>
    <s v="Islamabad"/>
    <s v="Shipfast"/>
    <x v="2"/>
    <n v="6111.11"/>
    <n v="4704.2299999999996"/>
    <n v="-1406.88"/>
    <n v="-0.23021676913032169"/>
    <x v="0"/>
    <n v="-4704.2299999999996"/>
    <x v="8"/>
  </r>
  <r>
    <s v="FIN-01769"/>
    <d v="2025-08-09T00:00:00"/>
    <x v="0"/>
    <x v="1"/>
    <x v="1"/>
    <x v="1"/>
    <s v="Karachi"/>
    <s v="Shipfast"/>
    <x v="4"/>
    <n v="3000"/>
    <n v="1184.56"/>
    <n v="-1815.44"/>
    <n v="-0.60514666666666672"/>
    <x v="0"/>
    <n v="-1184.56"/>
    <x v="7"/>
  </r>
  <r>
    <s v="FIN-01770"/>
    <d v="2025-06-11T00:00:00"/>
    <x v="1"/>
    <x v="6"/>
    <x v="3"/>
    <x v="1"/>
    <s v="Islamabad"/>
    <s v="Prime Supplies"/>
    <x v="2"/>
    <n v="9615.3799999999992"/>
    <n v="18697.84"/>
    <n v="9082.4600000000009"/>
    <n v="0.94457629339662097"/>
    <x v="1"/>
    <n v="18697.84"/>
    <x v="5"/>
  </r>
  <r>
    <s v="FIN-01771"/>
    <d v="2025-03-22T00:00:00"/>
    <x v="0"/>
    <x v="0"/>
    <x v="0"/>
    <x v="2"/>
    <s v="Lahore"/>
    <s v="Legalworks"/>
    <x v="0"/>
    <n v="4571.43"/>
    <n v="849.09"/>
    <n v="-3722.34"/>
    <n v="-0.81426162054324358"/>
    <x v="0"/>
    <n v="-849.09"/>
    <x v="2"/>
  </r>
  <r>
    <s v="FIN-01772"/>
    <d v="2025-05-13T00:00:00"/>
    <x v="0"/>
    <x v="2"/>
    <x v="0"/>
    <x v="3"/>
    <s v="Karachi"/>
    <s v="Shipfast"/>
    <x v="4"/>
    <n v="2909.09"/>
    <n v="4370.2700000000004"/>
    <n v="1461.1800000000003"/>
    <n v="0.50228078196274439"/>
    <x v="1"/>
    <n v="-4370.2700000000004"/>
    <x v="4"/>
  </r>
  <r>
    <s v="FIN-01773"/>
    <d v="2026-04-07T00:00:00"/>
    <x v="0"/>
    <x v="4"/>
    <x v="4"/>
    <x v="1"/>
    <s v="Lahore"/>
    <s v="Shipfast"/>
    <x v="4"/>
    <n v="5600"/>
    <n v="1746.55"/>
    <n v="-3853.45"/>
    <n v="-0.68811607142857134"/>
    <x v="0"/>
    <n v="-1746.55"/>
    <x v="15"/>
  </r>
  <r>
    <s v="FIN-01774"/>
    <d v="2025-03-28T00:00:00"/>
    <x v="1"/>
    <x v="3"/>
    <x v="3"/>
    <x v="1"/>
    <s v="Karachi"/>
    <s v="Prime Supplies"/>
    <x v="2"/>
    <n v="8064.52"/>
    <n v="18554.259999999998"/>
    <n v="10489.739999999998"/>
    <n v="1.3007271356509746"/>
    <x v="1"/>
    <n v="18554.259999999998"/>
    <x v="2"/>
  </r>
  <r>
    <s v="FIN-01775"/>
    <d v="2025-07-05T00:00:00"/>
    <x v="0"/>
    <x v="1"/>
    <x v="0"/>
    <x v="2"/>
    <s v="Peshawar"/>
    <s v="Markethub"/>
    <x v="3"/>
    <n v="4000"/>
    <n v="1452.89"/>
    <n v="-2547.1099999999997"/>
    <n v="-0.63677749999999989"/>
    <x v="0"/>
    <n v="-1452.89"/>
    <x v="6"/>
  </r>
  <r>
    <s v="FIN-01776"/>
    <d v="2025-11-08T00:00:00"/>
    <x v="0"/>
    <x v="0"/>
    <x v="0"/>
    <x v="4"/>
    <s v="Faisalabad"/>
    <s v="Shipfast"/>
    <x v="2"/>
    <n v="5600"/>
    <n v="6193.43"/>
    <n v="593.43000000000029"/>
    <n v="0.10596964285714291"/>
    <x v="1"/>
    <n v="-6193.43"/>
    <x v="10"/>
  </r>
  <r>
    <s v="FIN-01777"/>
    <d v="2025-03-02T00:00:00"/>
    <x v="1"/>
    <x v="4"/>
    <x v="2"/>
    <x v="4"/>
    <s v="Karachi"/>
    <s v="Techsource"/>
    <x v="4"/>
    <n v="11428.57"/>
    <n v="784.29"/>
    <n v="-10644.279999999999"/>
    <n v="-0.93137461642182695"/>
    <x v="0"/>
    <n v="784.29"/>
    <x v="2"/>
  </r>
  <r>
    <s v="FIN-01778"/>
    <d v="2025-11-02T00:00:00"/>
    <x v="0"/>
    <x v="3"/>
    <x v="5"/>
    <x v="2"/>
    <s v="Multan"/>
    <s v="Prime Supplies"/>
    <x v="2"/>
    <n v="17062.5"/>
    <n v="6561.36"/>
    <n v="-10501.14"/>
    <n v="-0.61545142857142854"/>
    <x v="0"/>
    <n v="-6561.36"/>
    <x v="10"/>
  </r>
  <r>
    <s v="FIN-01779"/>
    <d v="2025-01-21T00:00:00"/>
    <x v="0"/>
    <x v="2"/>
    <x v="6"/>
    <x v="2"/>
    <s v="Peshawar"/>
    <s v="Buildcare"/>
    <x v="1"/>
    <n v="7591.3"/>
    <n v="14128.82"/>
    <n v="6537.5199999999995"/>
    <n v="0.86118583114881497"/>
    <x v="1"/>
    <n v="-14128.82"/>
    <x v="0"/>
  </r>
  <r>
    <s v="FIN-01780"/>
    <d v="2025-08-01T00:00:00"/>
    <x v="1"/>
    <x v="3"/>
    <x v="3"/>
    <x v="3"/>
    <s v="Islamabad"/>
    <s v="Softworks"/>
    <x v="1"/>
    <n v="10416.67"/>
    <n v="23645.54"/>
    <n v="13228.87"/>
    <n v="1.2699711136092438"/>
    <x v="1"/>
    <n v="23645.54"/>
    <x v="7"/>
  </r>
  <r>
    <s v="FIN-01781"/>
    <d v="2025-07-10T00:00:00"/>
    <x v="1"/>
    <x v="3"/>
    <x v="2"/>
    <x v="3"/>
    <s v="Lahore"/>
    <s v="Techsource"/>
    <x v="4"/>
    <n v="13333.33"/>
    <n v="2697.82"/>
    <n v="-10635.51"/>
    <n v="-0.79766344941586242"/>
    <x v="0"/>
    <n v="2697.82"/>
    <x v="6"/>
  </r>
  <r>
    <s v="FIN-01782"/>
    <d v="2025-06-05T00:00:00"/>
    <x v="0"/>
    <x v="2"/>
    <x v="5"/>
    <x v="4"/>
    <s v="Multan"/>
    <s v="Techsource"/>
    <x v="2"/>
    <n v="8125"/>
    <n v="9229.4"/>
    <n v="1104.3999999999996"/>
    <n v="0.13592615384615381"/>
    <x v="1"/>
    <n v="-9229.4"/>
    <x v="5"/>
  </r>
  <r>
    <s v="FIN-01783"/>
    <d v="2026-03-18T00:00:00"/>
    <x v="0"/>
    <x v="1"/>
    <x v="1"/>
    <x v="3"/>
    <s v="Karachi"/>
    <s v="Techsource"/>
    <x v="1"/>
    <n v="2571.4299999999998"/>
    <n v="996.26"/>
    <n v="-1575.1699999999998"/>
    <n v="-0.61256577079679397"/>
    <x v="0"/>
    <n v="-996.26"/>
    <x v="14"/>
  </r>
  <r>
    <s v="FIN-01784"/>
    <d v="2025-08-09T00:00:00"/>
    <x v="0"/>
    <x v="1"/>
    <x v="0"/>
    <x v="3"/>
    <s v="Multan"/>
    <s v="Unknown"/>
    <x v="2"/>
    <n v="2285.71"/>
    <n v="4472.59"/>
    <n v="2186.88"/>
    <n v="0.95676179392836369"/>
    <x v="1"/>
    <n v="-4472.59"/>
    <x v="7"/>
  </r>
  <r>
    <s v="FIN-01785"/>
    <d v="2025-11-02T00:00:00"/>
    <x v="0"/>
    <x v="0"/>
    <x v="1"/>
    <x v="4"/>
    <s v="Islamabad"/>
    <s v="Prime Supplies"/>
    <x v="4"/>
    <n v="1890"/>
    <n v="1254.1199999999999"/>
    <n v="-635.88000000000011"/>
    <n v="-0.33644444444444449"/>
    <x v="0"/>
    <n v="-1254.1199999999999"/>
    <x v="10"/>
  </r>
  <r>
    <s v="FIN-01786"/>
    <d v="2026-06-04T00:00:00"/>
    <x v="1"/>
    <x v="2"/>
    <x v="2"/>
    <x v="4"/>
    <s v="Lahore"/>
    <s v="Buildcare"/>
    <x v="1"/>
    <n v="7272.73"/>
    <n v="4305.09"/>
    <n v="-2967.6399999999994"/>
    <n v="-0.4080503469811198"/>
    <x v="0"/>
    <n v="4305.09"/>
    <x v="13"/>
  </r>
  <r>
    <s v="FIN-01787"/>
    <d v="2025-09-08T00:00:00"/>
    <x v="0"/>
    <x v="5"/>
    <x v="0"/>
    <x v="0"/>
    <s v="Lahore"/>
    <s v="Travellink"/>
    <x v="2"/>
    <n v="5333.33"/>
    <n v="0"/>
    <n v="-5333.33"/>
    <n v="-1"/>
    <x v="0"/>
    <n v="0"/>
    <x v="8"/>
  </r>
  <r>
    <s v="FIN-01788"/>
    <d v="2025-09-15T00:00:00"/>
    <x v="0"/>
    <x v="6"/>
    <x v="6"/>
    <x v="3"/>
    <s v="Islamabad"/>
    <s v="Adsphere"/>
    <x v="1"/>
    <n v="7500"/>
    <n v="17265.25"/>
    <n v="9765.25"/>
    <n v="1.3020333333333334"/>
    <x v="1"/>
    <n v="-17265.25"/>
    <x v="8"/>
  </r>
  <r>
    <s v="FIN-01789"/>
    <d v="2025-07-22T00:00:00"/>
    <x v="0"/>
    <x v="1"/>
    <x v="9"/>
    <x v="2"/>
    <s v="Karachi"/>
    <s v="Prime Supplies"/>
    <x v="1"/>
    <n v="0"/>
    <n v="3981.18"/>
    <n v="3981.18"/>
    <n v="0"/>
    <x v="2"/>
    <n v="-3981.18"/>
    <x v="6"/>
  </r>
  <r>
    <s v="FIN-01790"/>
    <d v="2025-05-12T00:00:00"/>
    <x v="0"/>
    <x v="4"/>
    <x v="10"/>
    <x v="1"/>
    <s v="Islamabad"/>
    <s v="Dataserve"/>
    <x v="4"/>
    <n v="5000"/>
    <n v="3753.27"/>
    <n v="-1246.73"/>
    <n v="-0.24934600000000001"/>
    <x v="0"/>
    <n v="-3753.27"/>
    <x v="4"/>
  </r>
  <r>
    <s v="FIN-01791"/>
    <d v="2025-04-12T00:00:00"/>
    <x v="0"/>
    <x v="2"/>
    <x v="0"/>
    <x v="3"/>
    <s v="Karachi"/>
    <s v="Shipfast"/>
    <x v="1"/>
    <n v="5333.33"/>
    <n v="3298.63"/>
    <n v="-2034.6999999999998"/>
    <n v="-0.38150648844155527"/>
    <x v="0"/>
    <n v="-3298.63"/>
    <x v="3"/>
  </r>
  <r>
    <s v="FIN-01792"/>
    <d v="2026-03-02T00:00:00"/>
    <x v="1"/>
    <x v="2"/>
    <x v="3"/>
    <x v="4"/>
    <s v="Karachi"/>
    <s v="Urban Facilities"/>
    <x v="1"/>
    <n v="11363.64"/>
    <n v="2303.2600000000002"/>
    <n v="-9060.3799999999992"/>
    <n v="-0.79731318485978087"/>
    <x v="0"/>
    <n v="2303.2600000000002"/>
    <x v="14"/>
  </r>
  <r>
    <s v="FIN-01793"/>
    <d v="2025-08-14T00:00:00"/>
    <x v="0"/>
    <x v="5"/>
    <x v="9"/>
    <x v="2"/>
    <s v="Lahore"/>
    <s v="Buildcare"/>
    <x v="4"/>
    <n v="3928.57"/>
    <n v="5522.18"/>
    <n v="1593.6100000000001"/>
    <n v="0.40564632932593797"/>
    <x v="1"/>
    <n v="-5522.18"/>
    <x v="7"/>
  </r>
  <r>
    <s v="FIN-01794"/>
    <d v="2025-08-22T00:00:00"/>
    <x v="0"/>
    <x v="1"/>
    <x v="6"/>
    <x v="0"/>
    <s v="Karachi"/>
    <s v="Travellink"/>
    <x v="0"/>
    <n v="8181.82"/>
    <n v="17610.36"/>
    <n v="9428.5400000000009"/>
    <n v="1.1523768550273656"/>
    <x v="1"/>
    <n v="-17610.36"/>
    <x v="7"/>
  </r>
  <r>
    <s v="FIN-01795"/>
    <d v="2025-11-20T00:00:00"/>
    <x v="1"/>
    <x v="6"/>
    <x v="13"/>
    <x v="0"/>
    <s v="Karachi"/>
    <s v="Shipfast"/>
    <x v="4"/>
    <n v="10500"/>
    <n v="811.95"/>
    <n v="-9688.0499999999993"/>
    <n v="-0.92267142857142848"/>
    <x v="0"/>
    <n v="811.95"/>
    <x v="10"/>
  </r>
  <r>
    <s v="FIN-01796"/>
    <d v="2025-12-10T00:00:00"/>
    <x v="1"/>
    <x v="4"/>
    <x v="13"/>
    <x v="1"/>
    <s v="Multan"/>
    <s v="Adsphere"/>
    <x v="2"/>
    <n v="3500"/>
    <n v="1369.96"/>
    <n v="-2130.04"/>
    <n v="-0.60858285714285709"/>
    <x v="0"/>
    <n v="1369.96"/>
    <x v="11"/>
  </r>
  <r>
    <s v="FIN-01797"/>
    <d v="2026-06-10T00:00:00"/>
    <x v="0"/>
    <x v="2"/>
    <x v="11"/>
    <x v="4"/>
    <s v="Karachi"/>
    <s v="Prime Supplies"/>
    <x v="4"/>
    <n v="3142.86"/>
    <n v="3717.16"/>
    <n v="574.29999999999973"/>
    <n v="0.1827316520621344"/>
    <x v="1"/>
    <n v="-3717.16"/>
    <x v="13"/>
  </r>
  <r>
    <s v="FIN-01798"/>
    <d v="2026-03-28T00:00:00"/>
    <x v="0"/>
    <x v="5"/>
    <x v="0"/>
    <x v="2"/>
    <s v="Islamabad"/>
    <s v="Powergrid"/>
    <x v="1"/>
    <n v="4000"/>
    <n v="3944.01"/>
    <n v="-55.989999999999782"/>
    <n v="-1.3997499999999946E-2"/>
    <x v="0"/>
    <n v="-3944.01"/>
    <x v="14"/>
  </r>
  <r>
    <s v="FIN-01799"/>
    <d v="2026-06-15T00:00:00"/>
    <x v="0"/>
    <x v="5"/>
    <x v="7"/>
    <x v="4"/>
    <s v="Islamabad"/>
    <s v="Techsource"/>
    <x v="4"/>
    <n v="5000"/>
    <n v="1736.56"/>
    <n v="-3263.44"/>
    <n v="-0.65268800000000005"/>
    <x v="0"/>
    <n v="-1736.56"/>
    <x v="13"/>
  </r>
  <r>
    <s v="FIN-01800"/>
    <d v="2026-01-13T00:00:00"/>
    <x v="0"/>
    <x v="2"/>
    <x v="5"/>
    <x v="4"/>
    <s v="Karachi"/>
    <s v="Buildcare"/>
    <x v="0"/>
    <n v="6305"/>
    <n v="8743.08"/>
    <n v="2438.08"/>
    <n v="0.38668992862807294"/>
    <x v="1"/>
    <n v="-8743.08"/>
    <x v="12"/>
  </r>
  <r>
    <s v="FIN-01801"/>
    <d v="2025-05-24T00:00:00"/>
    <x v="1"/>
    <x v="6"/>
    <x v="2"/>
    <x v="0"/>
    <s v="Karachi"/>
    <s v="Officepro"/>
    <x v="3"/>
    <n v="10000"/>
    <n v="7442.73"/>
    <n v="-2557.2700000000004"/>
    <n v="-0.25572700000000004"/>
    <x v="0"/>
    <n v="7442.73"/>
    <x v="4"/>
  </r>
  <r>
    <s v="FIN-01802"/>
    <d v="2026-01-01T00:00:00"/>
    <x v="0"/>
    <x v="3"/>
    <x v="9"/>
    <x v="1"/>
    <s v="Karachi"/>
    <s v="Travellink"/>
    <x v="3"/>
    <n v="7621.43"/>
    <n v="1117.26"/>
    <n v="-6504.17"/>
    <n v="-0.85340546327920086"/>
    <x v="0"/>
    <n v="-1117.26"/>
    <x v="12"/>
  </r>
  <r>
    <s v="FIN-01803"/>
    <d v="2026-03-10T00:00:00"/>
    <x v="0"/>
    <x v="2"/>
    <x v="1"/>
    <x v="3"/>
    <s v="Karachi"/>
    <s v="Dataserve"/>
    <x v="2"/>
    <n v="2571.4299999999998"/>
    <n v="1664.44"/>
    <n v="-906.98999999999978"/>
    <n v="-0.35271813737881252"/>
    <x v="0"/>
    <n v="-1664.44"/>
    <x v="14"/>
  </r>
  <r>
    <s v="FIN-01804"/>
    <d v="2026-06-25T00:00:00"/>
    <x v="0"/>
    <x v="4"/>
    <x v="6"/>
    <x v="3"/>
    <s v="Karachi"/>
    <s v="Cloudnet"/>
    <x v="3"/>
    <n v="8571.43"/>
    <n v="7655.86"/>
    <n v="-915.57000000000062"/>
    <n v="-0.10681648219725304"/>
    <x v="0"/>
    <n v="-7655.86"/>
    <x v="13"/>
  </r>
  <r>
    <s v="FIN-01805"/>
    <d v="2025-09-25T00:00:00"/>
    <x v="0"/>
    <x v="1"/>
    <x v="6"/>
    <x v="3"/>
    <s v="Karachi"/>
    <s v="Dataserve"/>
    <x v="3"/>
    <n v="7500"/>
    <n v="3330.84"/>
    <n v="-4169.16"/>
    <n v="-0.55588799999999994"/>
    <x v="0"/>
    <n v="-3330.84"/>
    <x v="8"/>
  </r>
  <r>
    <s v="FIN-01806"/>
    <d v="2025-05-19T00:00:00"/>
    <x v="0"/>
    <x v="4"/>
    <x v="6"/>
    <x v="2"/>
    <s v="Islamabad"/>
    <s v="Cloudnet"/>
    <x v="5"/>
    <n v="7200"/>
    <n v="11368.75"/>
    <n v="4168.75"/>
    <n v="0.57899305555555558"/>
    <x v="1"/>
    <n v="-11368.75"/>
    <x v="4"/>
  </r>
  <r>
    <s v="FIN-01807"/>
    <d v="2025-05-05T00:00:00"/>
    <x v="0"/>
    <x v="1"/>
    <x v="8"/>
    <x v="3"/>
    <s v="Faisalabad"/>
    <s v="Peoplefirst"/>
    <x v="1"/>
    <n v="2307.69"/>
    <n v="1103.8699999999999"/>
    <n v="-1203.8200000000002"/>
    <n v="-0.52165585498918843"/>
    <x v="0"/>
    <n v="-1103.8699999999999"/>
    <x v="4"/>
  </r>
  <r>
    <s v="FIN-01808"/>
    <d v="2025-12-05T00:00:00"/>
    <x v="1"/>
    <x v="3"/>
    <x v="12"/>
    <x v="3"/>
    <s v="Islamabad"/>
    <s v="Cloudnet"/>
    <x v="1"/>
    <n v="9545.4500000000007"/>
    <n v="12156.66"/>
    <n v="2611.2099999999991"/>
    <n v="0.27355546359783972"/>
    <x v="1"/>
    <n v="12156.66"/>
    <x v="11"/>
  </r>
  <r>
    <s v="FIN-01809"/>
    <d v="2025-01-26T00:00:00"/>
    <x v="0"/>
    <x v="2"/>
    <x v="6"/>
    <x v="0"/>
    <s v="Karachi"/>
    <s v="Softworks"/>
    <x v="1"/>
    <n v="7591.3"/>
    <n v="5976.6"/>
    <n v="-1614.6999999999998"/>
    <n v="-0.21270401643987194"/>
    <x v="0"/>
    <n v="-5976.6"/>
    <x v="0"/>
  </r>
  <r>
    <s v="FIN-01810"/>
    <d v="2025-10-10T00:00:00"/>
    <x v="1"/>
    <x v="6"/>
    <x v="3"/>
    <x v="1"/>
    <s v="Karachi"/>
    <s v="Adsphere"/>
    <x v="4"/>
    <n v="8928.57"/>
    <n v="11480.72"/>
    <n v="2552.1499999999996"/>
    <n v="0.28584084573453528"/>
    <x v="1"/>
    <n v="11480.72"/>
    <x v="9"/>
  </r>
  <r>
    <s v="FIN-01811"/>
    <d v="2026-03-04T00:00:00"/>
    <x v="0"/>
    <x v="2"/>
    <x v="0"/>
    <x v="3"/>
    <s v="Karachi"/>
    <s v="Softworks"/>
    <x v="2"/>
    <n v="4000"/>
    <n v="3580.83"/>
    <n v="-419.17000000000007"/>
    <n v="-0.10479250000000002"/>
    <x v="0"/>
    <n v="-3580.83"/>
    <x v="14"/>
  </r>
  <r>
    <s v="FIN-01812"/>
    <d v="2026-03-30T00:00:00"/>
    <x v="1"/>
    <x v="5"/>
    <x v="14"/>
    <x v="0"/>
    <s v="Karachi"/>
    <s v="Powergrid"/>
    <x v="3"/>
    <n v="10000"/>
    <n v="7081.07"/>
    <n v="-2918.9300000000003"/>
    <n v="-0.29189300000000001"/>
    <x v="0"/>
    <n v="7081.07"/>
    <x v="14"/>
  </r>
  <r>
    <s v="FIN-01813"/>
    <d v="2025-05-12T00:00:00"/>
    <x v="1"/>
    <x v="1"/>
    <x v="3"/>
    <x v="0"/>
    <s v="Lahore"/>
    <s v="Urban Facilities"/>
    <x v="2"/>
    <n v="9615.3799999999992"/>
    <n v="2935.76"/>
    <n v="-6679.619999999999"/>
    <n v="-0.69468081344679045"/>
    <x v="0"/>
    <n v="2935.76"/>
    <x v="4"/>
  </r>
  <r>
    <s v="FIN-01814"/>
    <d v="2025-04-04T00:00:00"/>
    <x v="0"/>
    <x v="4"/>
    <x v="8"/>
    <x v="0"/>
    <s v="Peshawar"/>
    <s v="Peoplefirst"/>
    <x v="2"/>
    <n v="3750"/>
    <n v="5208.26"/>
    <n v="1458.2600000000002"/>
    <n v="0.3888693333333334"/>
    <x v="1"/>
    <n v="-5208.26"/>
    <x v="3"/>
  </r>
  <r>
    <s v="FIN-01815"/>
    <d v="2025-03-16T00:00:00"/>
    <x v="0"/>
    <x v="6"/>
    <x v="7"/>
    <x v="4"/>
    <s v="Karachi"/>
    <s v="Peoplefirst"/>
    <x v="3"/>
    <n v="4375"/>
    <n v="3099.38"/>
    <n v="-1275.6199999999999"/>
    <n v="-0.29157028571428567"/>
    <x v="0"/>
    <n v="-3099.38"/>
    <x v="2"/>
  </r>
  <r>
    <s v="FIN-01816"/>
    <d v="2026-04-27T00:00:00"/>
    <x v="1"/>
    <x v="6"/>
    <x v="3"/>
    <x v="3"/>
    <s v="Peshawar"/>
    <s v="Powergrid"/>
    <x v="2"/>
    <n v="8333.33"/>
    <n v="24122.48"/>
    <n v="15789.15"/>
    <n v="1.8946987578795031"/>
    <x v="1"/>
    <n v="24122.48"/>
    <x v="15"/>
  </r>
  <r>
    <s v="FIN-01817"/>
    <d v="2025-06-06T00:00:00"/>
    <x v="1"/>
    <x v="3"/>
    <x v="3"/>
    <x v="2"/>
    <s v="Multan"/>
    <s v="Cloudnet"/>
    <x v="3"/>
    <n v="9615.3799999999992"/>
    <n v="14738.83"/>
    <n v="5123.4500000000007"/>
    <n v="0.53283905576274693"/>
    <x v="1"/>
    <n v="14738.83"/>
    <x v="5"/>
  </r>
  <r>
    <s v="FIN-01818"/>
    <d v="2025-06-26T00:00:00"/>
    <x v="0"/>
    <x v="1"/>
    <x v="10"/>
    <x v="0"/>
    <s v="Islamabad"/>
    <s v="Travellink"/>
    <x v="2"/>
    <n v="6666.67"/>
    <n v="4781.3500000000004"/>
    <n v="-1885.3199999999997"/>
    <n v="-0.28279785860107065"/>
    <x v="0"/>
    <n v="-4781.3500000000004"/>
    <x v="5"/>
  </r>
  <r>
    <s v="FIN-01819"/>
    <d v="2025-03-25T00:00:00"/>
    <x v="0"/>
    <x v="3"/>
    <x v="7"/>
    <x v="4"/>
    <s v="Karachi"/>
    <s v="Techsource"/>
    <x v="1"/>
    <n v="4375"/>
    <n v="526.05999999999995"/>
    <n v="-3848.94"/>
    <n v="-0.87975771428571425"/>
    <x v="0"/>
    <n v="-526.05999999999995"/>
    <x v="2"/>
  </r>
  <r>
    <s v="FIN-01820"/>
    <d v="2025-01-19T00:00:00"/>
    <x v="0"/>
    <x v="0"/>
    <x v="11"/>
    <x v="1"/>
    <s v="Karachi"/>
    <s v="Buildcare"/>
    <x v="4"/>
    <n v="3556.67"/>
    <n v="319.73"/>
    <n v="-3236.94"/>
    <n v="-0.91010411424169235"/>
    <x v="0"/>
    <n v="-319.73"/>
    <x v="0"/>
  </r>
  <r>
    <s v="FIN-01821"/>
    <d v="2025-10-07T00:00:00"/>
    <x v="0"/>
    <x v="1"/>
    <x v="10"/>
    <x v="3"/>
    <s v="Islamabad"/>
    <s v="Legalworks"/>
    <x v="1"/>
    <n v="3333.33"/>
    <n v="4416.49"/>
    <n v="1083.1599999999999"/>
    <n v="0.32494832494832493"/>
    <x v="1"/>
    <n v="-4416.49"/>
    <x v="9"/>
  </r>
  <r>
    <s v="FIN-01822"/>
    <d v="2025-02-13T00:00:00"/>
    <x v="0"/>
    <x v="2"/>
    <x v="10"/>
    <x v="4"/>
    <s v="Lahore"/>
    <s v="Powergrid"/>
    <x v="1"/>
    <n v="5542.86"/>
    <n v="1560.13"/>
    <n v="-3982.7299999999996"/>
    <n v="-0.71853339250856052"/>
    <x v="0"/>
    <n v="-1560.13"/>
    <x v="1"/>
  </r>
  <r>
    <s v="FIN-01823"/>
    <d v="2025-07-22T00:00:00"/>
    <x v="1"/>
    <x v="3"/>
    <x v="3"/>
    <x v="2"/>
    <s v="Lahore"/>
    <s v="Peoplefirst"/>
    <x v="3"/>
    <n v="12500"/>
    <n v="19525.099999999999"/>
    <n v="7025.0999999999985"/>
    <n v="0.56200799999999984"/>
    <x v="1"/>
    <n v="19525.099999999999"/>
    <x v="6"/>
  </r>
  <r>
    <s v="FIN-01824"/>
    <d v="2025-09-11T00:00:00"/>
    <x v="1"/>
    <x v="3"/>
    <x v="2"/>
    <x v="2"/>
    <s v="Peshawar"/>
    <s v="Softworks"/>
    <x v="2"/>
    <n v="10000"/>
    <n v="5191.28"/>
    <n v="-4808.72"/>
    <n v="-0.48087200000000002"/>
    <x v="0"/>
    <n v="5191.28"/>
    <x v="8"/>
  </r>
  <r>
    <s v="FIN-01825"/>
    <d v="2025-11-28T00:00:00"/>
    <x v="0"/>
    <x v="0"/>
    <x v="6"/>
    <x v="4"/>
    <s v="Lahore"/>
    <s v="Softworks"/>
    <x v="0"/>
    <n v="9947.3700000000008"/>
    <n v="4211.93"/>
    <n v="-5735.4400000000005"/>
    <n v="-0.57657853281822236"/>
    <x v="0"/>
    <n v="-4211.93"/>
    <x v="10"/>
  </r>
  <r>
    <s v="FIN-01826"/>
    <d v="2026-05-22T00:00:00"/>
    <x v="0"/>
    <x v="1"/>
    <x v="7"/>
    <x v="1"/>
    <s v="Karachi"/>
    <s v="Markethub"/>
    <x v="3"/>
    <n v="2692.31"/>
    <n v="4450.6499999999996"/>
    <n v="1758.3399999999997"/>
    <n v="0.6530971544881532"/>
    <x v="1"/>
    <n v="-4450.6499999999996"/>
    <x v="16"/>
  </r>
  <r>
    <s v="FIN-01827"/>
    <d v="2025-08-18T00:00:00"/>
    <x v="0"/>
    <x v="2"/>
    <x v="6"/>
    <x v="2"/>
    <s v="Faisalabad"/>
    <s v="Softworks"/>
    <x v="1"/>
    <n v="8181.82"/>
    <n v="6688.42"/>
    <n v="-1493.3999999999996"/>
    <n v="-0.18252662610519416"/>
    <x v="0"/>
    <n v="-6688.42"/>
    <x v="7"/>
  </r>
  <r>
    <s v="FIN-01828"/>
    <d v="2025-07-01T00:00:00"/>
    <x v="0"/>
    <x v="4"/>
    <x v="14"/>
    <x v="3"/>
    <s v="Peshawar"/>
    <s v="Travellink"/>
    <x v="0"/>
    <n v="2250"/>
    <n v="1118.99"/>
    <n v="-1131.01"/>
    <n v="-0.50267111111111107"/>
    <x v="0"/>
    <n v="-1118.99"/>
    <x v="6"/>
  </r>
  <r>
    <s v="FIN-01829"/>
    <d v="2026-05-06T00:00:00"/>
    <x v="1"/>
    <x v="4"/>
    <x v="2"/>
    <x v="3"/>
    <s v="Karachi"/>
    <s v="Urban Facilities"/>
    <x v="1"/>
    <n v="6153.85"/>
    <n v="5728.83"/>
    <n v="-425.02000000000044"/>
    <n v="-6.9065706833933302E-2"/>
    <x v="0"/>
    <n v="5728.83"/>
    <x v="16"/>
  </r>
  <r>
    <s v="FIN-01830"/>
    <d v="2026-04-04T00:00:00"/>
    <x v="0"/>
    <x v="6"/>
    <x v="6"/>
    <x v="3"/>
    <s v="Karachi"/>
    <s v="Dataserve"/>
    <x v="2"/>
    <n v="8571.43"/>
    <n v="13489.02"/>
    <n v="4917.59"/>
    <n v="0.57371873771354376"/>
    <x v="1"/>
    <n v="-13489.02"/>
    <x v="15"/>
  </r>
  <r>
    <s v="FIN-01831"/>
    <d v="2026-04-16T00:00:00"/>
    <x v="0"/>
    <x v="0"/>
    <x v="11"/>
    <x v="0"/>
    <s v="Karachi"/>
    <s v="Peoplefirst"/>
    <x v="2"/>
    <n v="2750"/>
    <n v="751.26"/>
    <n v="-1998.74"/>
    <n v="-0.72681454545454549"/>
    <x v="0"/>
    <n v="-751.26"/>
    <x v="15"/>
  </r>
  <r>
    <s v="FIN-01832"/>
    <d v="2025-07-16T00:00:00"/>
    <x v="0"/>
    <x v="4"/>
    <x v="11"/>
    <x v="3"/>
    <s v="Karachi"/>
    <s v="Prime Supplies"/>
    <x v="1"/>
    <n v="2750"/>
    <n v="1857.64"/>
    <n v="-892.3599999999999"/>
    <n v="-0.32449454545454542"/>
    <x v="0"/>
    <n v="-1857.64"/>
    <x v="6"/>
  </r>
  <r>
    <s v="FIN-01833"/>
    <d v="2026-04-23T00:00:00"/>
    <x v="1"/>
    <x v="3"/>
    <x v="3"/>
    <x v="3"/>
    <s v="Faisalabad"/>
    <s v="Urban Facilities"/>
    <x v="4"/>
    <n v="8333.33"/>
    <n v="16292.09"/>
    <n v="7958.76"/>
    <n v="0.95505158202063289"/>
    <x v="1"/>
    <n v="16292.09"/>
    <x v="15"/>
  </r>
  <r>
    <s v="FIN-01834"/>
    <d v="2025-03-26T00:00:00"/>
    <x v="0"/>
    <x v="1"/>
    <x v="6"/>
    <x v="4"/>
    <s v="Lahore"/>
    <s v="Techsource"/>
    <x v="1"/>
    <n v="6000"/>
    <n v="2754.92"/>
    <n v="-3245.08"/>
    <n v="-0.5408466666666667"/>
    <x v="0"/>
    <n v="-2754.92"/>
    <x v="2"/>
  </r>
  <r>
    <s v="FIN-01835"/>
    <d v="2025-08-05T00:00:00"/>
    <x v="0"/>
    <x v="4"/>
    <x v="10"/>
    <x v="1"/>
    <s v="Karachi"/>
    <s v="Shipfast"/>
    <x v="3"/>
    <n v="5714.29"/>
    <n v="3523.88"/>
    <n v="-2190.41"/>
    <n v="-0.38332146250890309"/>
    <x v="0"/>
    <n v="-3523.88"/>
    <x v="7"/>
  </r>
  <r>
    <s v="FIN-01836"/>
    <d v="2025-11-16T00:00:00"/>
    <x v="0"/>
    <x v="0"/>
    <x v="10"/>
    <x v="0"/>
    <s v="Karachi"/>
    <s v="Dataserve"/>
    <x v="3"/>
    <n v="4666.67"/>
    <n v="2454.8200000000002"/>
    <n v="-2211.85"/>
    <n v="-0.47396751859462954"/>
    <x v="0"/>
    <n v="-2454.8200000000002"/>
    <x v="10"/>
  </r>
  <r>
    <s v="FIN-01837"/>
    <d v="2025-02-26T00:00:00"/>
    <x v="0"/>
    <x v="4"/>
    <x v="10"/>
    <x v="4"/>
    <s v="Faisalabad"/>
    <s v="Softworks"/>
    <x v="3"/>
    <n v="5542.86"/>
    <n v="4397.45"/>
    <n v="-1145.4099999999999"/>
    <n v="-0.20664602750204766"/>
    <x v="0"/>
    <n v="-4397.45"/>
    <x v="1"/>
  </r>
  <r>
    <s v="FIN-01838"/>
    <d v="2025-05-12T00:00:00"/>
    <x v="0"/>
    <x v="6"/>
    <x v="4"/>
    <x v="3"/>
    <s v="Lahore"/>
    <s v="Adsphere"/>
    <x v="1"/>
    <n v="4000"/>
    <n v="3402.2"/>
    <n v="-597.80000000000018"/>
    <n v="-0.14945000000000006"/>
    <x v="0"/>
    <n v="-3402.2"/>
    <x v="4"/>
  </r>
  <r>
    <s v="FIN-01839"/>
    <d v="2025-11-28T00:00:00"/>
    <x v="1"/>
    <x v="3"/>
    <x v="3"/>
    <x v="3"/>
    <s v="Karachi"/>
    <s v="Adsphere"/>
    <x v="3"/>
    <n v="13125"/>
    <n v="13446.12"/>
    <n v="321.1200000000008"/>
    <n v="2.4466285714285774E-2"/>
    <x v="1"/>
    <n v="13446.12"/>
    <x v="10"/>
  </r>
  <r>
    <s v="FIN-01840"/>
    <d v="2025-06-19T00:00:00"/>
    <x v="1"/>
    <x v="3"/>
    <x v="12"/>
    <x v="1"/>
    <s v="Karachi"/>
    <s v="Prime Supplies"/>
    <x v="4"/>
    <n v="6250"/>
    <n v="9795.08"/>
    <n v="3545.08"/>
    <n v="0.56721279999999996"/>
    <x v="1"/>
    <n v="9795.08"/>
    <x v="5"/>
  </r>
  <r>
    <s v="FIN-01841"/>
    <d v="2025-10-30T00:00:00"/>
    <x v="1"/>
    <x v="2"/>
    <x v="12"/>
    <x v="1"/>
    <s v="Lahore"/>
    <s v="Prime Supplies"/>
    <x v="1"/>
    <n v="7692.31"/>
    <n v="3364.53"/>
    <n v="-4327.7800000000007"/>
    <n v="-0.5626112312166307"/>
    <x v="0"/>
    <n v="3364.53"/>
    <x v="9"/>
  </r>
  <r>
    <s v="FIN-01842"/>
    <d v="2026-03-03T00:00:00"/>
    <x v="0"/>
    <x v="2"/>
    <x v="5"/>
    <x v="1"/>
    <s v="Islamabad"/>
    <s v="Urban Facilities"/>
    <x v="1"/>
    <n v="6500"/>
    <n v="3803.24"/>
    <n v="-2696.76"/>
    <n v="-0.4148861538461539"/>
    <x v="0"/>
    <n v="-3803.24"/>
    <x v="14"/>
  </r>
  <r>
    <s v="FIN-01843"/>
    <d v="2025-02-17T00:00:00"/>
    <x v="0"/>
    <x v="7"/>
    <x v="9"/>
    <x v="3"/>
    <s v="Faisalabad"/>
    <s v="Softworks"/>
    <x v="3"/>
    <n v="7621.43"/>
    <n v="5666.01"/>
    <n v="-1955.42"/>
    <n v="-0.25656864919050626"/>
    <x v="0"/>
    <n v="-5666.01"/>
    <x v="1"/>
  </r>
  <r>
    <s v="FIN-01844"/>
    <d v="2025-12-05T00:00:00"/>
    <x v="0"/>
    <x v="5"/>
    <x v="9"/>
    <x v="0"/>
    <s v="Karachi"/>
    <s v="Urban Facilities"/>
    <x v="1"/>
    <n v="4125"/>
    <n v="8628.7999999999993"/>
    <n v="4503.7999999999993"/>
    <n v="1.0918303030303029"/>
    <x v="1"/>
    <n v="-8628.7999999999993"/>
    <x v="11"/>
  </r>
  <r>
    <s v="FIN-01845"/>
    <d v="2025-12-22T00:00:00"/>
    <x v="0"/>
    <x v="1"/>
    <x v="10"/>
    <x v="0"/>
    <s v="Karachi"/>
    <s v="Travellink"/>
    <x v="4"/>
    <n v="8400"/>
    <n v="1762.89"/>
    <n v="-6637.11"/>
    <n v="-0.79013214285714284"/>
    <x v="0"/>
    <n v="-1762.89"/>
    <x v="11"/>
  </r>
  <r>
    <s v="FIN-01846"/>
    <d v="2026-05-06T00:00:00"/>
    <x v="0"/>
    <x v="2"/>
    <x v="7"/>
    <x v="1"/>
    <s v="Karachi"/>
    <s v="Travellink"/>
    <x v="4"/>
    <n v="2692.31"/>
    <n v="1102.32"/>
    <n v="-1589.99"/>
    <n v="-0.59056720808525021"/>
    <x v="0"/>
    <n v="-1102.32"/>
    <x v="16"/>
  </r>
  <r>
    <s v="FIN-01847"/>
    <d v="2026-02-05T00:00:00"/>
    <x v="1"/>
    <x v="5"/>
    <x v="3"/>
    <x v="2"/>
    <s v="Faisalabad"/>
    <s v="Adsphere"/>
    <x v="1"/>
    <n v="12125"/>
    <n v="11618.11"/>
    <n v="-506.88999999999942"/>
    <n v="-4.1805360824742219E-2"/>
    <x v="0"/>
    <n v="11618.11"/>
    <x v="17"/>
  </r>
  <r>
    <s v="FIN-01848"/>
    <d v="2025-05-17T00:00:00"/>
    <x v="1"/>
    <x v="3"/>
    <x v="2"/>
    <x v="3"/>
    <s v="Lahore"/>
    <s v="Softworks"/>
    <x v="2"/>
    <n v="10000"/>
    <n v="4497.6400000000003"/>
    <n v="-5502.36"/>
    <n v="-0.55023599999999995"/>
    <x v="0"/>
    <n v="4497.6400000000003"/>
    <x v="4"/>
  </r>
  <r>
    <s v="FIN-01849"/>
    <d v="2025-10-05T00:00:00"/>
    <x v="0"/>
    <x v="1"/>
    <x v="0"/>
    <x v="3"/>
    <s v="Faisalabad"/>
    <s v="Officepro"/>
    <x v="0"/>
    <n v="2666.67"/>
    <n v="3563.66"/>
    <n v="896.98999999999978"/>
    <n v="0.33637082953646297"/>
    <x v="1"/>
    <n v="-3563.66"/>
    <x v="9"/>
  </r>
  <r>
    <s v="FIN-01850"/>
    <d v="2025-11-06T00:00:00"/>
    <x v="0"/>
    <x v="6"/>
    <x v="1"/>
    <x v="4"/>
    <s v="Faisalabad"/>
    <s v="Prime Supplies"/>
    <x v="3"/>
    <n v="1890"/>
    <n v="895.66"/>
    <n v="-994.34"/>
    <n v="-0.52610582010582008"/>
    <x v="0"/>
    <n v="-895.66"/>
    <x v="10"/>
  </r>
  <r>
    <s v="FIN-01851"/>
    <d v="2025-07-07T00:00:00"/>
    <x v="0"/>
    <x v="4"/>
    <x v="9"/>
    <x v="1"/>
    <s v="Lahore"/>
    <s v="Techsource"/>
    <x v="1"/>
    <n v="3437.5"/>
    <n v="5577.32"/>
    <n v="2139.8199999999997"/>
    <n v="0.62249309090909077"/>
    <x v="1"/>
    <n v="-5577.32"/>
    <x v="6"/>
  </r>
  <r>
    <s v="FIN-01852"/>
    <d v="2026-03-11T00:00:00"/>
    <x v="1"/>
    <x v="3"/>
    <x v="2"/>
    <x v="4"/>
    <s v="Karachi"/>
    <s v="Shipfast"/>
    <x v="4"/>
    <n v="10000"/>
    <n v="6980.95"/>
    <n v="-3019.05"/>
    <n v="-0.30190500000000003"/>
    <x v="0"/>
    <n v="6980.95"/>
    <x v="14"/>
  </r>
  <r>
    <s v="FIN-01853"/>
    <d v="2025-10-20T00:00:00"/>
    <x v="0"/>
    <x v="2"/>
    <x v="7"/>
    <x v="3"/>
    <s v="Karachi"/>
    <s v="Softworks"/>
    <x v="2"/>
    <n v="3500"/>
    <n v="318.32"/>
    <n v="-3181.68"/>
    <n v="-0.90905142857142851"/>
    <x v="0"/>
    <n v="-318.32"/>
    <x v="9"/>
  </r>
  <r>
    <s v="FIN-01854"/>
    <d v="2025-05-12T00:00:00"/>
    <x v="0"/>
    <x v="4"/>
    <x v="0"/>
    <x v="0"/>
    <s v="Lahore"/>
    <s v="Legalworks"/>
    <x v="3"/>
    <n v="2909.09"/>
    <n v="3169.8"/>
    <n v="260.71000000000004"/>
    <n v="8.9619090505965796E-2"/>
    <x v="1"/>
    <n v="-3169.8"/>
    <x v="4"/>
  </r>
  <r>
    <s v="FIN-01855"/>
    <d v="2025-12-25T00:00:00"/>
    <x v="1"/>
    <x v="3"/>
    <x v="2"/>
    <x v="2"/>
    <s v="Lahore"/>
    <s v="Prime Supplies"/>
    <x v="1"/>
    <n v="9333.33"/>
    <n v="4784.96"/>
    <n v="-4548.37"/>
    <n v="-0.48732553118768968"/>
    <x v="0"/>
    <n v="4784.96"/>
    <x v="11"/>
  </r>
  <r>
    <s v="FIN-01856"/>
    <d v="2025-07-31T00:00:00"/>
    <x v="0"/>
    <x v="6"/>
    <x v="9"/>
    <x v="4"/>
    <s v="Karachi"/>
    <s v="Techsource"/>
    <x v="4"/>
    <n v="3437.5"/>
    <n v="629.82000000000005"/>
    <n v="-2807.68"/>
    <n v="-0.81677963636363626"/>
    <x v="0"/>
    <n v="-629.82000000000005"/>
    <x v="6"/>
  </r>
  <r>
    <s v="FIN-01857"/>
    <d v="2026-05-25T00:00:00"/>
    <x v="1"/>
    <x v="6"/>
    <x v="12"/>
    <x v="4"/>
    <s v="Multan"/>
    <s v="Cloudnet"/>
    <x v="3"/>
    <n v="5882.35"/>
    <n v="12492.19"/>
    <n v="6609.84"/>
    <n v="1.123673361836681"/>
    <x v="1"/>
    <n v="12492.19"/>
    <x v="16"/>
  </r>
  <r>
    <s v="FIN-01858"/>
    <d v="2026-02-23T00:00:00"/>
    <x v="1"/>
    <x v="3"/>
    <x v="3"/>
    <x v="3"/>
    <s v="Karachi"/>
    <s v="Peoplefirst"/>
    <x v="1"/>
    <n v="12125"/>
    <n v="6250.4"/>
    <n v="-5874.6"/>
    <n v="-0.48450309278350517"/>
    <x v="0"/>
    <n v="6250.4"/>
    <x v="17"/>
  </r>
  <r>
    <s v="FIN-01859"/>
    <d v="2025-11-12T00:00:00"/>
    <x v="1"/>
    <x v="3"/>
    <x v="3"/>
    <x v="2"/>
    <s v="Lahore"/>
    <s v="Adsphere"/>
    <x v="2"/>
    <n v="13125"/>
    <n v="13742.36"/>
    <n v="617.36000000000058"/>
    <n v="4.7036952380952422E-2"/>
    <x v="1"/>
    <n v="13742.36"/>
    <x v="10"/>
  </r>
  <r>
    <s v="FIN-01860"/>
    <d v="2025-08-10T00:00:00"/>
    <x v="0"/>
    <x v="0"/>
    <x v="1"/>
    <x v="3"/>
    <s v="Karachi"/>
    <s v="Prime Supplies"/>
    <x v="0"/>
    <n v="3000"/>
    <n v="1665.49"/>
    <n v="-1334.51"/>
    <n v="-0.44483666666666666"/>
    <x v="0"/>
    <n v="-1665.49"/>
    <x v="7"/>
  </r>
  <r>
    <s v="FIN-01861"/>
    <d v="2025-05-26T00:00:00"/>
    <x v="0"/>
    <x v="4"/>
    <x v="6"/>
    <x v="3"/>
    <s v="Lahore"/>
    <s v="Techsource"/>
    <x v="2"/>
    <n v="7200"/>
    <n v="14245.36"/>
    <n v="7045.3600000000006"/>
    <n v="0.97852222222222229"/>
    <x v="1"/>
    <n v="-14245.36"/>
    <x v="4"/>
  </r>
  <r>
    <s v="FIN-01862"/>
    <d v="2025-09-24T00:00:00"/>
    <x v="0"/>
    <x v="2"/>
    <x v="10"/>
    <x v="1"/>
    <s v="Karachi"/>
    <s v="Dataserve"/>
    <x v="2"/>
    <n v="5000"/>
    <n v="1153.32"/>
    <n v="-3846.6800000000003"/>
    <n v="-0.76933600000000002"/>
    <x v="0"/>
    <n v="-1153.32"/>
    <x v="8"/>
  </r>
  <r>
    <s v="FIN-01863"/>
    <d v="2025-04-21T00:00:00"/>
    <x v="1"/>
    <x v="2"/>
    <x v="3"/>
    <x v="2"/>
    <s v="Karachi"/>
    <s v="Techsource"/>
    <x v="4"/>
    <n v="11363.64"/>
    <n v="20863.86"/>
    <n v="9500.2200000000012"/>
    <n v="0.8360190924738905"/>
    <x v="1"/>
    <n v="20863.86"/>
    <x v="3"/>
  </r>
  <r>
    <s v="FIN-01864"/>
    <d v="2026-05-06T00:00:00"/>
    <x v="0"/>
    <x v="4"/>
    <x v="11"/>
    <x v="3"/>
    <s v="Karachi"/>
    <s v="Travellink"/>
    <x v="4"/>
    <n v="4400"/>
    <n v="1796.67"/>
    <n v="-2603.33"/>
    <n v="-0.5916659090909091"/>
    <x v="0"/>
    <n v="-1796.67"/>
    <x v="16"/>
  </r>
  <r>
    <s v="FIN-01865"/>
    <d v="2025-03-16T00:00:00"/>
    <x v="0"/>
    <x v="2"/>
    <x v="6"/>
    <x v="4"/>
    <s v="Faisalabad"/>
    <s v="Peoplefirst"/>
    <x v="4"/>
    <n v="6000"/>
    <n v="14148.59"/>
    <n v="8148.59"/>
    <n v="1.3580983333333334"/>
    <x v="1"/>
    <n v="-14148.59"/>
    <x v="2"/>
  </r>
  <r>
    <s v="FIN-01866"/>
    <d v="2026-04-09T00:00:00"/>
    <x v="0"/>
    <x v="2"/>
    <x v="1"/>
    <x v="3"/>
    <s v="Lahore"/>
    <s v="Legalworks"/>
    <x v="2"/>
    <n v="2250"/>
    <n v="233.81"/>
    <n v="-2016.19"/>
    <n v="-0.89608444444444446"/>
    <x v="0"/>
    <n v="-233.81"/>
    <x v="15"/>
  </r>
  <r>
    <s v="FIN-01867"/>
    <d v="2025-10-19T00:00:00"/>
    <x v="0"/>
    <x v="4"/>
    <x v="9"/>
    <x v="4"/>
    <s v="Multan"/>
    <s v="Buildcare"/>
    <x v="1"/>
    <n v="3928.57"/>
    <n v="7524.8"/>
    <n v="3596.23"/>
    <n v="0.91540433287430278"/>
    <x v="1"/>
    <n v="-7524.8"/>
    <x v="9"/>
  </r>
  <r>
    <s v="FIN-01868"/>
    <d v="2025-02-14T00:00:00"/>
    <x v="1"/>
    <x v="3"/>
    <x v="2"/>
    <x v="0"/>
    <s v="Islamabad"/>
    <s v="Legalworks"/>
    <x v="1"/>
    <n v="4850"/>
    <n v="4570.79"/>
    <n v="-279.21000000000004"/>
    <n v="-5.7569072164948464E-2"/>
    <x v="0"/>
    <n v="4570.79"/>
    <x v="1"/>
  </r>
  <r>
    <s v="FIN-01869"/>
    <d v="2025-05-18T00:00:00"/>
    <x v="0"/>
    <x v="5"/>
    <x v="6"/>
    <x v="2"/>
    <s v="Faisalabad"/>
    <s v="Softworks"/>
    <x v="3"/>
    <n v="7200"/>
    <n v="14774.74"/>
    <n v="7574.74"/>
    <n v="1.0520472222222221"/>
    <x v="1"/>
    <n v="-14774.74"/>
    <x v="4"/>
  </r>
  <r>
    <s v="FIN-01870"/>
    <d v="2025-02-28T00:00:00"/>
    <x v="1"/>
    <x v="3"/>
    <x v="12"/>
    <x v="2"/>
    <s v="Multan"/>
    <s v="Buildcare"/>
    <x v="1"/>
    <n v="13857.14"/>
    <n v="3476.52"/>
    <n v="-10380.619999999999"/>
    <n v="-0.74911706167362091"/>
    <x v="0"/>
    <n v="3476.52"/>
    <x v="1"/>
  </r>
  <r>
    <s v="FIN-01871"/>
    <d v="2025-01-05T00:00:00"/>
    <x v="1"/>
    <x v="1"/>
    <x v="3"/>
    <x v="1"/>
    <s v="Faisalabad"/>
    <s v="Cloudnet"/>
    <x v="4"/>
    <n v="11022.73"/>
    <n v="13604.71"/>
    <n v="2581.9799999999996"/>
    <n v="0.2342414265794408"/>
    <x v="1"/>
    <n v="13604.71"/>
    <x v="0"/>
  </r>
  <r>
    <s v="FIN-01872"/>
    <d v="2026-01-31T00:00:00"/>
    <x v="0"/>
    <x v="0"/>
    <x v="5"/>
    <x v="1"/>
    <s v="Karachi"/>
    <s v="Softworks"/>
    <x v="0"/>
    <n v="6305"/>
    <n v="6606.22"/>
    <n v="301.22000000000025"/>
    <n v="4.7774781919111858E-2"/>
    <x v="1"/>
    <n v="-6606.22"/>
    <x v="12"/>
  </r>
  <r>
    <s v="FIN-01873"/>
    <d v="2026-04-19T00:00:00"/>
    <x v="0"/>
    <x v="6"/>
    <x v="0"/>
    <x v="1"/>
    <s v="Peshawar"/>
    <s v="Travellink"/>
    <x v="3"/>
    <n v="5333.33"/>
    <n v="325.23"/>
    <n v="-5008.1000000000004"/>
    <n v="-0.93901933688708561"/>
    <x v="0"/>
    <n v="-325.23"/>
    <x v="15"/>
  </r>
  <r>
    <s v="FIN-01874"/>
    <d v="2026-03-17T00:00:00"/>
    <x v="0"/>
    <x v="2"/>
    <x v="0"/>
    <x v="1"/>
    <s v="Multan"/>
    <s v="Dataserve"/>
    <x v="5"/>
    <n v="4000"/>
    <n v="3398.02"/>
    <n v="-601.98"/>
    <n v="-0.15049500000000002"/>
    <x v="0"/>
    <n v="-3398.02"/>
    <x v="14"/>
  </r>
  <r>
    <s v="FIN-01875"/>
    <d v="2025-10-06T00:00:00"/>
    <x v="1"/>
    <x v="0"/>
    <x v="2"/>
    <x v="4"/>
    <s v="Karachi"/>
    <s v="Adsphere"/>
    <x v="2"/>
    <n v="4705.88"/>
    <n v="4683.8999999999996"/>
    <n v="-21.980000000000473"/>
    <n v="-4.6707523353762678E-3"/>
    <x v="0"/>
    <n v="4683.8999999999996"/>
    <x v="9"/>
  </r>
  <r>
    <s v="FIN-01876"/>
    <d v="2025-05-07T00:00:00"/>
    <x v="1"/>
    <x v="6"/>
    <x v="3"/>
    <x v="4"/>
    <s v="Karachi"/>
    <s v="Travellink"/>
    <x v="2"/>
    <n v="9615.3799999999992"/>
    <n v="12539.6"/>
    <n v="2924.2200000000012"/>
    <n v="0.30411902597713264"/>
    <x v="1"/>
    <n v="12539.6"/>
    <x v="4"/>
  </r>
  <r>
    <s v="FIN-01877"/>
    <d v="2025-12-19T00:00:00"/>
    <x v="0"/>
    <x v="2"/>
    <x v="6"/>
    <x v="1"/>
    <s v="Lahore"/>
    <s v="Buildcare"/>
    <x v="2"/>
    <n v="7875"/>
    <n v="14812.6"/>
    <n v="6937.6"/>
    <n v="0.8809650793650794"/>
    <x v="1"/>
    <n v="-14812.6"/>
    <x v="11"/>
  </r>
  <r>
    <s v="FIN-01878"/>
    <d v="2026-03-12T00:00:00"/>
    <x v="0"/>
    <x v="2"/>
    <x v="6"/>
    <x v="0"/>
    <s v="Faisalabad"/>
    <s v="Travellink"/>
    <x v="3"/>
    <n v="7200"/>
    <n v="15507.18"/>
    <n v="8307.18"/>
    <n v="1.153775"/>
    <x v="1"/>
    <n v="-15507.18"/>
    <x v="14"/>
  </r>
  <r>
    <s v="FIN-01879"/>
    <d v="2026-04-19T00:00:00"/>
    <x v="0"/>
    <x v="5"/>
    <x v="9"/>
    <x v="3"/>
    <s v="Multan"/>
    <s v="Dataserve"/>
    <x v="4"/>
    <n v="9166.67"/>
    <n v="6048.13"/>
    <n v="-3118.54"/>
    <n v="-0.34020423992573096"/>
    <x v="0"/>
    <n v="-6048.13"/>
    <x v="15"/>
  </r>
  <r>
    <s v="FIN-01880"/>
    <d v="2026-01-23T00:00:00"/>
    <x v="1"/>
    <x v="3"/>
    <x v="2"/>
    <x v="4"/>
    <s v="Karachi"/>
    <s v="Adsphere"/>
    <x v="2"/>
    <n v="8622.2199999999993"/>
    <n v="6966.13"/>
    <n v="-1656.0899999999992"/>
    <n v="-0.19207234331761419"/>
    <x v="0"/>
    <n v="6966.13"/>
    <x v="12"/>
  </r>
  <r>
    <s v="FIN-01881"/>
    <d v="2026-03-13T00:00:00"/>
    <x v="0"/>
    <x v="5"/>
    <x v="6"/>
    <x v="0"/>
    <s v="Karachi"/>
    <s v="Buildcare"/>
    <x v="4"/>
    <n v="7200"/>
    <n v="10818.55"/>
    <n v="3618.5499999999993"/>
    <n v="0.50257638888888878"/>
    <x v="1"/>
    <n v="-10818.55"/>
    <x v="14"/>
  </r>
  <r>
    <s v="FIN-01882"/>
    <d v="2025-05-23T00:00:00"/>
    <x v="0"/>
    <x v="1"/>
    <x v="0"/>
    <x v="3"/>
    <s v="Multan"/>
    <s v="Peoplefirst"/>
    <x v="2"/>
    <n v="2909.09"/>
    <n v="3692.7"/>
    <n v="783.60999999999967"/>
    <n v="0.26936602167688167"/>
    <x v="1"/>
    <n v="-3692.7"/>
    <x v="4"/>
  </r>
  <r>
    <s v="FIN-01883"/>
    <d v="2025-03-04T00:00:00"/>
    <x v="0"/>
    <x v="4"/>
    <x v="0"/>
    <x v="0"/>
    <s v="Lahore"/>
    <s v="Dataserve"/>
    <x v="1"/>
    <n v="4571.43"/>
    <n v="2154.58"/>
    <n v="-2416.8500000000004"/>
    <n v="-0.52868577228569624"/>
    <x v="0"/>
    <n v="-2154.58"/>
    <x v="2"/>
  </r>
  <r>
    <s v="FIN-01884"/>
    <d v="2025-12-27T00:00:00"/>
    <x v="0"/>
    <x v="1"/>
    <x v="8"/>
    <x v="2"/>
    <s v="Karachi"/>
    <s v="Legalworks"/>
    <x v="2"/>
    <n v="4500"/>
    <n v="869.31"/>
    <n v="-3630.69"/>
    <n v="-0.80681999999999998"/>
    <x v="0"/>
    <n v="-869.31"/>
    <x v="11"/>
  </r>
  <r>
    <s v="FIN-01885"/>
    <d v="2026-05-22T00:00:00"/>
    <x v="0"/>
    <x v="6"/>
    <x v="7"/>
    <x v="1"/>
    <s v="Islamabad"/>
    <s v="Adsphere"/>
    <x v="1"/>
    <n v="2692.31"/>
    <n v="2860.74"/>
    <n v="168.42999999999984"/>
    <n v="6.2559660663147942E-2"/>
    <x v="1"/>
    <n v="-2860.74"/>
    <x v="16"/>
  </r>
  <r>
    <s v="FIN-01886"/>
    <d v="2026-03-12T00:00:00"/>
    <x v="0"/>
    <x v="1"/>
    <x v="9"/>
    <x v="1"/>
    <s v="Karachi"/>
    <s v="Travellink"/>
    <x v="0"/>
    <n v="5000"/>
    <n v="3065.71"/>
    <n v="-1934.29"/>
    <n v="-0.38685799999999998"/>
    <x v="0"/>
    <n v="-3065.71"/>
    <x v="14"/>
  </r>
  <r>
    <s v="FIN-01887"/>
    <d v="2025-03-06T00:00:00"/>
    <x v="0"/>
    <x v="6"/>
    <x v="9"/>
    <x v="1"/>
    <s v="Lahore"/>
    <s v="Adsphere"/>
    <x v="2"/>
    <n v="3928.57"/>
    <n v="2150.84"/>
    <n v="-1777.73"/>
    <n v="-0.4525132554593656"/>
    <x v="0"/>
    <n v="-2150.84"/>
    <x v="2"/>
  </r>
  <r>
    <s v="FIN-01888"/>
    <d v="2026-06-07T00:00:00"/>
    <x v="0"/>
    <x v="2"/>
    <x v="8"/>
    <x v="2"/>
    <s v="Faisalabad"/>
    <s v="Markethub"/>
    <x v="1"/>
    <n v="6000"/>
    <n v="5245.57"/>
    <n v="-754.43000000000029"/>
    <n v="-0.12573833333333337"/>
    <x v="0"/>
    <n v="-5245.57"/>
    <x v="13"/>
  </r>
  <r>
    <s v="FIN-01889"/>
    <d v="2026-01-10T00:00:00"/>
    <x v="0"/>
    <x v="2"/>
    <x v="4"/>
    <x v="1"/>
    <s v="Karachi"/>
    <s v="Buildcare"/>
    <x v="4"/>
    <n v="5432"/>
    <n v="1668.07"/>
    <n v="-3763.9300000000003"/>
    <n v="-0.69291789396170844"/>
    <x v="0"/>
    <n v="-1668.07"/>
    <x v="12"/>
  </r>
  <r>
    <s v="FIN-01890"/>
    <d v="2026-05-12T00:00:00"/>
    <x v="0"/>
    <x v="6"/>
    <x v="6"/>
    <x v="0"/>
    <s v="Lahore"/>
    <s v="Urban Facilities"/>
    <x v="4"/>
    <n v="16363.64"/>
    <n v="1925.1"/>
    <n v="-14438.539999999999"/>
    <n v="-0.8823550261433275"/>
    <x v="0"/>
    <n v="-1925.1"/>
    <x v="16"/>
  </r>
  <r>
    <s v="FIN-01891"/>
    <d v="2025-06-26T00:00:00"/>
    <x v="0"/>
    <x v="1"/>
    <x v="6"/>
    <x v="3"/>
    <s v="Multan"/>
    <s v="Powergrid"/>
    <x v="1"/>
    <n v="6428.57"/>
    <n v="9248.82"/>
    <n v="2820.25"/>
    <n v="0.43870565304570069"/>
    <x v="1"/>
    <n v="-9248.82"/>
    <x v="5"/>
  </r>
  <r>
    <s v="FIN-01892"/>
    <d v="2026-03-23T00:00:00"/>
    <x v="0"/>
    <x v="3"/>
    <x v="8"/>
    <x v="3"/>
    <s v="Lahore"/>
    <s v="Adsphere"/>
    <x v="3"/>
    <n v="6000"/>
    <n v="6463.78"/>
    <n v="463.77999999999975"/>
    <n v="7.7296666666666625E-2"/>
    <x v="1"/>
    <n v="-6463.78"/>
    <x v="14"/>
  </r>
  <r>
    <s v="FIN-01893"/>
    <d v="2026-01-04T00:00:00"/>
    <x v="1"/>
    <x v="3"/>
    <x v="2"/>
    <x v="0"/>
    <s v="Karachi"/>
    <s v="Techsource"/>
    <x v="4"/>
    <n v="8622.2199999999993"/>
    <n v="4528.08"/>
    <n v="-4094.1399999999994"/>
    <n v="-0.47483594712266675"/>
    <x v="0"/>
    <n v="4528.08"/>
    <x v="12"/>
  </r>
  <r>
    <s v="FIN-01894"/>
    <d v="2025-09-15T00:00:00"/>
    <x v="1"/>
    <x v="1"/>
    <x v="13"/>
    <x v="0"/>
    <s v="Karachi"/>
    <s v="Travellink"/>
    <x v="2"/>
    <n v="3333.33"/>
    <n v="1626.29"/>
    <n v="-1707.04"/>
    <n v="-0.51211251211251207"/>
    <x v="0"/>
    <n v="1626.29"/>
    <x v="8"/>
  </r>
  <r>
    <s v="FIN-01895"/>
    <d v="2025-03-26T00:00:00"/>
    <x v="1"/>
    <x v="6"/>
    <x v="12"/>
    <x v="2"/>
    <s v="Islamabad"/>
    <s v="Dataserve"/>
    <x v="1"/>
    <n v="9090.91"/>
    <n v="6087.73"/>
    <n v="-3003.1800000000003"/>
    <n v="-0.33034976696502333"/>
    <x v="0"/>
    <n v="6087.73"/>
    <x v="2"/>
  </r>
  <r>
    <s v="FIN-01896"/>
    <d v="2026-03-12T00:00:00"/>
    <x v="1"/>
    <x v="3"/>
    <x v="2"/>
    <x v="4"/>
    <s v="Karachi"/>
    <s v="Officepro"/>
    <x v="3"/>
    <n v="10000"/>
    <n v="4108.13"/>
    <n v="-5891.87"/>
    <n v="-0.58918700000000002"/>
    <x v="0"/>
    <n v="4108.13"/>
    <x v="14"/>
  </r>
  <r>
    <s v="FIN-01897"/>
    <d v="2025-09-15T00:00:00"/>
    <x v="0"/>
    <x v="0"/>
    <x v="1"/>
    <x v="1"/>
    <s v="Karachi"/>
    <s v="Officepro"/>
    <x v="2"/>
    <n v="3600"/>
    <n v="718.03"/>
    <n v="-2881.9700000000003"/>
    <n v="-0.8005472222222223"/>
    <x v="0"/>
    <n v="-718.03"/>
    <x v="8"/>
  </r>
  <r>
    <s v="FIN-01898"/>
    <d v="2026-05-30T00:00:00"/>
    <x v="1"/>
    <x v="3"/>
    <x v="12"/>
    <x v="1"/>
    <s v="Faisalabad"/>
    <s v="Powergrid"/>
    <x v="3"/>
    <n v="5882.35"/>
    <n v="8536.0499999999993"/>
    <n v="2653.6999999999989"/>
    <n v="0.45112922556461255"/>
    <x v="1"/>
    <n v="8536.0499999999993"/>
    <x v="16"/>
  </r>
  <r>
    <s v="FIN-01899"/>
    <d v="2025-07-17T00:00:00"/>
    <x v="0"/>
    <x v="1"/>
    <x v="6"/>
    <x v="4"/>
    <s v="Karachi"/>
    <s v="Urban Facilities"/>
    <x v="4"/>
    <n v="6923.08"/>
    <n v="4606.25"/>
    <n v="-2316.83"/>
    <n v="-0.33465307348752288"/>
    <x v="0"/>
    <n v="-4606.25"/>
    <x v="6"/>
  </r>
  <r>
    <s v="FIN-01900"/>
    <d v="2026-03-11T00:00:00"/>
    <x v="1"/>
    <x v="6"/>
    <x v="12"/>
    <x v="4"/>
    <s v="Karachi"/>
    <s v="Powergrid"/>
    <x v="3"/>
    <n v="10000"/>
    <n v="16910.919999999998"/>
    <n v="6910.9199999999983"/>
    <n v="0.69109199999999982"/>
    <x v="1"/>
    <n v="16910.919999999998"/>
    <x v="14"/>
  </r>
  <r>
    <s v="FIN-01901"/>
    <d v="2025-05-31T00:00:00"/>
    <x v="0"/>
    <x v="1"/>
    <x v="11"/>
    <x v="3"/>
    <s v="Islamabad"/>
    <s v="Officepro"/>
    <x v="2"/>
    <n v="5500"/>
    <n v="1026.8800000000001"/>
    <n v="-4473.12"/>
    <n v="-0.81329454545454538"/>
    <x v="0"/>
    <n v="-1026.8800000000001"/>
    <x v="4"/>
  </r>
  <r>
    <s v="FIN-01902"/>
    <d v="2025-10-05T00:00:00"/>
    <x v="0"/>
    <x v="2"/>
    <x v="5"/>
    <x v="3"/>
    <s v="Karachi"/>
    <s v="Powergrid"/>
    <x v="4"/>
    <n v="9285.7099999999991"/>
    <n v="8401"/>
    <n v="-884.70999999999913"/>
    <n v="-9.5276505512233226E-2"/>
    <x v="0"/>
    <n v="-8401"/>
    <x v="9"/>
  </r>
  <r>
    <s v="FIN-01903"/>
    <d v="2026-05-02T00:00:00"/>
    <x v="0"/>
    <x v="5"/>
    <x v="6"/>
    <x v="3"/>
    <s v="Islamabad"/>
    <s v="Buildcare"/>
    <x v="4"/>
    <n v="16363.64"/>
    <n v="3970.66"/>
    <n v="-12392.98"/>
    <n v="-0.7573486094780868"/>
    <x v="0"/>
    <n v="-3970.66"/>
    <x v="16"/>
  </r>
  <r>
    <s v="FIN-01904"/>
    <d v="2025-08-23T00:00:00"/>
    <x v="1"/>
    <x v="6"/>
    <x v="3"/>
    <x v="1"/>
    <s v="Islamabad"/>
    <s v="Shipfast"/>
    <x v="2"/>
    <n v="10416.67"/>
    <n v="3640.59"/>
    <n v="-6776.08"/>
    <n v="-0.65050347183888901"/>
    <x v="0"/>
    <n v="3640.59"/>
    <x v="7"/>
  </r>
  <r>
    <s v="FIN-01905"/>
    <d v="2025-05-04T00:00:00"/>
    <x v="0"/>
    <x v="1"/>
    <x v="6"/>
    <x v="3"/>
    <s v="Islamabad"/>
    <s v="Cloudnet"/>
    <x v="1"/>
    <n v="7200"/>
    <n v="12416.73"/>
    <n v="5216.7299999999996"/>
    <n v="0.72454583333333322"/>
    <x v="1"/>
    <n v="-12416.73"/>
    <x v="4"/>
  </r>
  <r>
    <s v="FIN-01906"/>
    <d v="2025-12-18T00:00:00"/>
    <x v="0"/>
    <x v="1"/>
    <x v="6"/>
    <x v="0"/>
    <s v="Faisalabad"/>
    <s v="Peoplefirst"/>
    <x v="1"/>
    <n v="7875"/>
    <n v="16140.45"/>
    <n v="8265.4500000000007"/>
    <n v="1.0495809523809525"/>
    <x v="1"/>
    <n v="-16140.45"/>
    <x v="11"/>
  </r>
  <r>
    <s v="FIN-01907"/>
    <d v="2025-06-14T00:00:00"/>
    <x v="1"/>
    <x v="3"/>
    <x v="2"/>
    <x v="4"/>
    <s v="Karachi"/>
    <s v="Shipfast"/>
    <x v="1"/>
    <n v="5333.33"/>
    <n v="6947.91"/>
    <n v="1614.58"/>
    <n v="0.302733939208712"/>
    <x v="1"/>
    <n v="6947.91"/>
    <x v="5"/>
  </r>
  <r>
    <s v="FIN-01908"/>
    <d v="2025-09-27T00:00:00"/>
    <x v="1"/>
    <x v="3"/>
    <x v="3"/>
    <x v="0"/>
    <s v="Lahore"/>
    <s v="Markethub"/>
    <x v="1"/>
    <n v="11904.76"/>
    <n v="7922.56"/>
    <n v="-3982.2"/>
    <n v="-0.33450485352077652"/>
    <x v="0"/>
    <n v="7922.56"/>
    <x v="8"/>
  </r>
  <r>
    <s v="FIN-01909"/>
    <d v="2025-09-15T00:00:00"/>
    <x v="1"/>
    <x v="3"/>
    <x v="3"/>
    <x v="4"/>
    <s v="Karachi"/>
    <s v="Adsphere"/>
    <x v="0"/>
    <n v="11904.76"/>
    <n v="1064.5"/>
    <n v="-10840.26"/>
    <n v="-0.91058198569311766"/>
    <x v="0"/>
    <n v="1064.5"/>
    <x v="8"/>
  </r>
  <r>
    <s v="FIN-01910"/>
    <d v="2025-01-28T00:00:00"/>
    <x v="0"/>
    <x v="1"/>
    <x v="11"/>
    <x v="1"/>
    <s v="Multan"/>
    <s v="Officepro"/>
    <x v="2"/>
    <n v="3556.67"/>
    <n v="899.15"/>
    <n v="-2657.52"/>
    <n v="-0.7471933015995299"/>
    <x v="0"/>
    <n v="-899.15"/>
    <x v="0"/>
  </r>
  <r>
    <s v="FIN-01911"/>
    <d v="2026-05-04T00:00:00"/>
    <x v="1"/>
    <x v="0"/>
    <x v="13"/>
    <x v="4"/>
    <s v="Peshawar"/>
    <s v="Dataserve"/>
    <x v="1"/>
    <n v="5000"/>
    <n v="1140.3900000000001"/>
    <n v="-3859.6099999999997"/>
    <n v="-0.77192199999999989"/>
    <x v="0"/>
    <n v="1140.3900000000001"/>
    <x v="16"/>
  </r>
  <r>
    <s v="FIN-01912"/>
    <d v="2026-05-30T00:00:00"/>
    <x v="0"/>
    <x v="4"/>
    <x v="5"/>
    <x v="3"/>
    <s v="Multan"/>
    <s v="Softworks"/>
    <x v="1"/>
    <n v="6500"/>
    <n v="9388.0499999999993"/>
    <n v="2888.0499999999993"/>
    <n v="0.4443153846153845"/>
    <x v="1"/>
    <n v="-9388.0499999999993"/>
    <x v="16"/>
  </r>
  <r>
    <s v="FIN-01913"/>
    <d v="2025-10-12T00:00:00"/>
    <x v="1"/>
    <x v="1"/>
    <x v="3"/>
    <x v="4"/>
    <s v="Faisalabad"/>
    <s v="Officepro"/>
    <x v="1"/>
    <n v="8928.57"/>
    <n v="3422.27"/>
    <n v="-5506.2999999999993"/>
    <n v="-0.6167056986729117"/>
    <x v="0"/>
    <n v="3422.27"/>
    <x v="9"/>
  </r>
  <r>
    <s v="FIN-01914"/>
    <d v="2025-05-10T00:00:00"/>
    <x v="0"/>
    <x v="1"/>
    <x v="1"/>
    <x v="2"/>
    <s v="Lahore"/>
    <s v="Cloudnet"/>
    <x v="2"/>
    <n v="2250"/>
    <n v="1166.97"/>
    <n v="-1083.03"/>
    <n v="-0.48134666666666664"/>
    <x v="0"/>
    <n v="-1166.97"/>
    <x v="4"/>
  </r>
  <r>
    <s v="FIN-01915"/>
    <d v="2025-10-13T00:00:00"/>
    <x v="0"/>
    <x v="6"/>
    <x v="1"/>
    <x v="4"/>
    <s v="Lahore"/>
    <s v="Travellink"/>
    <x v="1"/>
    <n v="3000"/>
    <n v="1333.98"/>
    <n v="-1666.02"/>
    <n v="-0.55533999999999994"/>
    <x v="0"/>
    <n v="-1333.98"/>
    <x v="9"/>
  </r>
  <r>
    <s v="FIN-01916"/>
    <d v="2026-05-21T00:00:00"/>
    <x v="0"/>
    <x v="4"/>
    <x v="9"/>
    <x v="2"/>
    <s v="Karachi"/>
    <s v="Markethub"/>
    <x v="1"/>
    <n v="7857.14"/>
    <n v="8354.48"/>
    <n v="497.33999999999924"/>
    <n v="6.3297841199214888E-2"/>
    <x v="1"/>
    <n v="-8354.48"/>
    <x v="16"/>
  </r>
  <r>
    <s v="FIN-01917"/>
    <d v="2025-06-19T00:00:00"/>
    <x v="1"/>
    <x v="2"/>
    <x v="2"/>
    <x v="3"/>
    <s v="Karachi"/>
    <s v="Shipfast"/>
    <x v="1"/>
    <n v="5333.33"/>
    <n v="130.93"/>
    <n v="-5202.3999999999996"/>
    <n v="-0.975450609656631"/>
    <x v="0"/>
    <n v="130.93"/>
    <x v="5"/>
  </r>
  <r>
    <s v="FIN-01918"/>
    <d v="2025-05-16T00:00:00"/>
    <x v="1"/>
    <x v="4"/>
    <x v="2"/>
    <x v="0"/>
    <s v="Lahore"/>
    <s v="Peoplefirst"/>
    <x v="1"/>
    <n v="10000"/>
    <n v="1752.56"/>
    <n v="-8247.44"/>
    <n v="-0.82474400000000003"/>
    <x v="0"/>
    <n v="1752.56"/>
    <x v="4"/>
  </r>
  <r>
    <s v="FIN-01919"/>
    <d v="2026-06-24T00:00:00"/>
    <x v="0"/>
    <x v="5"/>
    <x v="1"/>
    <x v="2"/>
    <s v="Karachi"/>
    <s v="Legalworks"/>
    <x v="3"/>
    <n v="3000"/>
    <n v="856.97"/>
    <n v="-2143.0299999999997"/>
    <n v="-0.71434333333333322"/>
    <x v="0"/>
    <n v="-856.97"/>
    <x v="13"/>
  </r>
  <r>
    <s v="FIN-01920"/>
    <d v="2026-06-19T00:00:00"/>
    <x v="0"/>
    <x v="5"/>
    <x v="6"/>
    <x v="2"/>
    <s v="Islamabad"/>
    <s v="Prime Supplies"/>
    <x v="1"/>
    <n v="8571.43"/>
    <n v="891.09"/>
    <n v="-7680.34"/>
    <n v="-0.89603951732674714"/>
    <x v="0"/>
    <n v="-891.09"/>
    <x v="13"/>
  </r>
  <r>
    <s v="FIN-01921"/>
    <d v="2026-05-04T00:00:00"/>
    <x v="0"/>
    <x v="1"/>
    <x v="5"/>
    <x v="0"/>
    <s v="Faisalabad"/>
    <s v="Dataserve"/>
    <x v="3"/>
    <n v="6500"/>
    <n v="8986.7000000000007"/>
    <n v="2486.7000000000007"/>
    <n v="0.38256923076923088"/>
    <x v="1"/>
    <n v="-8986.7000000000007"/>
    <x v="16"/>
  </r>
  <r>
    <s v="FIN-01922"/>
    <d v="2026-04-17T00:00:00"/>
    <x v="1"/>
    <x v="3"/>
    <x v="2"/>
    <x v="2"/>
    <s v="Islamabad"/>
    <s v="Powergrid"/>
    <x v="4"/>
    <n v="20000"/>
    <n v="7537.35"/>
    <n v="-12462.65"/>
    <n v="-0.62313249999999998"/>
    <x v="0"/>
    <n v="7537.35"/>
    <x v="15"/>
  </r>
  <r>
    <s v="FIN-01923"/>
    <d v="2026-06-24T00:00:00"/>
    <x v="1"/>
    <x v="0"/>
    <x v="3"/>
    <x v="4"/>
    <s v="Multan"/>
    <s v="Urban Facilities"/>
    <x v="2"/>
    <n v="10000"/>
    <n v="7141.79"/>
    <n v="-2858.21"/>
    <n v="-0.28582099999999999"/>
    <x v="0"/>
    <n v="7141.79"/>
    <x v="13"/>
  </r>
  <r>
    <s v="FIN-01924"/>
    <d v="2025-12-25T00:00:00"/>
    <x v="0"/>
    <x v="2"/>
    <x v="6"/>
    <x v="4"/>
    <s v="Lahore"/>
    <s v="Officepro"/>
    <x v="1"/>
    <n v="7875"/>
    <n v="11384.95"/>
    <n v="3509.9500000000007"/>
    <n v="0.44570793650793661"/>
    <x v="1"/>
    <n v="-11384.95"/>
    <x v="11"/>
  </r>
  <r>
    <s v="FIN-01925"/>
    <d v="2025-01-22T00:00:00"/>
    <x v="0"/>
    <x v="1"/>
    <x v="6"/>
    <x v="4"/>
    <s v="Peshawar"/>
    <s v="Dataserve"/>
    <x v="1"/>
    <n v="7591.3"/>
    <n v="14953.82"/>
    <n v="7362.5199999999995"/>
    <n v="0.96986286933726762"/>
    <x v="1"/>
    <n v="-14953.82"/>
    <x v="0"/>
  </r>
  <r>
    <s v="FIN-01926"/>
    <d v="2025-11-19T00:00:00"/>
    <x v="0"/>
    <x v="0"/>
    <x v="6"/>
    <x v="0"/>
    <s v="Karachi"/>
    <s v="Powergrid"/>
    <x v="1"/>
    <n v="9947.3700000000008"/>
    <n v="10386.200000000001"/>
    <n v="438.82999999999993"/>
    <n v="4.4115178182775938E-2"/>
    <x v="1"/>
    <n v="-10386.200000000001"/>
    <x v="10"/>
  </r>
  <r>
    <s v="FIN-01927"/>
    <d v="2025-03-17T00:00:00"/>
    <x v="1"/>
    <x v="5"/>
    <x v="13"/>
    <x v="1"/>
    <s v="Karachi"/>
    <s v="Travellink"/>
    <x v="1"/>
    <n v="2857.14"/>
    <n v="4001.34"/>
    <n v="1144.2000000000003"/>
    <n v="0.40047040047040061"/>
    <x v="1"/>
    <n v="4001.34"/>
    <x v="2"/>
  </r>
  <r>
    <s v="FIN-01928"/>
    <d v="2026-03-30T00:00:00"/>
    <x v="0"/>
    <x v="3"/>
    <x v="9"/>
    <x v="4"/>
    <s v="Lahore"/>
    <s v="Buildcare"/>
    <x v="1"/>
    <n v="5000"/>
    <n v="6042.53"/>
    <n v="1042.5299999999997"/>
    <n v="0.20850599999999994"/>
    <x v="1"/>
    <n v="-6042.53"/>
    <x v="14"/>
  </r>
  <r>
    <s v="FIN-01929"/>
    <d v="2025-09-14T00:00:00"/>
    <x v="0"/>
    <x v="0"/>
    <x v="0"/>
    <x v="1"/>
    <s v="Faisalabad"/>
    <s v="Legalworks"/>
    <x v="3"/>
    <n v="5333.33"/>
    <n v="396.79"/>
    <n v="-4936.54"/>
    <n v="-0.92560182850114281"/>
    <x v="0"/>
    <n v="-396.79"/>
    <x v="8"/>
  </r>
  <r>
    <s v="FIN-01930"/>
    <d v="2026-06-23T00:00:00"/>
    <x v="0"/>
    <x v="2"/>
    <x v="6"/>
    <x v="3"/>
    <s v="Peshawar"/>
    <s v="Prime Supplies"/>
    <x v="3"/>
    <n v="8571.43"/>
    <n v="6818.68"/>
    <n v="-1752.75"/>
    <n v="-0.20448746591875566"/>
    <x v="0"/>
    <n v="-6818.68"/>
    <x v="13"/>
  </r>
  <r>
    <s v="FIN-01931"/>
    <d v="2026-04-10T00:00:00"/>
    <x v="0"/>
    <x v="2"/>
    <x v="5"/>
    <x v="2"/>
    <s v="Lahore"/>
    <s v="Powergrid"/>
    <x v="4"/>
    <n v="10833.33"/>
    <n v="11111.87"/>
    <n v="278.54000000000087"/>
    <n v="2.5711392526582395E-2"/>
    <x v="1"/>
    <n v="-11111.87"/>
    <x v="15"/>
  </r>
  <r>
    <s v="FIN-01932"/>
    <d v="2025-08-05T00:00:00"/>
    <x v="1"/>
    <x v="2"/>
    <x v="3"/>
    <x v="4"/>
    <s v="Karachi"/>
    <s v="Prime Supplies"/>
    <x v="2"/>
    <n v="10416.67"/>
    <n v="22210.75"/>
    <n v="11794.08"/>
    <n v="1.1322313176859784"/>
    <x v="1"/>
    <n v="22210.75"/>
    <x v="7"/>
  </r>
  <r>
    <s v="FIN-01933"/>
    <d v="2026-01-14T00:00:00"/>
    <x v="1"/>
    <x v="3"/>
    <x v="3"/>
    <x v="3"/>
    <s v="Faisalabad"/>
    <s v="Softworks"/>
    <x v="1"/>
    <n v="11547.62"/>
    <n v="16975.47"/>
    <n v="5427.85"/>
    <n v="0.47004057979046765"/>
    <x v="1"/>
    <n v="16975.47"/>
    <x v="12"/>
  </r>
  <r>
    <s v="FIN-01934"/>
    <d v="2025-04-17T00:00:00"/>
    <x v="1"/>
    <x v="3"/>
    <x v="2"/>
    <x v="4"/>
    <s v="Karachi"/>
    <s v="Dataserve"/>
    <x v="4"/>
    <n v="10000"/>
    <n v="1109.8800000000001"/>
    <n v="-8890.119999999999"/>
    <n v="-0.88901199999999991"/>
    <x v="0"/>
    <n v="1109.8800000000001"/>
    <x v="3"/>
  </r>
  <r>
    <s v="FIN-01935"/>
    <d v="2025-12-24T00:00:00"/>
    <x v="0"/>
    <x v="6"/>
    <x v="7"/>
    <x v="1"/>
    <s v="Karachi"/>
    <s v="Peoplefirst"/>
    <x v="4"/>
    <n v="6125"/>
    <n v="1664.59"/>
    <n v="-4460.41"/>
    <n v="-0.72823020408163264"/>
    <x v="0"/>
    <n v="-1664.59"/>
    <x v="11"/>
  </r>
  <r>
    <s v="FIN-01936"/>
    <d v="2025-06-29T00:00:00"/>
    <x v="1"/>
    <x v="3"/>
    <x v="12"/>
    <x v="1"/>
    <s v="Karachi"/>
    <s v="Officepro"/>
    <x v="3"/>
    <n v="6250"/>
    <n v="2260.81"/>
    <n v="-3989.19"/>
    <n v="-0.63827040000000002"/>
    <x v="0"/>
    <n v="2260.81"/>
    <x v="5"/>
  </r>
  <r>
    <s v="FIN-01937"/>
    <d v="2025-07-14T00:00:00"/>
    <x v="0"/>
    <x v="3"/>
    <x v="5"/>
    <x v="2"/>
    <s v="Karachi"/>
    <s v="Travellink"/>
    <x v="3"/>
    <n v="5909.09"/>
    <n v="11006.95"/>
    <n v="5097.8600000000006"/>
    <n v="0.86271490195613887"/>
    <x v="1"/>
    <n v="-11006.95"/>
    <x v="6"/>
  </r>
  <r>
    <s v="FIN-01938"/>
    <d v="2025-02-11T00:00:00"/>
    <x v="1"/>
    <x v="3"/>
    <x v="3"/>
    <x v="0"/>
    <s v="Karachi"/>
    <s v="Markethub"/>
    <x v="2"/>
    <n v="13472.22"/>
    <n v="14998.71"/>
    <n v="1526.4899999999998"/>
    <n v="0.1133064929165349"/>
    <x v="1"/>
    <n v="14998.71"/>
    <x v="1"/>
  </r>
  <r>
    <s v="FIN-01939"/>
    <d v="2026-04-08T00:00:00"/>
    <x v="0"/>
    <x v="0"/>
    <x v="10"/>
    <x v="2"/>
    <s v="Karachi"/>
    <s v="Adsphere"/>
    <x v="3"/>
    <n v="6666.67"/>
    <n v="789.56"/>
    <n v="-5877.1100000000006"/>
    <n v="-0.88156605921697051"/>
    <x v="0"/>
    <n v="-789.56"/>
    <x v="15"/>
  </r>
  <r>
    <s v="FIN-01940"/>
    <d v="2026-04-25T00:00:00"/>
    <x v="0"/>
    <x v="2"/>
    <x v="6"/>
    <x v="3"/>
    <s v="Karachi"/>
    <s v="Urban Facilities"/>
    <x v="0"/>
    <n v="8571.43"/>
    <n v="10617.79"/>
    <n v="2046.3600000000006"/>
    <n v="0.23874196020967337"/>
    <x v="1"/>
    <n v="-10617.79"/>
    <x v="15"/>
  </r>
  <r>
    <s v="FIN-01941"/>
    <d v="2025-11-30T00:00:00"/>
    <x v="0"/>
    <x v="4"/>
    <x v="1"/>
    <x v="3"/>
    <s v="Lahore"/>
    <s v="Officepro"/>
    <x v="2"/>
    <n v="1890"/>
    <n v="1160.17"/>
    <n v="-729.82999999999993"/>
    <n v="-0.38615343915343914"/>
    <x v="0"/>
    <n v="-1160.17"/>
    <x v="10"/>
  </r>
  <r>
    <s v="FIN-01942"/>
    <d v="2025-07-12T00:00:00"/>
    <x v="1"/>
    <x v="1"/>
    <x v="13"/>
    <x v="0"/>
    <s v="Faisalabad"/>
    <s v="Legalworks"/>
    <x v="1"/>
    <n v="4000"/>
    <n v="568.54"/>
    <n v="-3431.46"/>
    <n v="-0.85786499999999999"/>
    <x v="0"/>
    <n v="568.54"/>
    <x v="6"/>
  </r>
  <r>
    <s v="FIN-01943"/>
    <d v="2025-11-19T00:00:00"/>
    <x v="1"/>
    <x v="1"/>
    <x v="12"/>
    <x v="3"/>
    <s v="Karachi"/>
    <s v="Legalworks"/>
    <x v="3"/>
    <n v="9545.4500000000007"/>
    <n v="6943.67"/>
    <n v="-2601.7800000000007"/>
    <n v="-0.27256755836550406"/>
    <x v="0"/>
    <n v="6943.67"/>
    <x v="10"/>
  </r>
  <r>
    <s v="FIN-01944"/>
    <d v="2026-04-10T00:00:00"/>
    <x v="1"/>
    <x v="3"/>
    <x v="12"/>
    <x v="3"/>
    <s v="Islamabad"/>
    <s v="Dataserve"/>
    <x v="4"/>
    <n v="7142.86"/>
    <n v="13587.76"/>
    <n v="6444.9000000000005"/>
    <n v="0.90228563908574444"/>
    <x v="1"/>
    <n v="13587.76"/>
    <x v="15"/>
  </r>
  <r>
    <s v="FIN-01945"/>
    <d v="2025-08-22T00:00:00"/>
    <x v="0"/>
    <x v="6"/>
    <x v="5"/>
    <x v="4"/>
    <s v="Karachi"/>
    <s v="Shipfast"/>
    <x v="2"/>
    <n v="10833.33"/>
    <n v="10734.65"/>
    <n v="-98.680000000000291"/>
    <n v="-9.1089258796695285E-3"/>
    <x v="0"/>
    <n v="-10734.65"/>
    <x v="7"/>
  </r>
  <r>
    <s v="FIN-01946"/>
    <d v="2025-12-02T00:00:00"/>
    <x v="0"/>
    <x v="1"/>
    <x v="11"/>
    <x v="1"/>
    <s v="Islamabad"/>
    <s v="Techsource"/>
    <x v="4"/>
    <n v="3300"/>
    <n v="2346.8200000000002"/>
    <n v="-953.17999999999984"/>
    <n v="-0.28884242424242418"/>
    <x v="0"/>
    <n v="-2346.8200000000002"/>
    <x v="11"/>
  </r>
  <r>
    <s v="FIN-01947"/>
    <d v="2026-01-26T00:00:00"/>
    <x v="1"/>
    <x v="1"/>
    <x v="3"/>
    <x v="1"/>
    <s v="Lahore"/>
    <s v="Travellink"/>
    <x v="4"/>
    <n v="11547.62"/>
    <n v="7176.36"/>
    <n v="-4371.2600000000011"/>
    <n v="-0.37854207187281891"/>
    <x v="0"/>
    <n v="7176.36"/>
    <x v="12"/>
  </r>
  <r>
    <s v="FIN-01948"/>
    <d v="2025-11-10T00:00:00"/>
    <x v="1"/>
    <x v="3"/>
    <x v="12"/>
    <x v="4"/>
    <s v="Islamabad"/>
    <s v="Urban Facilities"/>
    <x v="1"/>
    <n v="9545.4500000000007"/>
    <n v="1839.21"/>
    <n v="-7706.2400000000007"/>
    <n v="-0.80732076539084063"/>
    <x v="0"/>
    <n v="1839.21"/>
    <x v="10"/>
  </r>
  <r>
    <s v="FIN-01949"/>
    <d v="2025-02-16T00:00:00"/>
    <x v="0"/>
    <x v="2"/>
    <x v="6"/>
    <x v="1"/>
    <s v="Lahore"/>
    <s v="Dataserve"/>
    <x v="1"/>
    <n v="11640"/>
    <n v="3159.46"/>
    <n v="-8480.5400000000009"/>
    <n v="-0.72856872852233689"/>
    <x v="0"/>
    <n v="-3159.46"/>
    <x v="1"/>
  </r>
  <r>
    <s v="FIN-01950"/>
    <d v="2026-01-31T00:00:00"/>
    <x v="0"/>
    <x v="3"/>
    <x v="11"/>
    <x v="2"/>
    <s v="Islamabad"/>
    <s v="Shipfast"/>
    <x v="3"/>
    <n v="3556.67"/>
    <n v="334.62"/>
    <n v="-3222.05"/>
    <n v="-0.90591761394787829"/>
    <x v="0"/>
    <n v="-334.62"/>
    <x v="12"/>
  </r>
  <r>
    <s v="FIN-01951"/>
    <d v="2025-07-25T00:00:00"/>
    <x v="1"/>
    <x v="3"/>
    <x v="12"/>
    <x v="2"/>
    <s v="Karachi"/>
    <s v="Powergrid"/>
    <x v="4"/>
    <n v="7142.86"/>
    <n v="10243.709999999999"/>
    <n v="3100.8499999999995"/>
    <n v="0.4341188263524694"/>
    <x v="1"/>
    <n v="10243.709999999999"/>
    <x v="6"/>
  </r>
  <r>
    <s v="FIN-01952"/>
    <d v="2026-05-31T00:00:00"/>
    <x v="0"/>
    <x v="5"/>
    <x v="6"/>
    <x v="4"/>
    <s v="Islamabad"/>
    <s v="Cloudnet"/>
    <x v="0"/>
    <n v="16363.64"/>
    <n v="9579.33"/>
    <n v="-6784.3099999999995"/>
    <n v="-0.41459663008963776"/>
    <x v="0"/>
    <n v="-9579.33"/>
    <x v="16"/>
  </r>
  <r>
    <s v="FIN-01953"/>
    <d v="2026-04-06T00:00:00"/>
    <x v="1"/>
    <x v="3"/>
    <x v="3"/>
    <x v="2"/>
    <s v="Karachi"/>
    <s v="Urban Facilities"/>
    <x v="0"/>
    <n v="8333.33"/>
    <n v="22312.799999999999"/>
    <n v="13979.47"/>
    <n v="1.6775370710148283"/>
    <x v="1"/>
    <n v="22312.799999999999"/>
    <x v="15"/>
  </r>
  <r>
    <s v="FIN-01954"/>
    <d v="2025-05-25T00:00:00"/>
    <x v="0"/>
    <x v="6"/>
    <x v="4"/>
    <x v="2"/>
    <s v="Islamabad"/>
    <s v="Techsource"/>
    <x v="4"/>
    <n v="4000"/>
    <n v="2580.36"/>
    <n v="-1419.6399999999999"/>
    <n v="-0.35490999999999995"/>
    <x v="0"/>
    <n v="-2580.36"/>
    <x v="4"/>
  </r>
  <r>
    <s v="FIN-01955"/>
    <d v="2025-07-07T00:00:00"/>
    <x v="0"/>
    <x v="1"/>
    <x v="5"/>
    <x v="4"/>
    <s v="Lahore"/>
    <s v="Adsphere"/>
    <x v="4"/>
    <n v="5909.09"/>
    <n v="9343.84"/>
    <n v="3434.75"/>
    <n v="0.58126547404084217"/>
    <x v="1"/>
    <n v="-9343.84"/>
    <x v="6"/>
  </r>
  <r>
    <s v="FIN-01956"/>
    <d v="2025-03-15T00:00:00"/>
    <x v="0"/>
    <x v="3"/>
    <x v="9"/>
    <x v="4"/>
    <s v="Lahore"/>
    <s v="Techsource"/>
    <x v="0"/>
    <n v="3928.57"/>
    <n v="7669.97"/>
    <n v="3741.4"/>
    <n v="0.95235670994789456"/>
    <x v="1"/>
    <n v="-7669.97"/>
    <x v="2"/>
  </r>
  <r>
    <s v="FIN-01957"/>
    <d v="2025-06-27T00:00:00"/>
    <x v="1"/>
    <x v="6"/>
    <x v="12"/>
    <x v="2"/>
    <s v="Karachi"/>
    <s v="Peoplefirst"/>
    <x v="3"/>
    <n v="6250"/>
    <n v="15458.38"/>
    <n v="9208.3799999999992"/>
    <n v="1.4733407999999999"/>
    <x v="1"/>
    <n v="15458.38"/>
    <x v="5"/>
  </r>
  <r>
    <s v="FIN-01958"/>
    <d v="2025-10-19T00:00:00"/>
    <x v="0"/>
    <x v="1"/>
    <x v="5"/>
    <x v="3"/>
    <s v="Multan"/>
    <s v="Cloudnet"/>
    <x v="3"/>
    <n v="9285.7099999999991"/>
    <n v="11691.55"/>
    <n v="2405.84"/>
    <n v="0.25909058111872979"/>
    <x v="1"/>
    <n v="-11691.55"/>
    <x v="9"/>
  </r>
  <r>
    <s v="FIN-01959"/>
    <d v="2025-03-27T00:00:00"/>
    <x v="0"/>
    <x v="1"/>
    <x v="5"/>
    <x v="2"/>
    <s v="Faisalabad"/>
    <s v="Adsphere"/>
    <x v="1"/>
    <n v="5000"/>
    <n v="4812.6000000000004"/>
    <n v="-187.39999999999964"/>
    <n v="-3.747999999999993E-2"/>
    <x v="0"/>
    <n v="-4812.6000000000004"/>
    <x v="2"/>
  </r>
  <r>
    <s v="FIN-01960"/>
    <d v="2026-04-13T00:00:00"/>
    <x v="0"/>
    <x v="4"/>
    <x v="6"/>
    <x v="4"/>
    <s v="Faisalabad"/>
    <s v="Peoplefirst"/>
    <x v="0"/>
    <n v="8571.43"/>
    <n v="14735.4"/>
    <n v="6163.9699999999993"/>
    <n v="0.71912971347838095"/>
    <x v="1"/>
    <n v="-14735.4"/>
    <x v="15"/>
  </r>
  <r>
    <s v="FIN-01961"/>
    <d v="2025-07-21T00:00:00"/>
    <x v="0"/>
    <x v="1"/>
    <x v="6"/>
    <x v="2"/>
    <s v="Peshawar"/>
    <s v="Peoplefirst"/>
    <x v="4"/>
    <n v="6923.08"/>
    <n v="2962.16"/>
    <n v="-3960.92"/>
    <n v="-0.57213263460771802"/>
    <x v="0"/>
    <n v="-2962.16"/>
    <x v="6"/>
  </r>
  <r>
    <s v="FIN-01962"/>
    <d v="2026-04-23T00:00:00"/>
    <x v="0"/>
    <x v="4"/>
    <x v="6"/>
    <x v="1"/>
    <s v="Multan"/>
    <s v="Cloudnet"/>
    <x v="0"/>
    <n v="8571.43"/>
    <n v="8339.06"/>
    <n v="-232.3700000000008"/>
    <n v="-2.7109828815028623E-2"/>
    <x v="0"/>
    <n v="-8339.06"/>
    <x v="15"/>
  </r>
  <r>
    <s v="FIN-01963"/>
    <d v="2026-05-10T00:00:00"/>
    <x v="1"/>
    <x v="3"/>
    <x v="12"/>
    <x v="0"/>
    <s v="Karachi"/>
    <s v="Urban Facilities"/>
    <x v="2"/>
    <n v="5882.35"/>
    <n v="16431.349999999999"/>
    <n v="10548.999999999998"/>
    <n v="1.793330896665448"/>
    <x v="1"/>
    <n v="16431.349999999999"/>
    <x v="16"/>
  </r>
  <r>
    <s v="FIN-01964"/>
    <d v="2026-02-17T00:00:00"/>
    <x v="1"/>
    <x v="1"/>
    <x v="12"/>
    <x v="4"/>
    <s v="Peshawar"/>
    <s v="Peoplefirst"/>
    <x v="4"/>
    <n v="8083.33"/>
    <n v="5891.65"/>
    <n v="-2191.6800000000003"/>
    <n v="-0.27113578191166271"/>
    <x v="0"/>
    <n v="5891.65"/>
    <x v="17"/>
  </r>
  <r>
    <s v="FIN-01965"/>
    <d v="2025-12-28T00:00:00"/>
    <x v="0"/>
    <x v="2"/>
    <x v="11"/>
    <x v="1"/>
    <s v="Lahore"/>
    <s v="Buildcare"/>
    <x v="3"/>
    <n v="3300"/>
    <n v="579.91999999999996"/>
    <n v="-2720.08"/>
    <n v="-0.82426666666666659"/>
    <x v="0"/>
    <n v="-579.91999999999996"/>
    <x v="11"/>
  </r>
  <r>
    <s v="FIN-01966"/>
    <d v="2025-02-06T00:00:00"/>
    <x v="1"/>
    <x v="6"/>
    <x v="2"/>
    <x v="4"/>
    <s v="Karachi"/>
    <s v="Dataserve"/>
    <x v="3"/>
    <n v="4850"/>
    <n v="7579.89"/>
    <n v="2729.8900000000003"/>
    <n v="0.56286391752577325"/>
    <x v="1"/>
    <n v="7579.89"/>
    <x v="1"/>
  </r>
  <r>
    <s v="FIN-01967"/>
    <d v="2025-04-01T00:00:00"/>
    <x v="0"/>
    <x v="6"/>
    <x v="1"/>
    <x v="3"/>
    <s v="Faisalabad"/>
    <s v="Prime Supplies"/>
    <x v="2"/>
    <n v="2250"/>
    <n v="348.46"/>
    <n v="-1901.54"/>
    <n v="-0.84512888888888882"/>
    <x v="0"/>
    <n v="-348.46"/>
    <x v="3"/>
  </r>
  <r>
    <s v="FIN-01968"/>
    <d v="2026-02-28T00:00:00"/>
    <x v="0"/>
    <x v="5"/>
    <x v="6"/>
    <x v="3"/>
    <s v="Faisalabad"/>
    <s v="Travellink"/>
    <x v="3"/>
    <n v="9189.4699999999993"/>
    <n v="10339.07"/>
    <n v="1149.6000000000004"/>
    <n v="0.12509970651190988"/>
    <x v="1"/>
    <n v="-10339.07"/>
    <x v="17"/>
  </r>
  <r>
    <s v="FIN-01969"/>
    <d v="2025-11-01T00:00:00"/>
    <x v="1"/>
    <x v="2"/>
    <x v="12"/>
    <x v="2"/>
    <s v="Karachi"/>
    <s v="Officepro"/>
    <x v="0"/>
    <n v="9545.4500000000007"/>
    <n v="9498.0499999999993"/>
    <n v="-47.400000000001455"/>
    <n v="-4.9657166503414138E-3"/>
    <x v="0"/>
    <n v="9498.0499999999993"/>
    <x v="10"/>
  </r>
  <r>
    <s v="FIN-01970"/>
    <d v="2025-03-08T00:00:00"/>
    <x v="0"/>
    <x v="2"/>
    <x v="4"/>
    <x v="4"/>
    <s v="Islamabad"/>
    <s v="Legalworks"/>
    <x v="1"/>
    <n v="4666.67"/>
    <n v="1025.2"/>
    <n v="-3641.4700000000003"/>
    <n v="-0.78031444263254102"/>
    <x v="0"/>
    <n v="-1025.2"/>
    <x v="2"/>
  </r>
  <r>
    <s v="FIN-01971"/>
    <d v="2025-05-21T00:00:00"/>
    <x v="0"/>
    <x v="5"/>
    <x v="1"/>
    <x v="2"/>
    <s v="Karachi"/>
    <s v="Powergrid"/>
    <x v="2"/>
    <n v="2250"/>
    <n v="726.33"/>
    <n v="-1523.67"/>
    <n v="-0.67718666666666671"/>
    <x v="0"/>
    <n v="-726.33"/>
    <x v="4"/>
  </r>
  <r>
    <s v="FIN-01972"/>
    <d v="2026-06-29T00:00:00"/>
    <x v="0"/>
    <x v="3"/>
    <x v="10"/>
    <x v="4"/>
    <s v="Lahore"/>
    <s v="Legalworks"/>
    <x v="2"/>
    <n v="3076.92"/>
    <n v="4098.9799999999996"/>
    <n v="1022.0599999999995"/>
    <n v="0.33216983216983198"/>
    <x v="1"/>
    <n v="-4098.9799999999996"/>
    <x v="13"/>
  </r>
  <r>
    <s v="FIN-01973"/>
    <d v="2025-04-13T00:00:00"/>
    <x v="0"/>
    <x v="2"/>
    <x v="7"/>
    <x v="3"/>
    <s v="Lahore"/>
    <s v="Officepro"/>
    <x v="1"/>
    <n v="4375"/>
    <n v="195.6"/>
    <n v="-4179.3999999999996"/>
    <n v="-0.95529142857142846"/>
    <x v="0"/>
    <n v="-195.6"/>
    <x v="3"/>
  </r>
  <r>
    <s v="FIN-01974"/>
    <d v="2025-03-30T00:00:00"/>
    <x v="1"/>
    <x v="3"/>
    <x v="13"/>
    <x v="1"/>
    <s v="Islamabad"/>
    <s v="Legalworks"/>
    <x v="2"/>
    <n v="2857.14"/>
    <n v="2453.09"/>
    <n v="-404.04999999999973"/>
    <n v="-0.14141764141764132"/>
    <x v="0"/>
    <n v="2453.09"/>
    <x v="2"/>
  </r>
  <r>
    <s v="FIN-01975"/>
    <d v="2026-01-31T00:00:00"/>
    <x v="1"/>
    <x v="2"/>
    <x v="3"/>
    <x v="1"/>
    <s v="Karachi"/>
    <s v="Urban Facilities"/>
    <x v="2"/>
    <n v="11547.62"/>
    <n v="1507.6"/>
    <n v="-10040.02"/>
    <n v="-0.86944495922103426"/>
    <x v="0"/>
    <n v="1507.6"/>
    <x v="12"/>
  </r>
  <r>
    <s v="FIN-01976"/>
    <d v="2025-12-09T00:00:00"/>
    <x v="0"/>
    <x v="1"/>
    <x v="1"/>
    <x v="1"/>
    <s v="Faisalabad"/>
    <s v="Markethub"/>
    <x v="1"/>
    <n v="2100"/>
    <n v="1338.9"/>
    <n v="-761.09999999999991"/>
    <n v="-0.36242857142857138"/>
    <x v="0"/>
    <n v="-1338.9"/>
    <x v="11"/>
  </r>
  <r>
    <s v="FIN-01977"/>
    <d v="2025-08-31T00:00:00"/>
    <x v="1"/>
    <x v="2"/>
    <x v="14"/>
    <x v="0"/>
    <s v="Karachi"/>
    <s v="Techsource"/>
    <x v="0"/>
    <n v="7142.86"/>
    <n v="6190.36"/>
    <n v="-952.5"/>
    <n v="-0.13334994666002134"/>
    <x v="0"/>
    <n v="6190.36"/>
    <x v="7"/>
  </r>
  <r>
    <s v="FIN-01978"/>
    <d v="2025-08-30T00:00:00"/>
    <x v="0"/>
    <x v="0"/>
    <x v="6"/>
    <x v="2"/>
    <s v="Lahore"/>
    <s v="Legalworks"/>
    <x v="3"/>
    <n v="8181.82"/>
    <n v="14071.1"/>
    <n v="5889.2800000000007"/>
    <n v="0.71980072893317149"/>
    <x v="1"/>
    <n v="-14071.1"/>
    <x v="7"/>
  </r>
  <r>
    <s v="FIN-01979"/>
    <d v="2025-12-10T00:00:00"/>
    <x v="0"/>
    <x v="1"/>
    <x v="4"/>
    <x v="4"/>
    <s v="Faisalabad"/>
    <s v="Travellink"/>
    <x v="4"/>
    <n v="9800"/>
    <n v="2537.3200000000002"/>
    <n v="-7262.68"/>
    <n v="-0.74108979591836732"/>
    <x v="0"/>
    <n v="-2537.3200000000002"/>
    <x v="11"/>
  </r>
  <r>
    <s v="FIN-01980"/>
    <d v="2026-03-12T00:00:00"/>
    <x v="0"/>
    <x v="0"/>
    <x v="6"/>
    <x v="0"/>
    <s v="Peshawar"/>
    <s v="Urban Facilities"/>
    <x v="3"/>
    <n v="7200"/>
    <n v="3048.63"/>
    <n v="-4151.37"/>
    <n v="-0.57657916666666664"/>
    <x v="0"/>
    <n v="-3048.63"/>
    <x v="14"/>
  </r>
  <r>
    <s v="FIN-01981"/>
    <d v="2026-05-20T00:00:00"/>
    <x v="0"/>
    <x v="7"/>
    <x v="1"/>
    <x v="2"/>
    <s v="Karachi"/>
    <s v="Legalworks"/>
    <x v="1"/>
    <n v="6000"/>
    <n v="1675.48"/>
    <n v="-4324.5200000000004"/>
    <n v="-0.72075333333333336"/>
    <x v="0"/>
    <n v="-1675.48"/>
    <x v="16"/>
  </r>
  <r>
    <s v="FIN-01982"/>
    <d v="2025-01-14T00:00:00"/>
    <x v="0"/>
    <x v="2"/>
    <x v="9"/>
    <x v="2"/>
    <s v="Peshawar"/>
    <s v="Urban Facilities"/>
    <x v="2"/>
    <n v="3810.71"/>
    <n v="7306.71"/>
    <n v="3496"/>
    <n v="0.91741434010984824"/>
    <x v="1"/>
    <n v="-7306.71"/>
    <x v="0"/>
  </r>
  <r>
    <s v="FIN-01983"/>
    <d v="2026-05-13T00:00:00"/>
    <x v="1"/>
    <x v="1"/>
    <x v="12"/>
    <x v="0"/>
    <s v="Karachi"/>
    <s v="Softworks"/>
    <x v="2"/>
    <n v="5882.35"/>
    <n v="7032.62"/>
    <n v="1150.2699999999995"/>
    <n v="0.1955459977729988"/>
    <x v="1"/>
    <n v="7032.62"/>
    <x v="16"/>
  </r>
  <r>
    <s v="FIN-01984"/>
    <d v="2026-05-16T00:00:00"/>
    <x v="1"/>
    <x v="3"/>
    <x v="3"/>
    <x v="0"/>
    <s v="Karachi"/>
    <s v="Peoplefirst"/>
    <x v="2"/>
    <n v="10869.57"/>
    <n v="10118.86"/>
    <n v="-750.70999999999913"/>
    <n v="-6.9065289611272493E-2"/>
    <x v="0"/>
    <n v="10118.86"/>
    <x v="16"/>
  </r>
  <r>
    <s v="FIN-01985"/>
    <d v="2026-03-27T00:00:00"/>
    <x v="0"/>
    <x v="0"/>
    <x v="10"/>
    <x v="0"/>
    <s v="Islamabad"/>
    <s v="Officepro"/>
    <x v="0"/>
    <n v="5000"/>
    <n v="5409.17"/>
    <n v="409.17000000000007"/>
    <n v="8.1834000000000018E-2"/>
    <x v="1"/>
    <n v="-5409.17"/>
    <x v="14"/>
  </r>
  <r>
    <s v="FIN-01986"/>
    <d v="2025-05-12T00:00:00"/>
    <x v="0"/>
    <x v="1"/>
    <x v="9"/>
    <x v="3"/>
    <s v="Peshawar"/>
    <s v="Techsource"/>
    <x v="1"/>
    <n v="5500"/>
    <n v="6194.93"/>
    <n v="694.93000000000029"/>
    <n v="0.12635090909090915"/>
    <x v="1"/>
    <n v="-6194.93"/>
    <x v="4"/>
  </r>
  <r>
    <s v="FIN-01987"/>
    <d v="2026-02-07T00:00:00"/>
    <x v="1"/>
    <x v="2"/>
    <x v="3"/>
    <x v="3"/>
    <s v="Faisalabad"/>
    <s v="Urban Facilities"/>
    <x v="2"/>
    <n v="12125"/>
    <n v="8800.31"/>
    <n v="-3324.6900000000005"/>
    <n v="-0.27420123711340211"/>
    <x v="0"/>
    <n v="8800.31"/>
    <x v="17"/>
  </r>
  <r>
    <s v="FIN-01988"/>
    <d v="2025-03-10T00:00:00"/>
    <x v="1"/>
    <x v="4"/>
    <x v="3"/>
    <x v="2"/>
    <s v="Multan"/>
    <s v="Adsphere"/>
    <x v="2"/>
    <n v="8064.52"/>
    <n v="3783.33"/>
    <n v="-4281.1900000000005"/>
    <n v="-0.53086730518369352"/>
    <x v="0"/>
    <n v="3783.33"/>
    <x v="2"/>
  </r>
  <r>
    <s v="FIN-01989"/>
    <d v="2026-01-09T00:00:00"/>
    <x v="1"/>
    <x v="3"/>
    <x v="12"/>
    <x v="2"/>
    <s v="Peshawar"/>
    <s v="Dataserve"/>
    <x v="3"/>
    <n v="6062.5"/>
    <n v="7075.57"/>
    <n v="1013.0699999999997"/>
    <n v="0.16710432989690716"/>
    <x v="1"/>
    <n v="7075.57"/>
    <x v="12"/>
  </r>
  <r>
    <s v="FIN-01990"/>
    <d v="2026-04-17T00:00:00"/>
    <x v="0"/>
    <x v="3"/>
    <x v="10"/>
    <x v="4"/>
    <s v="Karachi"/>
    <s v="Powergrid"/>
    <x v="2"/>
    <n v="6666.67"/>
    <n v="4923.53"/>
    <n v="-1743.1400000000003"/>
    <n v="-0.26147086926456542"/>
    <x v="0"/>
    <n v="-4923.53"/>
    <x v="15"/>
  </r>
  <r>
    <s v="FIN-01991"/>
    <d v="2025-06-25T00:00:00"/>
    <x v="0"/>
    <x v="6"/>
    <x v="6"/>
    <x v="0"/>
    <s v="Faisalabad"/>
    <s v="Techsource"/>
    <x v="3"/>
    <n v="6428.57"/>
    <n v="11479.43"/>
    <n v="5050.8600000000006"/>
    <n v="0.7856895079310019"/>
    <x v="1"/>
    <n v="-11479.43"/>
    <x v="5"/>
  </r>
  <r>
    <s v="FIN-01992"/>
    <d v="2025-08-23T00:00:00"/>
    <x v="1"/>
    <x v="4"/>
    <x v="12"/>
    <x v="0"/>
    <s v="Karachi"/>
    <s v="Travellink"/>
    <x v="1"/>
    <n v="7142.86"/>
    <n v="1863.99"/>
    <n v="-5278.87"/>
    <n v="-0.73904150438339822"/>
    <x v="0"/>
    <n v="1863.99"/>
    <x v="7"/>
  </r>
  <r>
    <s v="FIN-01993"/>
    <d v="2025-02-25T00:00:00"/>
    <x v="0"/>
    <x v="4"/>
    <x v="5"/>
    <x v="3"/>
    <s v="Karachi"/>
    <s v="Prime Supplies"/>
    <x v="3"/>
    <n v="10508.33"/>
    <n v="6343.75"/>
    <n v="-4164.58"/>
    <n v="-0.39631225894123995"/>
    <x v="0"/>
    <n v="-6343.75"/>
    <x v="1"/>
  </r>
  <r>
    <s v="FIN-01994"/>
    <d v="2026-02-10T00:00:00"/>
    <x v="1"/>
    <x v="3"/>
    <x v="3"/>
    <x v="1"/>
    <s v="Lahore"/>
    <s v="Cloudnet"/>
    <x v="1"/>
    <n v="12125"/>
    <n v="6469.73"/>
    <n v="-5655.27"/>
    <n v="-0.46641402061855675"/>
    <x v="0"/>
    <n v="6469.73"/>
    <x v="17"/>
  </r>
  <r>
    <s v="FIN-01995"/>
    <d v="2026-01-09T00:00:00"/>
    <x v="1"/>
    <x v="0"/>
    <x v="3"/>
    <x v="3"/>
    <s v="Karachi"/>
    <s v="Shipfast"/>
    <x v="1"/>
    <n v="11547.62"/>
    <n v="18093.7"/>
    <n v="6546.08"/>
    <n v="0.56687698417509402"/>
    <x v="1"/>
    <n v="18093.7"/>
    <x v="12"/>
  </r>
  <r>
    <s v="FIN-01996"/>
    <d v="2025-03-10T00:00:00"/>
    <x v="0"/>
    <x v="1"/>
    <x v="11"/>
    <x v="1"/>
    <s v="Lahore"/>
    <s v="Softworks"/>
    <x v="1"/>
    <n v="3142.86"/>
    <n v="1523.62"/>
    <n v="-1619.2400000000002"/>
    <n v="-0.51521225889794653"/>
    <x v="0"/>
    <n v="-1523.62"/>
    <x v="2"/>
  </r>
  <r>
    <s v="FIN-01997"/>
    <d v="2025-05-02T00:00:00"/>
    <x v="0"/>
    <x v="0"/>
    <x v="9"/>
    <x v="2"/>
    <s v="Lahore"/>
    <s v="Techsource"/>
    <x v="3"/>
    <n v="5500"/>
    <n v="6396.33"/>
    <n v="896.32999999999993"/>
    <n v="0.1629690909090909"/>
    <x v="1"/>
    <n v="-6396.33"/>
    <x v="4"/>
  </r>
  <r>
    <s v="FIN-01998"/>
    <d v="2025-07-19T00:00:00"/>
    <x v="0"/>
    <x v="1"/>
    <x v="6"/>
    <x v="4"/>
    <s v="Islamabad"/>
    <s v="Legalworks"/>
    <x v="1"/>
    <n v="6923.08"/>
    <n v="1375.36"/>
    <n v="-5547.72"/>
    <n v="-0.80133697718356578"/>
    <x v="0"/>
    <n v="-1375.36"/>
    <x v="6"/>
  </r>
  <r>
    <s v="FIN-01999"/>
    <d v="2026-01-08T00:00:00"/>
    <x v="1"/>
    <x v="4"/>
    <x v="12"/>
    <x v="3"/>
    <s v="Karachi"/>
    <s v="Cloudnet"/>
    <x v="2"/>
    <n v="6062.5"/>
    <n v="1628.38"/>
    <n v="-4434.12"/>
    <n v="-0.73140123711340199"/>
    <x v="0"/>
    <n v="1628.38"/>
    <x v="12"/>
  </r>
  <r>
    <s v="FIN-02000"/>
    <d v="2025-07-07T00:00:00"/>
    <x v="0"/>
    <x v="6"/>
    <x v="4"/>
    <x v="2"/>
    <s v="Faisalabad"/>
    <s v="Officepro"/>
    <x v="4"/>
    <n v="4666.67"/>
    <n v="3351.21"/>
    <n v="-1315.46"/>
    <n v="-0.28188408436851115"/>
    <x v="0"/>
    <n v="-3351.21"/>
    <x v="6"/>
  </r>
  <r>
    <s v="FIN-02001"/>
    <d v="2026-01-17T00:00:00"/>
    <x v="0"/>
    <x v="4"/>
    <x v="6"/>
    <x v="0"/>
    <s v="Faisalabad"/>
    <s v="Peoplefirst"/>
    <x v="1"/>
    <n v="6715.38"/>
    <n v="2550.12"/>
    <n v="-4165.26"/>
    <n v="-0.62025678368163828"/>
    <x v="0"/>
    <n v="-2550.12"/>
    <x v="12"/>
  </r>
  <r>
    <s v="FIN-02002"/>
    <d v="2026-06-23T00:00:00"/>
    <x v="0"/>
    <x v="5"/>
    <x v="9"/>
    <x v="4"/>
    <s v="Lahore"/>
    <s v="Legalworks"/>
    <x v="1"/>
    <n v="3666.67"/>
    <n v="6549.92"/>
    <n v="2883.25"/>
    <n v="0.78634019423618706"/>
    <x v="1"/>
    <n v="-6549.92"/>
    <x v="13"/>
  </r>
  <r>
    <s v="FIN-02003"/>
    <d v="2026-01-24T00:00:00"/>
    <x v="0"/>
    <x v="1"/>
    <x v="5"/>
    <x v="1"/>
    <s v="Peshawar"/>
    <s v="Techsource"/>
    <x v="3"/>
    <n v="6305"/>
    <n v="4219.6499999999996"/>
    <n v="-2085.3500000000004"/>
    <n v="-0.33074544012688351"/>
    <x v="0"/>
    <n v="-4219.6499999999996"/>
    <x v="12"/>
  </r>
  <r>
    <s v="FIN-02004"/>
    <d v="2026-01-01T00:00:00"/>
    <x v="0"/>
    <x v="1"/>
    <x v="8"/>
    <x v="3"/>
    <s v="Multan"/>
    <s v="Urban Facilities"/>
    <x v="2"/>
    <n v="3637.5"/>
    <n v="5193.68"/>
    <n v="1556.1800000000003"/>
    <n v="0.42781580756013754"/>
    <x v="1"/>
    <n v="-5193.68"/>
    <x v="12"/>
  </r>
  <r>
    <s v="FIN-02005"/>
    <d v="2026-05-10T00:00:00"/>
    <x v="1"/>
    <x v="0"/>
    <x v="3"/>
    <x v="2"/>
    <s v="Lahore"/>
    <s v="Officepro"/>
    <x v="1"/>
    <n v="10869.57"/>
    <n v="6137.84"/>
    <n v="-4731.7299999999996"/>
    <n v="-0.43531896845965384"/>
    <x v="0"/>
    <n v="6137.84"/>
    <x v="16"/>
  </r>
  <r>
    <s v="FIN-02006"/>
    <d v="2025-02-11T00:00:00"/>
    <x v="0"/>
    <x v="2"/>
    <x v="6"/>
    <x v="3"/>
    <s v="Lahore"/>
    <s v="Urban Facilities"/>
    <x v="4"/>
    <n v="11640"/>
    <n v="14527.04"/>
    <n v="2887.0400000000009"/>
    <n v="0.24802749140893479"/>
    <x v="1"/>
    <n v="-14527.04"/>
    <x v="1"/>
  </r>
  <r>
    <s v="FIN-02007"/>
    <d v="2025-03-19T00:00:00"/>
    <x v="0"/>
    <x v="5"/>
    <x v="5"/>
    <x v="1"/>
    <s v="Lahore"/>
    <s v="Prime Supplies"/>
    <x v="2"/>
    <n v="5000"/>
    <n v="11821.02"/>
    <n v="6821.02"/>
    <n v="1.3642040000000002"/>
    <x v="1"/>
    <n v="-11821.02"/>
    <x v="2"/>
  </r>
  <r>
    <s v="FIN-02008"/>
    <d v="2025-06-19T00:00:00"/>
    <x v="0"/>
    <x v="5"/>
    <x v="8"/>
    <x v="4"/>
    <s v="Lahore"/>
    <s v="Prime Supplies"/>
    <x v="4"/>
    <n v="5000"/>
    <n v="4305.13"/>
    <n v="-694.86999999999989"/>
    <n v="-0.13897399999999999"/>
    <x v="0"/>
    <n v="-4305.13"/>
    <x v="5"/>
  </r>
  <r>
    <s v="FIN-02009"/>
    <d v="2026-01-19T00:00:00"/>
    <x v="0"/>
    <x v="1"/>
    <x v="6"/>
    <x v="4"/>
    <s v="Karachi"/>
    <s v="Travellink"/>
    <x v="4"/>
    <n v="6715.38"/>
    <n v="5641.26"/>
    <n v="-1074.1199999999999"/>
    <n v="-0.15994925082422734"/>
    <x v="0"/>
    <n v="-5641.26"/>
    <x v="12"/>
  </r>
  <r>
    <s v="FIN-02010"/>
    <d v="2025-04-30T00:00:00"/>
    <x v="1"/>
    <x v="4"/>
    <x v="12"/>
    <x v="2"/>
    <s v="Karachi"/>
    <s v="Buildcare"/>
    <x v="1"/>
    <n v="14285.71"/>
    <n v="1796.98"/>
    <n v="-12488.73"/>
    <n v="-0.87421136226340868"/>
    <x v="0"/>
    <n v="1796.98"/>
    <x v="3"/>
  </r>
  <r>
    <s v="FIN-02011"/>
    <d v="2026-05-09T00:00:00"/>
    <x v="0"/>
    <x v="1"/>
    <x v="5"/>
    <x v="3"/>
    <s v="Karachi"/>
    <s v="Cloudnet"/>
    <x v="1"/>
    <n v="6500"/>
    <n v="9685.98"/>
    <n v="3185.9799999999996"/>
    <n v="0.49015076923076917"/>
    <x v="1"/>
    <n v="-9685.98"/>
    <x v="16"/>
  </r>
  <r>
    <s v="FIN-02012"/>
    <d v="2025-03-22T00:00:00"/>
    <x v="1"/>
    <x v="1"/>
    <x v="3"/>
    <x v="4"/>
    <s v="Peshawar"/>
    <s v="Peoplefirst"/>
    <x v="4"/>
    <n v="8064.52"/>
    <n v="4686.3100000000004"/>
    <n v="-3378.21"/>
    <n v="-0.41889783892903731"/>
    <x v="0"/>
    <n v="4686.3100000000004"/>
    <x v="2"/>
  </r>
  <r>
    <s v="FIN-02013"/>
    <d v="2025-01-04T00:00:00"/>
    <x v="1"/>
    <x v="1"/>
    <x v="3"/>
    <x v="3"/>
    <s v="Karachi"/>
    <s v="Travellink"/>
    <x v="4"/>
    <n v="11022.73"/>
    <n v="17472.89"/>
    <n v="6450.16"/>
    <n v="0.58516900985509035"/>
    <x v="1"/>
    <n v="17472.89"/>
    <x v="0"/>
  </r>
  <r>
    <s v="FIN-02014"/>
    <d v="2025-09-16T00:00:00"/>
    <x v="1"/>
    <x v="2"/>
    <x v="3"/>
    <x v="0"/>
    <s v="Multan"/>
    <s v="Peoplefirst"/>
    <x v="3"/>
    <n v="11904.76"/>
    <n v="21788.959999999999"/>
    <n v="9884.1999999999989"/>
    <n v="0.8302729328436691"/>
    <x v="1"/>
    <n v="21788.959999999999"/>
    <x v="8"/>
  </r>
  <r>
    <s v="FIN-02015"/>
    <d v="2026-05-31T00:00:00"/>
    <x v="0"/>
    <x v="5"/>
    <x v="6"/>
    <x v="0"/>
    <s v="Peshawar"/>
    <s v="Softworks"/>
    <x v="2"/>
    <n v="16363.64"/>
    <n v="4310.96"/>
    <n v="-12052.68"/>
    <n v="-0.73655250298833275"/>
    <x v="0"/>
    <n v="-4310.96"/>
    <x v="16"/>
  </r>
  <r>
    <s v="FIN-02016"/>
    <d v="2025-11-04T00:00:00"/>
    <x v="0"/>
    <x v="4"/>
    <x v="6"/>
    <x v="1"/>
    <s v="Multan"/>
    <s v="Powergrid"/>
    <x v="4"/>
    <n v="9947.3700000000008"/>
    <n v="11410.23"/>
    <n v="1462.8599999999988"/>
    <n v="0.14705997665714643"/>
    <x v="1"/>
    <n v="-11410.23"/>
    <x v="10"/>
  </r>
  <r>
    <s v="FIN-02017"/>
    <d v="2026-01-29T00:00:00"/>
    <x v="0"/>
    <x v="1"/>
    <x v="6"/>
    <x v="4"/>
    <s v="Karachi"/>
    <s v="Travellink"/>
    <x v="0"/>
    <n v="6715.38"/>
    <n v="6612.71"/>
    <n v="-102.67000000000007"/>
    <n v="-1.5288784849107581E-2"/>
    <x v="0"/>
    <n v="-6612.71"/>
    <x v="12"/>
  </r>
  <r>
    <s v="FIN-02018"/>
    <d v="2025-02-10T00:00:00"/>
    <x v="1"/>
    <x v="1"/>
    <x v="3"/>
    <x v="2"/>
    <s v="Karachi"/>
    <s v="Prime Supplies"/>
    <x v="2"/>
    <n v="13472.22"/>
    <n v="13951.97"/>
    <n v="479.75"/>
    <n v="3.5610315152216937E-2"/>
    <x v="1"/>
    <n v="13951.97"/>
    <x v="1"/>
  </r>
  <r>
    <s v="FIN-02019"/>
    <d v="2026-04-12T00:00:00"/>
    <x v="1"/>
    <x v="3"/>
    <x v="3"/>
    <x v="4"/>
    <s v="Karachi"/>
    <s v="Markethub"/>
    <x v="1"/>
    <n v="8333.33"/>
    <n v="6494.47"/>
    <n v="-1838.8599999999997"/>
    <n v="-0.22066328826531525"/>
    <x v="0"/>
    <n v="6494.47"/>
    <x v="15"/>
  </r>
  <r>
    <s v="FIN-02020"/>
    <d v="2026-06-14T00:00:00"/>
    <x v="0"/>
    <x v="1"/>
    <x v="4"/>
    <x v="0"/>
    <s v="Multan"/>
    <s v="Travellink"/>
    <x v="2"/>
    <n v="5600"/>
    <n v="948.66"/>
    <n v="-4651.34"/>
    <n v="-0.83059642857142857"/>
    <x v="0"/>
    <n v="-948.66"/>
    <x v="13"/>
  </r>
  <r>
    <s v="FIN-02021"/>
    <d v="2025-12-27T00:00:00"/>
    <x v="1"/>
    <x v="3"/>
    <x v="12"/>
    <x v="4"/>
    <s v="Islamabad"/>
    <s v="Adsphere"/>
    <x v="2"/>
    <n v="9545.4500000000007"/>
    <n v="1998.37"/>
    <n v="-7547.0800000000008"/>
    <n v="-0.7906468526889775"/>
    <x v="0"/>
    <n v="1998.37"/>
    <x v="11"/>
  </r>
  <r>
    <s v="FIN-02022"/>
    <d v="2025-10-14T00:00:00"/>
    <x v="0"/>
    <x v="4"/>
    <x v="8"/>
    <x v="4"/>
    <s v="Multan"/>
    <s v="Cloudnet"/>
    <x v="0"/>
    <n v="5000"/>
    <n v="3554.77"/>
    <n v="-1445.23"/>
    <n v="-0.28904600000000003"/>
    <x v="0"/>
    <n v="-3554.77"/>
    <x v="9"/>
  </r>
  <r>
    <s v="FIN-02023"/>
    <d v="2025-02-25T00:00:00"/>
    <x v="0"/>
    <x v="1"/>
    <x v="9"/>
    <x v="1"/>
    <s v="Lahore"/>
    <s v="Markethub"/>
    <x v="1"/>
    <n v="7621.43"/>
    <n v="8328.16"/>
    <n v="706.72999999999956"/>
    <n v="9.2729317201627456E-2"/>
    <x v="1"/>
    <n v="-8328.16"/>
    <x v="1"/>
  </r>
  <r>
    <s v="FIN-02024"/>
    <d v="2026-05-31T00:00:00"/>
    <x v="1"/>
    <x v="6"/>
    <x v="12"/>
    <x v="4"/>
    <s v="Karachi"/>
    <s v="Techsource"/>
    <x v="1"/>
    <n v="5882.35"/>
    <n v="17098.150000000001"/>
    <n v="11215.800000000001"/>
    <n v="1.9066869533434767"/>
    <x v="1"/>
    <n v="17098.150000000001"/>
    <x v="16"/>
  </r>
  <r>
    <s v="FIN-02025"/>
    <d v="2026-06-06T00:00:00"/>
    <x v="0"/>
    <x v="6"/>
    <x v="4"/>
    <x v="4"/>
    <s v="Karachi"/>
    <s v="Urban Facilities"/>
    <x v="1"/>
    <n v="5600"/>
    <n v="2002.64"/>
    <n v="-3597.3599999999997"/>
    <n v="-0.64238571428571423"/>
    <x v="0"/>
    <n v="-2002.64"/>
    <x v="13"/>
  </r>
  <r>
    <s v="FIN-02026"/>
    <d v="2025-09-11T00:00:00"/>
    <x v="0"/>
    <x v="0"/>
    <x v="9"/>
    <x v="3"/>
    <s v="Peshawar"/>
    <s v="Cloudnet"/>
    <x v="4"/>
    <n v="6111.11"/>
    <n v="5241.08"/>
    <n v="-870.02999999999975"/>
    <n v="-0.14236857133974021"/>
    <x v="0"/>
    <n v="-5241.08"/>
    <x v="8"/>
  </r>
  <r>
    <s v="FIN-02027"/>
    <d v="2026-02-14T00:00:00"/>
    <x v="1"/>
    <x v="4"/>
    <x v="2"/>
    <x v="4"/>
    <s v="Islamabad"/>
    <s v="Peoplefirst"/>
    <x v="3"/>
    <n v="12933.33"/>
    <n v="1746.24"/>
    <n v="-11187.09"/>
    <n v="-0.86498140850036298"/>
    <x v="0"/>
    <n v="1746.24"/>
    <x v="17"/>
  </r>
  <r>
    <s v="FIN-02028"/>
    <d v="2026-03-16T00:00:00"/>
    <x v="0"/>
    <x v="6"/>
    <x v="11"/>
    <x v="3"/>
    <s v="Lahore"/>
    <s v="Peoplefirst"/>
    <x v="2"/>
    <n v="1833.33"/>
    <n v="1107.8"/>
    <n v="-725.53"/>
    <n v="-0.39574435589882889"/>
    <x v="0"/>
    <n v="-1107.8"/>
    <x v="14"/>
  </r>
  <r>
    <s v="FIN-02029"/>
    <d v="2025-10-26T00:00:00"/>
    <x v="0"/>
    <x v="1"/>
    <x v="10"/>
    <x v="0"/>
    <s v="Karachi"/>
    <s v="Buildcare"/>
    <x v="2"/>
    <n v="3333.33"/>
    <n v="1567.37"/>
    <n v="-1765.96"/>
    <n v="-0.52978852978852986"/>
    <x v="0"/>
    <n v="-1567.37"/>
    <x v="9"/>
  </r>
  <r>
    <s v="FIN-02030"/>
    <d v="2025-12-20T00:00:00"/>
    <x v="0"/>
    <x v="4"/>
    <x v="10"/>
    <x v="3"/>
    <s v="Karachi"/>
    <s v="Adsphere"/>
    <x v="2"/>
    <n v="8400"/>
    <n v="5062.76"/>
    <n v="-3337.24"/>
    <n v="-0.39729047619047614"/>
    <x v="0"/>
    <n v="-5062.76"/>
    <x v="11"/>
  </r>
  <r>
    <s v="FIN-02031"/>
    <d v="2025-02-22T00:00:00"/>
    <x v="0"/>
    <x v="3"/>
    <x v="0"/>
    <x v="2"/>
    <s v="Lahore"/>
    <s v="Shipfast"/>
    <x v="1"/>
    <n v="6208"/>
    <n v="1964.16"/>
    <n v="-4243.84"/>
    <n v="-0.68360824742268045"/>
    <x v="0"/>
    <n v="-1964.16"/>
    <x v="1"/>
  </r>
  <r>
    <s v="FIN-02032"/>
    <d v="2025-10-29T00:00:00"/>
    <x v="0"/>
    <x v="0"/>
    <x v="6"/>
    <x v="4"/>
    <s v="Karachi"/>
    <s v="Travellink"/>
    <x v="1"/>
    <n v="7826.09"/>
    <n v="8717.67"/>
    <n v="891.57999999999993"/>
    <n v="0.11392406680730734"/>
    <x v="1"/>
    <n v="-8717.67"/>
    <x v="9"/>
  </r>
  <r>
    <s v="FIN-02033"/>
    <d v="2026-01-10T00:00:00"/>
    <x v="1"/>
    <x v="6"/>
    <x v="2"/>
    <x v="0"/>
    <s v="Peshawar"/>
    <s v="Peoplefirst"/>
    <x v="1"/>
    <n v="8622.2199999999993"/>
    <n v="732.49"/>
    <n v="-7889.73"/>
    <n v="-0.91504624099129928"/>
    <x v="0"/>
    <n v="732.49"/>
    <x v="12"/>
  </r>
  <r>
    <s v="FIN-02034"/>
    <d v="2025-11-07T00:00:00"/>
    <x v="1"/>
    <x v="3"/>
    <x v="12"/>
    <x v="1"/>
    <s v="Peshawar"/>
    <s v="Urban Facilities"/>
    <x v="2"/>
    <n v="9545.4500000000007"/>
    <n v="14805.48"/>
    <n v="5260.0299999999988"/>
    <n v="0.55105102431001141"/>
    <x v="1"/>
    <n v="14805.48"/>
    <x v="10"/>
  </r>
  <r>
    <s v="FIN-02035"/>
    <d v="2025-01-26T00:00:00"/>
    <x v="0"/>
    <x v="4"/>
    <x v="9"/>
    <x v="0"/>
    <s v="Islamabad"/>
    <s v="Officepro"/>
    <x v="1"/>
    <n v="3810.71"/>
    <n v="1594.52"/>
    <n v="-2216.19"/>
    <n v="-0.58156878901831943"/>
    <x v="0"/>
    <n v="-1594.52"/>
    <x v="0"/>
  </r>
  <r>
    <s v="FIN-02036"/>
    <d v="2025-07-25T00:00:00"/>
    <x v="0"/>
    <x v="5"/>
    <x v="9"/>
    <x v="3"/>
    <s v="Lahore"/>
    <s v="Urban Facilities"/>
    <x v="4"/>
    <n v="3437.5"/>
    <n v="6621.21"/>
    <n v="3183.71"/>
    <n v="0.92617018181818178"/>
    <x v="1"/>
    <n v="-6621.21"/>
    <x v="6"/>
  </r>
  <r>
    <s v="FIN-02037"/>
    <d v="2025-06-27T00:00:00"/>
    <x v="0"/>
    <x v="2"/>
    <x v="9"/>
    <x v="3"/>
    <s v="Lahore"/>
    <s v="Techsource"/>
    <x v="4"/>
    <n v="5500"/>
    <n v="2645.72"/>
    <n v="-2854.28"/>
    <n v="-0.51896000000000009"/>
    <x v="0"/>
    <n v="-2645.72"/>
    <x v="5"/>
  </r>
  <r>
    <s v="FIN-02038"/>
    <d v="2026-03-15T00:00:00"/>
    <x v="0"/>
    <x v="5"/>
    <x v="6"/>
    <x v="3"/>
    <s v="Lahore"/>
    <s v="Adsphere"/>
    <x v="4"/>
    <n v="7200"/>
    <n v="4071.52"/>
    <n v="-3128.48"/>
    <n v="-0.43451111111111113"/>
    <x v="0"/>
    <n v="-4071.52"/>
    <x v="14"/>
  </r>
  <r>
    <s v="FIN-02039"/>
    <d v="2025-12-18T00:00:00"/>
    <x v="0"/>
    <x v="5"/>
    <x v="7"/>
    <x v="0"/>
    <s v="Islamabad"/>
    <s v="Prime Supplies"/>
    <x v="0"/>
    <n v="6125"/>
    <n v="4803.5200000000004"/>
    <n v="-1321.4799999999996"/>
    <n v="-0.21575183673469381"/>
    <x v="0"/>
    <n v="-4803.5200000000004"/>
    <x v="11"/>
  </r>
  <r>
    <s v="FIN-02040"/>
    <d v="2025-11-17T00:00:00"/>
    <x v="0"/>
    <x v="1"/>
    <x v="6"/>
    <x v="3"/>
    <s v="Karachi"/>
    <s v="Prime Supplies"/>
    <x v="4"/>
    <n v="9947.3700000000008"/>
    <n v="12891.98"/>
    <n v="2944.6099999999988"/>
    <n v="0.29601894772185999"/>
    <x v="1"/>
    <n v="-12891.98"/>
    <x v="10"/>
  </r>
  <r>
    <s v="FIN-02041"/>
    <d v="2026-01-29T00:00:00"/>
    <x v="0"/>
    <x v="6"/>
    <x v="6"/>
    <x v="3"/>
    <s v="Lahore"/>
    <s v="Unknown"/>
    <x v="3"/>
    <n v="6715.38"/>
    <n v="3228.06"/>
    <n v="-3487.32"/>
    <n v="-0.51930344969309261"/>
    <x v="0"/>
    <n v="-3228.06"/>
    <x v="12"/>
  </r>
  <r>
    <s v="FIN-02042"/>
    <d v="2025-04-24T00:00:00"/>
    <x v="1"/>
    <x v="2"/>
    <x v="3"/>
    <x v="1"/>
    <s v="Faisalabad"/>
    <s v="Adsphere"/>
    <x v="4"/>
    <n v="11363.64"/>
    <n v="23319.4"/>
    <n v="11955.760000000002"/>
    <n v="1.0521065433259065"/>
    <x v="1"/>
    <n v="23319.4"/>
    <x v="3"/>
  </r>
  <r>
    <s v="FIN-02043"/>
    <d v="2026-04-13T00:00:00"/>
    <x v="0"/>
    <x v="4"/>
    <x v="7"/>
    <x v="3"/>
    <s v="Karachi"/>
    <s v="Officepro"/>
    <x v="1"/>
    <n v="5833.33"/>
    <n v="2721.35"/>
    <n v="-3111.98"/>
    <n v="-0.53348259056148029"/>
    <x v="0"/>
    <n v="-2721.35"/>
    <x v="15"/>
  </r>
  <r>
    <s v="FIN-02044"/>
    <d v="2025-08-02T00:00:00"/>
    <x v="1"/>
    <x v="0"/>
    <x v="3"/>
    <x v="2"/>
    <s v="Karachi"/>
    <s v="Peoplefirst"/>
    <x v="4"/>
    <n v="10416.67"/>
    <n v="24971.65"/>
    <n v="14554.980000000001"/>
    <n v="1.3972776328711576"/>
    <x v="1"/>
    <n v="24971.65"/>
    <x v="7"/>
  </r>
  <r>
    <s v="FIN-02045"/>
    <d v="2025-12-27T00:00:00"/>
    <x v="0"/>
    <x v="5"/>
    <x v="5"/>
    <x v="2"/>
    <s v="Lahore"/>
    <s v="Powergrid"/>
    <x v="2"/>
    <n v="5250"/>
    <n v="9739.27"/>
    <n v="4489.2700000000004"/>
    <n v="0.85509904761904765"/>
    <x v="1"/>
    <n v="-9739.27"/>
    <x v="11"/>
  </r>
  <r>
    <s v="FIN-02046"/>
    <d v="2025-10-25T00:00:00"/>
    <x v="1"/>
    <x v="3"/>
    <x v="2"/>
    <x v="4"/>
    <s v="Karachi"/>
    <s v="Cloudnet"/>
    <x v="4"/>
    <n v="4705.88"/>
    <n v="2611.3200000000002"/>
    <n v="-2094.56"/>
    <n v="-0.44509422254711123"/>
    <x v="0"/>
    <n v="2611.3200000000002"/>
    <x v="9"/>
  </r>
  <r>
    <s v="FIN-02047"/>
    <d v="2025-08-25T00:00:00"/>
    <x v="1"/>
    <x v="2"/>
    <x v="3"/>
    <x v="3"/>
    <s v="Islamabad"/>
    <s v="Buildcare"/>
    <x v="2"/>
    <n v="10416.67"/>
    <n v="22325.48"/>
    <n v="11908.81"/>
    <n v="1.1432453941614737"/>
    <x v="1"/>
    <n v="22325.48"/>
    <x v="7"/>
  </r>
  <r>
    <s v="FIN-02048"/>
    <d v="2025-10-20T00:00:00"/>
    <x v="1"/>
    <x v="3"/>
    <x v="3"/>
    <x v="2"/>
    <s v="Multan"/>
    <s v="Adsphere"/>
    <x v="1"/>
    <n v="8928.57"/>
    <n v="24971.07"/>
    <n v="16042.5"/>
    <n v="1.796760287481646"/>
    <x v="1"/>
    <n v="24971.07"/>
    <x v="9"/>
  </r>
  <r>
    <s v="FIN-02049"/>
    <d v="2025-02-21T00:00:00"/>
    <x v="1"/>
    <x v="3"/>
    <x v="3"/>
    <x v="3"/>
    <s v="Multan"/>
    <s v="Buildcare"/>
    <x v="2"/>
    <n v="13472.22"/>
    <n v="16421.439999999999"/>
    <n v="2949.2199999999993"/>
    <n v="0.21891121136679773"/>
    <x v="1"/>
    <n v="16421.439999999999"/>
    <x v="1"/>
  </r>
  <r>
    <s v="FIN-02050"/>
    <d v="2025-01-28T00:00:00"/>
    <x v="0"/>
    <x v="2"/>
    <x v="6"/>
    <x v="3"/>
    <s v="Lahore"/>
    <s v="Legalworks"/>
    <x v="3"/>
    <n v="7591.3"/>
    <n v="7967.43"/>
    <n v="376.13000000000011"/>
    <n v="4.9547508331906277E-2"/>
    <x v="1"/>
    <n v="-7967.43"/>
    <x v="0"/>
  </r>
  <r>
    <s v="FIN-02051"/>
    <d v="2025-12-05T00:00:00"/>
    <x v="1"/>
    <x v="4"/>
    <x v="2"/>
    <x v="2"/>
    <s v="Karachi"/>
    <s v="Prime Supplies"/>
    <x v="4"/>
    <n v="9333.33"/>
    <n v="0"/>
    <n v="-9333.33"/>
    <n v="-1"/>
    <x v="0"/>
    <n v="0"/>
    <x v="11"/>
  </r>
  <r>
    <s v="FIN-02052"/>
    <d v="2025-10-23T00:00:00"/>
    <x v="0"/>
    <x v="1"/>
    <x v="6"/>
    <x v="0"/>
    <s v="Lahore"/>
    <s v="Softworks"/>
    <x v="3"/>
    <n v="7826.09"/>
    <n v="12210.14"/>
    <n v="4384.0499999999993"/>
    <n v="0.56018394881735312"/>
    <x v="1"/>
    <n v="-12210.14"/>
    <x v="9"/>
  </r>
  <r>
    <s v="FIN-02053"/>
    <d v="2025-09-26T00:00:00"/>
    <x v="0"/>
    <x v="4"/>
    <x v="4"/>
    <x v="1"/>
    <s v="Islamabad"/>
    <s v="Legalworks"/>
    <x v="4"/>
    <n v="3500"/>
    <n v="3454.46"/>
    <n v="-45.539999999999964"/>
    <n v="-1.3011428571428561E-2"/>
    <x v="0"/>
    <n v="-3454.46"/>
    <x v="8"/>
  </r>
  <r>
    <s v="FIN-02054"/>
    <d v="2026-03-28T00:00:00"/>
    <x v="1"/>
    <x v="3"/>
    <x v="3"/>
    <x v="4"/>
    <s v="Faisalabad"/>
    <s v="Markethub"/>
    <x v="1"/>
    <n v="11363.64"/>
    <n v="3500.22"/>
    <n v="-7863.42"/>
    <n v="-0.69198073856616371"/>
    <x v="0"/>
    <n v="3500.22"/>
    <x v="14"/>
  </r>
  <r>
    <s v="FIN-02055"/>
    <d v="2025-08-20T00:00:00"/>
    <x v="0"/>
    <x v="0"/>
    <x v="6"/>
    <x v="0"/>
    <s v="Lahore"/>
    <s v="Dataserve"/>
    <x v="4"/>
    <n v="8181.82"/>
    <n v="8717.26"/>
    <n v="535.44000000000051"/>
    <n v="6.5442652123855152E-2"/>
    <x v="1"/>
    <n v="-8717.26"/>
    <x v="7"/>
  </r>
  <r>
    <s v="FIN-02056"/>
    <d v="2026-03-01T00:00:00"/>
    <x v="0"/>
    <x v="1"/>
    <x v="6"/>
    <x v="3"/>
    <s v="Lahore"/>
    <s v="Powergrid"/>
    <x v="1"/>
    <n v="7200"/>
    <n v="4140.0200000000004"/>
    <n v="-3059.9799999999996"/>
    <n v="-0.42499722222222214"/>
    <x v="0"/>
    <n v="-4140.0200000000004"/>
    <x v="14"/>
  </r>
  <r>
    <s v="FIN-02057"/>
    <d v="2025-01-16T00:00:00"/>
    <x v="1"/>
    <x v="5"/>
    <x v="2"/>
    <x v="3"/>
    <s v="Karachi"/>
    <s v="Officepro"/>
    <x v="0"/>
    <n v="11085.71"/>
    <n v="1720.45"/>
    <n v="-9365.2599999999984"/>
    <n v="-0.84480470804305718"/>
    <x v="0"/>
    <n v="1720.45"/>
    <x v="0"/>
  </r>
  <r>
    <s v="FIN-02058"/>
    <d v="2025-05-17T00:00:00"/>
    <x v="0"/>
    <x v="2"/>
    <x v="0"/>
    <x v="0"/>
    <s v="Karachi"/>
    <s v="Softworks"/>
    <x v="1"/>
    <n v="2909.09"/>
    <n v="1893.56"/>
    <n v="-1015.5300000000002"/>
    <n v="-0.34908854659017086"/>
    <x v="0"/>
    <n v="-1893.56"/>
    <x v="4"/>
  </r>
  <r>
    <s v="FIN-02059"/>
    <d v="2025-12-02T00:00:00"/>
    <x v="0"/>
    <x v="1"/>
    <x v="5"/>
    <x v="4"/>
    <s v="Karachi"/>
    <s v="Powergrid"/>
    <x v="0"/>
    <n v="5250"/>
    <n v="5915.57"/>
    <n v="665.56999999999971"/>
    <n v="0.12677523809523805"/>
    <x v="1"/>
    <n v="-5915.57"/>
    <x v="11"/>
  </r>
  <r>
    <s v="FIN-02060"/>
    <d v="2025-11-24T00:00:00"/>
    <x v="0"/>
    <x v="1"/>
    <x v="7"/>
    <x v="3"/>
    <s v="Faisalabad"/>
    <s v="Cloudnet"/>
    <x v="4"/>
    <n v="7350"/>
    <n v="4153.58"/>
    <n v="-3196.42"/>
    <n v="-0.434887074829932"/>
    <x v="0"/>
    <n v="-4153.58"/>
    <x v="10"/>
  </r>
  <r>
    <s v="FIN-02061"/>
    <d v="2026-01-25T00:00:00"/>
    <x v="0"/>
    <x v="2"/>
    <x v="7"/>
    <x v="0"/>
    <s v="Islamabad"/>
    <s v="Dataserve"/>
    <x v="2"/>
    <n v="3395"/>
    <n v="4854.09"/>
    <n v="1459.0900000000001"/>
    <n v="0.42977614138438885"/>
    <x v="1"/>
    <n v="-4854.09"/>
    <x v="12"/>
  </r>
  <r>
    <s v="FIN-02062"/>
    <d v="2025-10-28T00:00:00"/>
    <x v="0"/>
    <x v="3"/>
    <x v="4"/>
    <x v="3"/>
    <s v="Karachi"/>
    <s v="Legalworks"/>
    <x v="1"/>
    <n v="3500"/>
    <n v="1958"/>
    <n v="-1542"/>
    <n v="-0.44057142857142856"/>
    <x v="0"/>
    <n v="-1958"/>
    <x v="9"/>
  </r>
  <r>
    <s v="FIN-02063"/>
    <d v="2025-04-22T00:00:00"/>
    <x v="0"/>
    <x v="2"/>
    <x v="10"/>
    <x v="4"/>
    <s v="Karachi"/>
    <s v="Markethub"/>
    <x v="0"/>
    <n v="5714.29"/>
    <n v="5072.42"/>
    <n v="-641.86999999999989"/>
    <n v="-0.11232716575462566"/>
    <x v="0"/>
    <n v="-5072.42"/>
    <x v="3"/>
  </r>
  <r>
    <s v="FIN-02064"/>
    <d v="2025-10-17T00:00:00"/>
    <x v="0"/>
    <x v="2"/>
    <x v="9"/>
    <x v="4"/>
    <s v="Karachi"/>
    <s v="Buildcare"/>
    <x v="1"/>
    <n v="3928.57"/>
    <n v="5074.55"/>
    <n v="1145.98"/>
    <n v="0.29170410607422037"/>
    <x v="1"/>
    <n v="-5074.55"/>
    <x v="9"/>
  </r>
  <r>
    <s v="FIN-02065"/>
    <d v="2026-05-21T00:00:00"/>
    <x v="0"/>
    <x v="6"/>
    <x v="6"/>
    <x v="3"/>
    <s v="Lahore"/>
    <s v="Powergrid"/>
    <x v="3"/>
    <n v="16363.64"/>
    <n v="10857.98"/>
    <n v="-5505.66"/>
    <n v="-0.33645692523179438"/>
    <x v="0"/>
    <n v="-10857.98"/>
    <x v="16"/>
  </r>
  <r>
    <s v="FIN-02066"/>
    <d v="2025-11-06T00:00:00"/>
    <x v="1"/>
    <x v="3"/>
    <x v="2"/>
    <x v="3"/>
    <s v="Karachi"/>
    <s v="Dataserve"/>
    <x v="1"/>
    <n v="8400"/>
    <n v="3908.78"/>
    <n v="-4491.2199999999993"/>
    <n v="-0.53466904761904754"/>
    <x v="0"/>
    <n v="3908.78"/>
    <x v="10"/>
  </r>
  <r>
    <s v="FIN-02067"/>
    <d v="2026-01-29T00:00:00"/>
    <x v="1"/>
    <x v="3"/>
    <x v="12"/>
    <x v="0"/>
    <s v="Karachi"/>
    <s v="Officepro"/>
    <x v="1"/>
    <n v="6062.5"/>
    <n v="14652.33"/>
    <n v="8589.83"/>
    <n v="1.4168791752577319"/>
    <x v="1"/>
    <n v="14652.33"/>
    <x v="12"/>
  </r>
  <r>
    <s v="FIN-02068"/>
    <d v="2026-04-05T00:00:00"/>
    <x v="0"/>
    <x v="4"/>
    <x v="1"/>
    <x v="3"/>
    <s v="Karachi"/>
    <s v="Buildcare"/>
    <x v="2"/>
    <n v="2250"/>
    <n v="1773.17"/>
    <n v="-476.82999999999993"/>
    <n v="-0.21192444444444442"/>
    <x v="0"/>
    <n v="-1773.17"/>
    <x v="15"/>
  </r>
  <r>
    <s v="FIN-02069"/>
    <d v="2025-07-27T00:00:00"/>
    <x v="0"/>
    <x v="5"/>
    <x v="9"/>
    <x v="3"/>
    <s v="Karachi"/>
    <s v="Prime Supplies"/>
    <x v="3"/>
    <n v="3437.5"/>
    <n v="2207.75"/>
    <n v="-1229.75"/>
    <n v="-0.35774545454545453"/>
    <x v="0"/>
    <n v="-2207.75"/>
    <x v="6"/>
  </r>
  <r>
    <s v="FIN-02070"/>
    <d v="2025-06-02T00:00:00"/>
    <x v="0"/>
    <x v="4"/>
    <x v="0"/>
    <x v="3"/>
    <s v="Karachi"/>
    <s v="Softworks"/>
    <x v="1"/>
    <n v="4571.43"/>
    <n v="1598.93"/>
    <n v="-2972.5"/>
    <n v="-0.6502341718018213"/>
    <x v="0"/>
    <n v="-1598.93"/>
    <x v="5"/>
  </r>
  <r>
    <s v="FIN-02071"/>
    <d v="2025-04-11T00:00:00"/>
    <x v="1"/>
    <x v="4"/>
    <x v="3"/>
    <x v="3"/>
    <s v="Karachi"/>
    <s v="Softworks"/>
    <x v="4"/>
    <n v="11363.64"/>
    <n v="24439.33"/>
    <n v="13075.690000000002"/>
    <n v="1.1506603517886878"/>
    <x v="1"/>
    <n v="24439.33"/>
    <x v="3"/>
  </r>
  <r>
    <s v="FIN-02072"/>
    <d v="2026-04-02T00:00:00"/>
    <x v="1"/>
    <x v="5"/>
    <x v="12"/>
    <x v="4"/>
    <s v="Multan"/>
    <s v="Prime Supplies"/>
    <x v="4"/>
    <n v="7142.86"/>
    <n v="12820.2"/>
    <n v="5677.3400000000011"/>
    <n v="0.79482728206908737"/>
    <x v="1"/>
    <n v="12820.2"/>
    <x v="15"/>
  </r>
  <r>
    <s v="FIN-02073"/>
    <d v="2025-06-10T00:00:00"/>
    <x v="1"/>
    <x v="3"/>
    <x v="3"/>
    <x v="0"/>
    <s v="Karachi"/>
    <s v="Techsource"/>
    <x v="2"/>
    <n v="9615.3799999999992"/>
    <n v="19576.990000000002"/>
    <n v="9961.6100000000024"/>
    <n v="1.0360079372838102"/>
    <x v="1"/>
    <n v="19576.990000000002"/>
    <x v="5"/>
  </r>
  <r>
    <s v="FIN-02074"/>
    <d v="2025-08-10T00:00:00"/>
    <x v="1"/>
    <x v="1"/>
    <x v="12"/>
    <x v="3"/>
    <s v="Multan"/>
    <s v="Urban Facilities"/>
    <x v="3"/>
    <n v="7142.86"/>
    <n v="14449.58"/>
    <n v="7306.72"/>
    <n v="1.0229403908238437"/>
    <x v="1"/>
    <n v="14449.58"/>
    <x v="7"/>
  </r>
  <r>
    <s v="FIN-02075"/>
    <d v="2025-08-01T00:00:00"/>
    <x v="1"/>
    <x v="3"/>
    <x v="12"/>
    <x v="4"/>
    <s v="Multan"/>
    <s v="Powergrid"/>
    <x v="3"/>
    <n v="7142.86"/>
    <n v="6265.69"/>
    <n v="-877.17000000000007"/>
    <n v="-0.12280375087849967"/>
    <x v="0"/>
    <n v="6265.69"/>
    <x v="7"/>
  </r>
  <r>
    <s v="FIN-02076"/>
    <d v="2025-12-20T00:00:00"/>
    <x v="1"/>
    <x v="3"/>
    <x v="3"/>
    <x v="4"/>
    <s v="Peshawar"/>
    <s v="Powergrid"/>
    <x v="1"/>
    <n v="15441.18"/>
    <n v="15786.76"/>
    <n v="345.57999999999993"/>
    <n v="2.2380413932095857E-2"/>
    <x v="1"/>
    <n v="15786.76"/>
    <x v="11"/>
  </r>
  <r>
    <s v="FIN-02077"/>
    <d v="2025-06-01T00:00:00"/>
    <x v="0"/>
    <x v="2"/>
    <x v="1"/>
    <x v="3"/>
    <s v="Karachi"/>
    <s v="Techsource"/>
    <x v="2"/>
    <n v="2000"/>
    <n v="257.58999999999997"/>
    <n v="-1742.41"/>
    <n v="-0.87120500000000001"/>
    <x v="0"/>
    <n v="-257.58999999999997"/>
    <x v="5"/>
  </r>
  <r>
    <s v="FIN-02078"/>
    <d v="2025-07-11T00:00:00"/>
    <x v="0"/>
    <x v="1"/>
    <x v="11"/>
    <x v="3"/>
    <s v="Islamabad"/>
    <s v="Peoplefirst"/>
    <x v="3"/>
    <n v="2750"/>
    <n v="2846.85"/>
    <n v="96.849999999999909"/>
    <n v="3.5218181818181787E-2"/>
    <x v="1"/>
    <n v="-2846.85"/>
    <x v="6"/>
  </r>
  <r>
    <s v="FIN-02079"/>
    <d v="2025-07-09T00:00:00"/>
    <x v="0"/>
    <x v="6"/>
    <x v="9"/>
    <x v="4"/>
    <s v="Karachi"/>
    <s v="Techsource"/>
    <x v="1"/>
    <n v="3437.5"/>
    <n v="1268.5899999999999"/>
    <n v="-2168.91"/>
    <n v="-0.63095563636363627"/>
    <x v="0"/>
    <n v="-1268.5899999999999"/>
    <x v="6"/>
  </r>
  <r>
    <s v="FIN-02080"/>
    <d v="2025-06-28T00:00:00"/>
    <x v="1"/>
    <x v="3"/>
    <x v="12"/>
    <x v="1"/>
    <s v="Karachi"/>
    <s v="Techsource"/>
    <x v="4"/>
    <n v="6250"/>
    <n v="17663.09"/>
    <n v="11413.09"/>
    <n v="1.8260944000000001"/>
    <x v="1"/>
    <n v="17663.09"/>
    <x v="5"/>
  </r>
  <r>
    <s v="FIN-02081"/>
    <d v="2026-02-25T00:00:00"/>
    <x v="0"/>
    <x v="0"/>
    <x v="4"/>
    <x v="2"/>
    <s v="Islamabad"/>
    <s v="Buildcare"/>
    <x v="1"/>
    <n v="3880"/>
    <n v="2271.84"/>
    <n v="-1608.1599999999999"/>
    <n v="-0.41447422680412366"/>
    <x v="0"/>
    <n v="-2271.84"/>
    <x v="17"/>
  </r>
  <r>
    <s v="FIN-02082"/>
    <d v="2026-03-20T00:00:00"/>
    <x v="0"/>
    <x v="1"/>
    <x v="9"/>
    <x v="3"/>
    <s v="Karachi"/>
    <s v="Dataserve"/>
    <x v="0"/>
    <n v="5000"/>
    <n v="7376.8"/>
    <n v="2376.8000000000002"/>
    <n v="0.47536000000000006"/>
    <x v="1"/>
    <n v="-7376.8"/>
    <x v="14"/>
  </r>
  <r>
    <s v="FIN-02083"/>
    <d v="2025-01-23T00:00:00"/>
    <x v="1"/>
    <x v="3"/>
    <x v="12"/>
    <x v="0"/>
    <s v="Karachi"/>
    <s v="Buildcare"/>
    <x v="4"/>
    <n v="9700"/>
    <n v="2032.52"/>
    <n v="-7667.48"/>
    <n v="-0.79046185567010308"/>
    <x v="0"/>
    <n v="2032.52"/>
    <x v="0"/>
  </r>
  <r>
    <s v="FIN-02084"/>
    <d v="2025-03-18T00:00:00"/>
    <x v="1"/>
    <x v="2"/>
    <x v="2"/>
    <x v="3"/>
    <s v="Peshawar"/>
    <s v="Markethub"/>
    <x v="2"/>
    <n v="11428.57"/>
    <n v="4000.65"/>
    <n v="-7427.92"/>
    <n v="-0.64994308124288513"/>
    <x v="0"/>
    <n v="4000.65"/>
    <x v="2"/>
  </r>
  <r>
    <s v="FIN-02085"/>
    <d v="2026-01-31T00:00:00"/>
    <x v="0"/>
    <x v="1"/>
    <x v="7"/>
    <x v="2"/>
    <s v="Multan"/>
    <s v="Officepro"/>
    <x v="4"/>
    <n v="3395"/>
    <n v="4101.16"/>
    <n v="706.15999999999985"/>
    <n v="0.20799999999999996"/>
    <x v="1"/>
    <n v="-4101.16"/>
    <x v="12"/>
  </r>
  <r>
    <s v="FIN-02086"/>
    <d v="2025-04-12T00:00:00"/>
    <x v="0"/>
    <x v="6"/>
    <x v="14"/>
    <x v="1"/>
    <s v="Peshawar"/>
    <s v="Powergrid"/>
    <x v="1"/>
    <n v="6111.11"/>
    <n v="3864.25"/>
    <n v="-2246.8599999999997"/>
    <n v="-0.36766806684873937"/>
    <x v="0"/>
    <n v="-3864.25"/>
    <x v="3"/>
  </r>
  <r>
    <s v="FIN-02087"/>
    <d v="2025-09-08T00:00:00"/>
    <x v="0"/>
    <x v="1"/>
    <x v="6"/>
    <x v="4"/>
    <s v="Multan"/>
    <s v="Legalworks"/>
    <x v="4"/>
    <n v="7500"/>
    <n v="10827.12"/>
    <n v="3327.1200000000008"/>
    <n v="0.44361600000000012"/>
    <x v="1"/>
    <n v="-10827.12"/>
    <x v="8"/>
  </r>
  <r>
    <s v="FIN-02088"/>
    <d v="2025-11-17T00:00:00"/>
    <x v="1"/>
    <x v="1"/>
    <x v="2"/>
    <x v="4"/>
    <s v="Karachi"/>
    <s v="Adsphere"/>
    <x v="3"/>
    <n v="8400"/>
    <n v="3088.17"/>
    <n v="-5311.83"/>
    <n v="-0.63236071428571428"/>
    <x v="0"/>
    <n v="3088.17"/>
    <x v="10"/>
  </r>
  <r>
    <s v="FIN-02089"/>
    <d v="2026-05-17T00:00:00"/>
    <x v="0"/>
    <x v="5"/>
    <x v="9"/>
    <x v="3"/>
    <s v="Karachi"/>
    <s v="Travellink"/>
    <x v="4"/>
    <n v="7857.14"/>
    <n v="5898.88"/>
    <n v="-1958.2600000000002"/>
    <n v="-0.24923318153933877"/>
    <x v="0"/>
    <n v="-5898.88"/>
    <x v="16"/>
  </r>
  <r>
    <s v="FIN-02090"/>
    <d v="2026-06-15T00:00:00"/>
    <x v="0"/>
    <x v="4"/>
    <x v="6"/>
    <x v="4"/>
    <s v="Islamabad"/>
    <s v="Buildcare"/>
    <x v="4"/>
    <n v="8571.43"/>
    <n v="9920.2000000000007"/>
    <n v="1348.7700000000004"/>
    <n v="0.15735647377392109"/>
    <x v="1"/>
    <n v="-9920.2000000000007"/>
    <x v="13"/>
  </r>
  <r>
    <s v="FIN-02091"/>
    <d v="2025-06-21T00:00:00"/>
    <x v="0"/>
    <x v="4"/>
    <x v="1"/>
    <x v="2"/>
    <s v="Multan"/>
    <s v="Cloudnet"/>
    <x v="1"/>
    <n v="2000"/>
    <n v="1465.42"/>
    <n v="-534.57999999999993"/>
    <n v="-0.26728999999999997"/>
    <x v="0"/>
    <n v="-1465.42"/>
    <x v="5"/>
  </r>
  <r>
    <s v="FIN-02092"/>
    <d v="2025-09-18T00:00:00"/>
    <x v="0"/>
    <x v="6"/>
    <x v="6"/>
    <x v="3"/>
    <s v="Karachi"/>
    <s v="Prime Supplies"/>
    <x v="2"/>
    <n v="7500"/>
    <n v="12043.35"/>
    <n v="4543.3500000000004"/>
    <n v="0.6057800000000001"/>
    <x v="1"/>
    <n v="-12043.35"/>
    <x v="8"/>
  </r>
  <r>
    <s v="FIN-02093"/>
    <d v="2026-06-02T00:00:00"/>
    <x v="0"/>
    <x v="1"/>
    <x v="14"/>
    <x v="3"/>
    <s v="Multan"/>
    <s v="Markethub"/>
    <x v="3"/>
    <n v="3555.56"/>
    <n v="5120.58"/>
    <n v="1565.02"/>
    <n v="0.44016132479834402"/>
    <x v="1"/>
    <n v="-5120.58"/>
    <x v="13"/>
  </r>
  <r>
    <s v="FIN-02094"/>
    <d v="2026-02-10T00:00:00"/>
    <x v="0"/>
    <x v="1"/>
    <x v="6"/>
    <x v="3"/>
    <s v="Karachi"/>
    <s v="Officepro"/>
    <x v="4"/>
    <n v="9189.4699999999993"/>
    <n v="11922.71"/>
    <n v="2733.24"/>
    <n v="0.29743173436552922"/>
    <x v="1"/>
    <n v="-11922.71"/>
    <x v="17"/>
  </r>
  <r>
    <s v="FIN-02095"/>
    <d v="2025-06-20T00:00:00"/>
    <x v="0"/>
    <x v="5"/>
    <x v="11"/>
    <x v="3"/>
    <s v="Lahore"/>
    <s v="Travellink"/>
    <x v="2"/>
    <n v="3666.67"/>
    <n v="1160.42"/>
    <n v="-2506.25"/>
    <n v="-0.68352210588899465"/>
    <x v="0"/>
    <n v="-1160.42"/>
    <x v="5"/>
  </r>
  <r>
    <s v="FIN-02096"/>
    <d v="2026-02-11T00:00:00"/>
    <x v="0"/>
    <x v="3"/>
    <x v="9"/>
    <x v="0"/>
    <s v="Karachi"/>
    <s v="Prime Supplies"/>
    <x v="3"/>
    <n v="4850"/>
    <n v="8350.42"/>
    <n v="3500.42"/>
    <n v="0.72173608247422683"/>
    <x v="1"/>
    <n v="-8350.42"/>
    <x v="17"/>
  </r>
  <r>
    <s v="FIN-02097"/>
    <d v="2026-05-27T00:00:00"/>
    <x v="1"/>
    <x v="1"/>
    <x v="13"/>
    <x v="4"/>
    <s v="Lahore"/>
    <s v="Buildcare"/>
    <x v="2"/>
    <n v="5000"/>
    <n v="4914.78"/>
    <n v="-85.220000000000255"/>
    <n v="-1.7044000000000052E-2"/>
    <x v="0"/>
    <n v="4914.78"/>
    <x v="16"/>
  </r>
  <r>
    <s v="FIN-02098"/>
    <d v="2025-05-11T00:00:00"/>
    <x v="0"/>
    <x v="3"/>
    <x v="7"/>
    <x v="1"/>
    <s v="Karachi"/>
    <s v="Markethub"/>
    <x v="1"/>
    <n v="3888.89"/>
    <n v="3096.43"/>
    <n v="-792.46"/>
    <n v="-0.20377537034989421"/>
    <x v="0"/>
    <n v="-3096.43"/>
    <x v="4"/>
  </r>
  <r>
    <s v="FIN-02099"/>
    <d v="2025-12-29T00:00:00"/>
    <x v="0"/>
    <x v="3"/>
    <x v="9"/>
    <x v="4"/>
    <s v="Islamabad"/>
    <s v="Legalworks"/>
    <x v="3"/>
    <n v="4125"/>
    <n v="6769.32"/>
    <n v="2644.3199999999997"/>
    <n v="0.64104727272727269"/>
    <x v="1"/>
    <n v="-6769.32"/>
    <x v="11"/>
  </r>
  <r>
    <s v="FIN-02100"/>
    <d v="2025-01-21T00:00:00"/>
    <x v="0"/>
    <x v="6"/>
    <x v="5"/>
    <x v="2"/>
    <s v="Lahore"/>
    <s v="Buildcare"/>
    <x v="4"/>
    <n v="12610"/>
    <n v="7796.49"/>
    <n v="-4813.51"/>
    <n v="-0.38172164948453607"/>
    <x v="0"/>
    <n v="-7796.49"/>
    <x v="0"/>
  </r>
  <r>
    <s v="FIN-02101"/>
    <d v="2026-06-05T00:00:00"/>
    <x v="0"/>
    <x v="0"/>
    <x v="6"/>
    <x v="0"/>
    <s v="Islamabad"/>
    <s v="Buildcare"/>
    <x v="1"/>
    <n v="8571.43"/>
    <n v="3086.78"/>
    <n v="-5484.65"/>
    <n v="-0.6398757266873788"/>
    <x v="0"/>
    <n v="-3086.78"/>
    <x v="13"/>
  </r>
  <r>
    <s v="FIN-02102"/>
    <d v="2025-10-14T00:00:00"/>
    <x v="0"/>
    <x v="1"/>
    <x v="10"/>
    <x v="3"/>
    <s v="Multan"/>
    <s v="Peoplefirst"/>
    <x v="3"/>
    <n v="3333.33"/>
    <n v="5098.68"/>
    <n v="1765.3500000000004"/>
    <n v="0.52960552960552976"/>
    <x v="1"/>
    <n v="-5098.68"/>
    <x v="9"/>
  </r>
  <r>
    <s v="FIN-02103"/>
    <d v="2025-01-16T00:00:00"/>
    <x v="1"/>
    <x v="2"/>
    <x v="2"/>
    <x v="0"/>
    <s v="Islamabad"/>
    <s v="Prime Supplies"/>
    <x v="2"/>
    <n v="11085.71"/>
    <n v="2495.86"/>
    <n v="-8589.8499999999985"/>
    <n v="-0.77485790265125098"/>
    <x v="0"/>
    <n v="2495.86"/>
    <x v="0"/>
  </r>
  <r>
    <s v="FIN-02104"/>
    <d v="2026-05-22T00:00:00"/>
    <x v="0"/>
    <x v="3"/>
    <x v="5"/>
    <x v="3"/>
    <s v="Karachi"/>
    <s v="Techsource"/>
    <x v="3"/>
    <n v="6500"/>
    <n v="9744.31"/>
    <n v="3244.3099999999995"/>
    <n v="0.49912461538461533"/>
    <x v="1"/>
    <n v="-9744.31"/>
    <x v="16"/>
  </r>
  <r>
    <s v="FIN-02105"/>
    <d v="2025-10-03T00:00:00"/>
    <x v="0"/>
    <x v="5"/>
    <x v="0"/>
    <x v="2"/>
    <s v="Karachi"/>
    <s v="Officepro"/>
    <x v="2"/>
    <n v="2666.67"/>
    <n v="3625.98"/>
    <n v="959.31"/>
    <n v="0.35974080032399958"/>
    <x v="1"/>
    <n v="-3625.98"/>
    <x v="9"/>
  </r>
  <r>
    <s v="FIN-02106"/>
    <d v="2025-08-26T00:00:00"/>
    <x v="0"/>
    <x v="0"/>
    <x v="9"/>
    <x v="4"/>
    <s v="Karachi"/>
    <s v="Powergrid"/>
    <x v="1"/>
    <n v="3928.57"/>
    <n v="7383.7"/>
    <n v="3455.1299999999997"/>
    <n v="0.87948795617743847"/>
    <x v="1"/>
    <n v="-7383.7"/>
    <x v="7"/>
  </r>
  <r>
    <s v="FIN-02107"/>
    <d v="2026-02-27T00:00:00"/>
    <x v="0"/>
    <x v="6"/>
    <x v="8"/>
    <x v="3"/>
    <s v="Faisalabad"/>
    <s v="Adsphere"/>
    <x v="4"/>
    <n v="2910"/>
    <n v="899.57"/>
    <n v="-2010.4299999999998"/>
    <n v="-0.69086941580756012"/>
    <x v="0"/>
    <n v="-899.57"/>
    <x v="17"/>
  </r>
  <r>
    <s v="FIN-02108"/>
    <d v="2025-01-01T00:00:00"/>
    <x v="0"/>
    <x v="1"/>
    <x v="6"/>
    <x v="0"/>
    <s v="Karachi"/>
    <s v="Cloudnet"/>
    <x v="1"/>
    <n v="7591.3"/>
    <n v="14633.26"/>
    <n v="7041.96"/>
    <n v="0.92763558283824898"/>
    <x v="1"/>
    <n v="-14633.26"/>
    <x v="0"/>
  </r>
  <r>
    <s v="FIN-02109"/>
    <d v="2025-05-22T00:00:00"/>
    <x v="0"/>
    <x v="6"/>
    <x v="1"/>
    <x v="3"/>
    <s v="Peshawar"/>
    <s v="Prime Supplies"/>
    <x v="3"/>
    <n v="0"/>
    <n v="152.52000000000001"/>
    <n v="152.52000000000001"/>
    <n v="0"/>
    <x v="2"/>
    <n v="-152.52000000000001"/>
    <x v="4"/>
  </r>
  <r>
    <s v="FIN-02110"/>
    <d v="2025-04-26T00:00:00"/>
    <x v="0"/>
    <x v="3"/>
    <x v="5"/>
    <x v="4"/>
    <s v="Karachi"/>
    <s v="Buildcare"/>
    <x v="3"/>
    <n v="5416.67"/>
    <n v="8865.44"/>
    <n v="3448.7700000000004"/>
    <n v="0.63669560818731807"/>
    <x v="1"/>
    <n v="-8865.44"/>
    <x v="3"/>
  </r>
  <r>
    <s v="FIN-02111"/>
    <d v="2025-01-09T00:00:00"/>
    <x v="1"/>
    <x v="3"/>
    <x v="12"/>
    <x v="4"/>
    <s v="Islamabad"/>
    <s v="Cloudnet"/>
    <x v="2"/>
    <n v="9700"/>
    <n v="9826.8700000000008"/>
    <n v="126.8700000000008"/>
    <n v="1.3079381443299051E-2"/>
    <x v="1"/>
    <n v="9826.8700000000008"/>
    <x v="0"/>
  </r>
  <r>
    <s v="FIN-02112"/>
    <d v="2026-06-26T00:00:00"/>
    <x v="0"/>
    <x v="2"/>
    <x v="6"/>
    <x v="4"/>
    <s v="Karachi"/>
    <s v="Officepro"/>
    <x v="0"/>
    <n v="8571.43"/>
    <n v="6946.68"/>
    <n v="-1624.75"/>
    <n v="-0.18955413507431082"/>
    <x v="0"/>
    <n v="-6946.68"/>
    <x v="13"/>
  </r>
  <r>
    <s v="FIN-02113"/>
    <d v="2025-07-29T00:00:00"/>
    <x v="0"/>
    <x v="5"/>
    <x v="10"/>
    <x v="4"/>
    <s v="Lahore"/>
    <s v="Softworks"/>
    <x v="2"/>
    <n v="3333.33"/>
    <n v="930.32"/>
    <n v="-2403.0099999999998"/>
    <n v="-0.7209037209037209"/>
    <x v="0"/>
    <n v="-930.32"/>
    <x v="6"/>
  </r>
  <r>
    <s v="FIN-02114"/>
    <d v="2026-06-17T00:00:00"/>
    <x v="1"/>
    <x v="1"/>
    <x v="3"/>
    <x v="1"/>
    <s v="Lahore"/>
    <s v="Powergrid"/>
    <x v="4"/>
    <n v="10000"/>
    <n v="11511.18"/>
    <n v="1511.1800000000003"/>
    <n v="0.15111800000000003"/>
    <x v="1"/>
    <n v="11511.18"/>
    <x v="13"/>
  </r>
  <r>
    <s v="FIN-02115"/>
    <d v="2025-09-16T00:00:00"/>
    <x v="0"/>
    <x v="5"/>
    <x v="5"/>
    <x v="4"/>
    <s v="Karachi"/>
    <s v="Buildcare"/>
    <x v="1"/>
    <n v="9285.7099999999991"/>
    <n v="5042.37"/>
    <n v="-4243.3399999999992"/>
    <n v="-0.45697528783474817"/>
    <x v="0"/>
    <n v="-5042.37"/>
    <x v="8"/>
  </r>
  <r>
    <s v="FIN-02116"/>
    <d v="2025-03-03T00:00:00"/>
    <x v="0"/>
    <x v="0"/>
    <x v="8"/>
    <x v="0"/>
    <s v="Peshawar"/>
    <s v="Adsphere"/>
    <x v="1"/>
    <n v="3000"/>
    <n v="5924.25"/>
    <n v="2924.25"/>
    <n v="0.97475000000000001"/>
    <x v="1"/>
    <n v="-5924.25"/>
    <x v="2"/>
  </r>
  <r>
    <s v="FIN-02117"/>
    <d v="2026-05-26T00:00:00"/>
    <x v="1"/>
    <x v="3"/>
    <x v="2"/>
    <x v="3"/>
    <s v="Islamabad"/>
    <s v="Adsphere"/>
    <x v="3"/>
    <n v="6153.85"/>
    <n v="2787.14"/>
    <n v="-3366.7100000000005"/>
    <n v="-0.54709003306872939"/>
    <x v="0"/>
    <n v="2787.14"/>
    <x v="16"/>
  </r>
  <r>
    <s v="FIN-02118"/>
    <d v="2026-05-14T00:00:00"/>
    <x v="0"/>
    <x v="4"/>
    <x v="0"/>
    <x v="3"/>
    <s v="Karachi"/>
    <s v="Softworks"/>
    <x v="2"/>
    <n v="8000"/>
    <n v="6033.91"/>
    <n v="-1966.0900000000001"/>
    <n v="-0.24576125000000001"/>
    <x v="0"/>
    <n v="-6033.91"/>
    <x v="16"/>
  </r>
  <r>
    <s v="FIN-02119"/>
    <d v="2025-11-22T00:00:00"/>
    <x v="0"/>
    <x v="2"/>
    <x v="10"/>
    <x v="4"/>
    <s v="Multan"/>
    <s v="Urban Facilities"/>
    <x v="2"/>
    <n v="4666.67"/>
    <n v="1482.66"/>
    <n v="-3184.01"/>
    <n v="-0.68228736979473592"/>
    <x v="0"/>
    <n v="-1482.66"/>
    <x v="10"/>
  </r>
  <r>
    <s v="FIN-02120"/>
    <d v="2026-03-21T00:00:00"/>
    <x v="0"/>
    <x v="4"/>
    <x v="11"/>
    <x v="3"/>
    <s v="Faisalabad"/>
    <s v="Urban Facilities"/>
    <x v="1"/>
    <n v="1833.33"/>
    <n v="826.42"/>
    <n v="-1006.91"/>
    <n v="-0.54922463495388174"/>
    <x v="0"/>
    <n v="-826.42"/>
    <x v="14"/>
  </r>
  <r>
    <s v="FIN-02121"/>
    <d v="2025-09-14T00:00:00"/>
    <x v="0"/>
    <x v="1"/>
    <x v="9"/>
    <x v="1"/>
    <s v="Karachi"/>
    <s v="Prime Supplies"/>
    <x v="4"/>
    <n v="6111.11"/>
    <n v="5508.08"/>
    <n v="-603.02999999999975"/>
    <n v="-9.867765430502802E-2"/>
    <x v="0"/>
    <n v="-5508.08"/>
    <x v="8"/>
  </r>
  <r>
    <s v="FIN-02122"/>
    <d v="2025-11-09T00:00:00"/>
    <x v="0"/>
    <x v="1"/>
    <x v="8"/>
    <x v="4"/>
    <s v="Peshawar"/>
    <s v="Techsource"/>
    <x v="1"/>
    <n v="7875"/>
    <n v="7191.7"/>
    <n v="-683.30000000000018"/>
    <n v="-8.6768253968253994E-2"/>
    <x v="0"/>
    <n v="-7191.7"/>
    <x v="10"/>
  </r>
  <r>
    <s v="FIN-02123"/>
    <d v="2026-06-26T00:00:00"/>
    <x v="0"/>
    <x v="1"/>
    <x v="0"/>
    <x v="4"/>
    <s v="Karachi"/>
    <s v="Techsource"/>
    <x v="1"/>
    <n v="3555.56"/>
    <n v="5801.09"/>
    <n v="2245.5300000000002"/>
    <n v="0.63155452305684623"/>
    <x v="1"/>
    <n v="-5801.09"/>
    <x v="13"/>
  </r>
  <r>
    <s v="FIN-02124"/>
    <d v="2025-08-22T00:00:00"/>
    <x v="0"/>
    <x v="5"/>
    <x v="6"/>
    <x v="1"/>
    <s v="Karachi"/>
    <s v="Shipfast"/>
    <x v="4"/>
    <n v="8181.82"/>
    <n v="10557.97"/>
    <n v="2376.1499999999996"/>
    <n v="0.29041826879594024"/>
    <x v="1"/>
    <n v="-10557.97"/>
    <x v="7"/>
  </r>
  <r>
    <s v="FIN-02125"/>
    <d v="2026-01-17T00:00:00"/>
    <x v="0"/>
    <x v="3"/>
    <x v="9"/>
    <x v="1"/>
    <s v="Karachi"/>
    <s v="Peoplefirst"/>
    <x v="3"/>
    <n v="7621.43"/>
    <n v="8527.51"/>
    <n v="906.07999999999993"/>
    <n v="0.11888582588831753"/>
    <x v="1"/>
    <n v="-8527.51"/>
    <x v="12"/>
  </r>
  <r>
    <s v="FIN-02126"/>
    <d v="2025-02-18T00:00:00"/>
    <x v="1"/>
    <x v="1"/>
    <x v="3"/>
    <x v="4"/>
    <s v="Faisalabad"/>
    <s v="Shipfast"/>
    <x v="4"/>
    <n v="13472.22"/>
    <n v="12897.07"/>
    <n v="-575.14999999999964"/>
    <n v="-4.2691553433658276E-2"/>
    <x v="0"/>
    <n v="12897.07"/>
    <x v="1"/>
  </r>
  <r>
    <s v="FIN-02127"/>
    <d v="2025-01-15T00:00:00"/>
    <x v="1"/>
    <x v="3"/>
    <x v="3"/>
    <x v="3"/>
    <s v="Faisalabad"/>
    <s v="Peoplefirst"/>
    <x v="1"/>
    <n v="11022.73"/>
    <n v="24336.71"/>
    <n v="13313.98"/>
    <n v="1.2078659279506982"/>
    <x v="1"/>
    <n v="24336.71"/>
    <x v="0"/>
  </r>
  <r>
    <s v="FIN-02128"/>
    <d v="2026-02-26T00:00:00"/>
    <x v="0"/>
    <x v="2"/>
    <x v="5"/>
    <x v="4"/>
    <s v="Karachi"/>
    <s v="Softworks"/>
    <x v="2"/>
    <n v="6305"/>
    <n v="8398.25"/>
    <n v="2093.25"/>
    <n v="0.33199841395717683"/>
    <x v="1"/>
    <n v="-8398.25"/>
    <x v="17"/>
  </r>
  <r>
    <s v="FIN-02129"/>
    <d v="2026-01-13T00:00:00"/>
    <x v="1"/>
    <x v="3"/>
    <x v="2"/>
    <x v="1"/>
    <s v="Faisalabad"/>
    <s v="Officepro"/>
    <x v="1"/>
    <n v="8622.2199999999993"/>
    <n v="4700.82"/>
    <n v="-3921.3999999999996"/>
    <n v="-0.45480166360867619"/>
    <x v="0"/>
    <n v="4700.82"/>
    <x v="12"/>
  </r>
  <r>
    <s v="FIN-02130"/>
    <d v="2026-05-19T00:00:00"/>
    <x v="0"/>
    <x v="1"/>
    <x v="9"/>
    <x v="4"/>
    <s v="Karachi"/>
    <s v="Shipfast"/>
    <x v="0"/>
    <n v="7857.14"/>
    <n v="8686.85"/>
    <n v="829.71"/>
    <n v="0.10559949294527016"/>
    <x v="1"/>
    <n v="-8686.85"/>
    <x v="16"/>
  </r>
  <r>
    <s v="FIN-02131"/>
    <d v="2025-08-23T00:00:00"/>
    <x v="0"/>
    <x v="3"/>
    <x v="6"/>
    <x v="0"/>
    <s v="Karachi"/>
    <s v="Buildcare"/>
    <x v="2"/>
    <n v="8181.82"/>
    <n v="12804.47"/>
    <n v="4622.6499999999996"/>
    <n v="0.56499043000212668"/>
    <x v="1"/>
    <n v="-12804.47"/>
    <x v="7"/>
  </r>
  <r>
    <s v="FIN-02132"/>
    <d v="2025-02-27T00:00:00"/>
    <x v="1"/>
    <x v="3"/>
    <x v="12"/>
    <x v="2"/>
    <s v="Lahore"/>
    <s v="Travellink"/>
    <x v="1"/>
    <n v="13857.14"/>
    <n v="12634.55"/>
    <n v="-1222.5900000000001"/>
    <n v="-8.8228162521270637E-2"/>
    <x v="0"/>
    <n v="12634.55"/>
    <x v="1"/>
  </r>
  <r>
    <s v="FIN-02133"/>
    <d v="2025-11-01T00:00:00"/>
    <x v="0"/>
    <x v="5"/>
    <x v="1"/>
    <x v="4"/>
    <s v="Faisalabad"/>
    <s v="Dataserve"/>
    <x v="5"/>
    <n v="1890"/>
    <n v="1769.7"/>
    <n v="-120.29999999999995"/>
    <n v="-6.3650793650793625E-2"/>
    <x v="0"/>
    <n v="-1769.7"/>
    <x v="10"/>
  </r>
  <r>
    <s v="FIN-02134"/>
    <d v="2025-05-14T00:00:00"/>
    <x v="1"/>
    <x v="3"/>
    <x v="3"/>
    <x v="4"/>
    <s v="Peshawar"/>
    <s v="Prime Supplies"/>
    <x v="1"/>
    <n v="9615.3799999999992"/>
    <n v="809.12"/>
    <n v="-8806.2599999999984"/>
    <n v="-0.91585147960871016"/>
    <x v="0"/>
    <n v="809.12"/>
    <x v="4"/>
  </r>
  <r>
    <s v="FIN-02135"/>
    <d v="2025-10-08T00:00:00"/>
    <x v="1"/>
    <x v="4"/>
    <x v="3"/>
    <x v="1"/>
    <s v="Faisalabad"/>
    <s v="Techsource"/>
    <x v="1"/>
    <n v="8928.57"/>
    <n v="2086.7199999999998"/>
    <n v="-6841.85"/>
    <n v="-0.76628732260597165"/>
    <x v="0"/>
    <n v="2086.7199999999998"/>
    <x v="9"/>
  </r>
  <r>
    <s v="FIN-02136"/>
    <d v="2025-01-01T00:00:00"/>
    <x v="0"/>
    <x v="1"/>
    <x v="1"/>
    <x v="2"/>
    <s v="Lahore"/>
    <s v="Softworks"/>
    <x v="1"/>
    <n v="1746"/>
    <n v="1610.83"/>
    <n v="-135.17000000000007"/>
    <n v="-7.7416953035509772E-2"/>
    <x v="0"/>
    <n v="-1610.83"/>
    <x v="0"/>
  </r>
  <r>
    <s v="FIN-02137"/>
    <d v="2026-04-07T00:00:00"/>
    <x v="0"/>
    <x v="1"/>
    <x v="6"/>
    <x v="4"/>
    <s v="Multan"/>
    <s v="Legalworks"/>
    <x v="0"/>
    <n v="8571.43"/>
    <n v="13164.63"/>
    <n v="4593.1999999999989"/>
    <n v="0.53587324402112591"/>
    <x v="1"/>
    <n v="-13164.63"/>
    <x v="15"/>
  </r>
  <r>
    <s v="FIN-02138"/>
    <d v="2026-03-12T00:00:00"/>
    <x v="0"/>
    <x v="1"/>
    <x v="0"/>
    <x v="3"/>
    <s v="Multan"/>
    <s v="Powergrid"/>
    <x v="2"/>
    <n v="4000"/>
    <n v="2075.38"/>
    <n v="-1924.62"/>
    <n v="-0.481155"/>
    <x v="0"/>
    <n v="-2075.38"/>
    <x v="14"/>
  </r>
  <r>
    <s v="FIN-02139"/>
    <d v="2026-06-08T00:00:00"/>
    <x v="0"/>
    <x v="3"/>
    <x v="0"/>
    <x v="3"/>
    <s v="Lahore"/>
    <s v="Officepro"/>
    <x v="0"/>
    <n v="3555.56"/>
    <n v="3145.06"/>
    <n v="-410.5"/>
    <n v="-0.11545298068377415"/>
    <x v="0"/>
    <n v="-3145.06"/>
    <x v="13"/>
  </r>
  <r>
    <s v="FIN-02140"/>
    <d v="2025-12-12T00:00:00"/>
    <x v="0"/>
    <x v="1"/>
    <x v="9"/>
    <x v="4"/>
    <s v="Peshawar"/>
    <s v="Techsource"/>
    <x v="0"/>
    <n v="4125"/>
    <n v="3949.54"/>
    <n v="-175.46000000000004"/>
    <n v="-4.2535757575757588E-2"/>
    <x v="0"/>
    <n v="-3949.54"/>
    <x v="11"/>
  </r>
  <r>
    <s v="FIN-02141"/>
    <d v="2026-01-05T00:00:00"/>
    <x v="1"/>
    <x v="1"/>
    <x v="12"/>
    <x v="0"/>
    <s v="Karachi"/>
    <s v="Travellink"/>
    <x v="3"/>
    <n v="6062.5"/>
    <n v="5577.92"/>
    <n v="-484.57999999999993"/>
    <n v="-7.9930721649484518E-2"/>
    <x v="0"/>
    <n v="5577.92"/>
    <x v="12"/>
  </r>
  <r>
    <s v="FIN-02142"/>
    <d v="2025-09-18T00:00:00"/>
    <x v="1"/>
    <x v="3"/>
    <x v="13"/>
    <x v="4"/>
    <s v="Karachi"/>
    <s v="Travellink"/>
    <x v="2"/>
    <n v="3333.33"/>
    <n v="4728.99"/>
    <n v="1395.6599999999999"/>
    <n v="0.41869841869841867"/>
    <x v="1"/>
    <n v="4728.99"/>
    <x v="8"/>
  </r>
  <r>
    <s v="FIN-02143"/>
    <d v="2025-05-27T00:00:00"/>
    <x v="1"/>
    <x v="3"/>
    <x v="12"/>
    <x v="4"/>
    <s v="Lahore"/>
    <s v="Peoplefirst"/>
    <x v="1"/>
    <n v="9090.91"/>
    <n v="15802.74"/>
    <n v="6711.83"/>
    <n v="0.73830122616987737"/>
    <x v="1"/>
    <n v="15802.74"/>
    <x v="4"/>
  </r>
  <r>
    <s v="FIN-02144"/>
    <d v="2026-03-20T00:00:00"/>
    <x v="0"/>
    <x v="2"/>
    <x v="0"/>
    <x v="4"/>
    <s v="Multan"/>
    <s v="Markethub"/>
    <x v="1"/>
    <n v="4000"/>
    <n v="1772.8"/>
    <n v="-2227.1999999999998"/>
    <n v="-0.55679999999999996"/>
    <x v="0"/>
    <n v="-1772.8"/>
    <x v="14"/>
  </r>
  <r>
    <s v="FIN-02145"/>
    <d v="2025-11-22T00:00:00"/>
    <x v="0"/>
    <x v="5"/>
    <x v="10"/>
    <x v="0"/>
    <s v="Peshawar"/>
    <s v="Peoplefirst"/>
    <x v="3"/>
    <n v="4666.67"/>
    <n v="3360.43"/>
    <n v="-1306.2400000000002"/>
    <n v="-0.27990837149402042"/>
    <x v="0"/>
    <n v="-3360.43"/>
    <x v="10"/>
  </r>
  <r>
    <s v="FIN-02146"/>
    <d v="2026-01-07T00:00:00"/>
    <x v="0"/>
    <x v="3"/>
    <x v="1"/>
    <x v="3"/>
    <s v="Karachi"/>
    <s v="Softworks"/>
    <x v="1"/>
    <n v="5820"/>
    <n v="1306.05"/>
    <n v="-4513.95"/>
    <n v="-0.77559278350515459"/>
    <x v="0"/>
    <n v="-1306.05"/>
    <x v="12"/>
  </r>
  <r>
    <s v="FIN-02147"/>
    <d v="2025-02-28T00:00:00"/>
    <x v="1"/>
    <x v="5"/>
    <x v="12"/>
    <x v="4"/>
    <s v="Karachi"/>
    <s v="Markethub"/>
    <x v="4"/>
    <n v="13857.14"/>
    <n v="6683.52"/>
    <n v="-7173.619999999999"/>
    <n v="-0.51768402426474724"/>
    <x v="0"/>
    <n v="6683.52"/>
    <x v="1"/>
  </r>
  <r>
    <s v="FIN-02148"/>
    <d v="2025-10-14T00:00:00"/>
    <x v="0"/>
    <x v="3"/>
    <x v="0"/>
    <x v="2"/>
    <s v="Faisalabad"/>
    <s v="Peoplefirst"/>
    <x v="1"/>
    <n v="2666.67"/>
    <n v="5126.88"/>
    <n v="2460.21"/>
    <n v="0.92257759677800399"/>
    <x v="1"/>
    <n v="-5126.88"/>
    <x v="9"/>
  </r>
  <r>
    <s v="FIN-02149"/>
    <d v="2025-11-14T00:00:00"/>
    <x v="0"/>
    <x v="1"/>
    <x v="9"/>
    <x v="4"/>
    <s v="Islamabad"/>
    <s v="Shipfast"/>
    <x v="4"/>
    <n v="11550"/>
    <n v="1230.23"/>
    <n v="-10319.77"/>
    <n v="-0.89348658008658011"/>
    <x v="0"/>
    <n v="-1230.23"/>
    <x v="10"/>
  </r>
  <r>
    <s v="FIN-02150"/>
    <d v="2026-06-29T00:00:00"/>
    <x v="1"/>
    <x v="0"/>
    <x v="3"/>
    <x v="4"/>
    <s v="Karachi"/>
    <s v="Cloudnet"/>
    <x v="2"/>
    <n v="10000"/>
    <n v="14410.16"/>
    <n v="4410.16"/>
    <n v="0.44101599999999996"/>
    <x v="1"/>
    <n v="14410.16"/>
    <x v="13"/>
  </r>
  <r>
    <s v="FIN-02151"/>
    <d v="2025-01-26T00:00:00"/>
    <x v="1"/>
    <x v="3"/>
    <x v="12"/>
    <x v="0"/>
    <s v="Multan"/>
    <s v="Prime Supplies"/>
    <x v="1"/>
    <n v="9700"/>
    <n v="4190.46"/>
    <n v="-5509.54"/>
    <n v="-0.56799381443298969"/>
    <x v="0"/>
    <n v="4190.46"/>
    <x v="0"/>
  </r>
  <r>
    <s v="FIN-02152"/>
    <d v="2025-06-26T00:00:00"/>
    <x v="0"/>
    <x v="1"/>
    <x v="8"/>
    <x v="0"/>
    <s v="Karachi"/>
    <s v="Prime Supplies"/>
    <x v="4"/>
    <n v="5000"/>
    <n v="4304.25"/>
    <n v="-695.75"/>
    <n v="-0.13915"/>
    <x v="0"/>
    <n v="-4304.25"/>
    <x v="5"/>
  </r>
  <r>
    <s v="FIN-02153"/>
    <d v="2026-01-05T00:00:00"/>
    <x v="0"/>
    <x v="5"/>
    <x v="6"/>
    <x v="2"/>
    <s v="Karachi"/>
    <s v="Powergrid"/>
    <x v="1"/>
    <n v="6715.38"/>
    <n v="14103.82"/>
    <n v="7388.44"/>
    <n v="1.1002266439129282"/>
    <x v="1"/>
    <n v="-14103.82"/>
    <x v="12"/>
  </r>
  <r>
    <s v="FIN-02154"/>
    <d v="2025-02-02T00:00:00"/>
    <x v="1"/>
    <x v="4"/>
    <x v="3"/>
    <x v="1"/>
    <s v="Karachi"/>
    <s v="Markethub"/>
    <x v="2"/>
    <n v="13472.22"/>
    <n v="23542.7"/>
    <n v="10070.480000000001"/>
    <n v="0.74749966969066728"/>
    <x v="1"/>
    <n v="23542.7"/>
    <x v="1"/>
  </r>
  <r>
    <s v="FIN-02155"/>
    <d v="2025-05-20T00:00:00"/>
    <x v="0"/>
    <x v="4"/>
    <x v="7"/>
    <x v="3"/>
    <s v="Karachi"/>
    <s v="Dataserve"/>
    <x v="1"/>
    <n v="3888.89"/>
    <n v="3586.38"/>
    <n v="-302.50999999999976"/>
    <n v="-7.7788263489067519E-2"/>
    <x v="0"/>
    <n v="-3586.38"/>
    <x v="4"/>
  </r>
  <r>
    <s v="FIN-02156"/>
    <d v="2025-04-24T00:00:00"/>
    <x v="0"/>
    <x v="0"/>
    <x v="6"/>
    <x v="2"/>
    <s v="Karachi"/>
    <s v="Cloudnet"/>
    <x v="1"/>
    <n v="13846.15"/>
    <n v="14898.36"/>
    <n v="1052.2100000000009"/>
    <n v="7.5992965553601619E-2"/>
    <x v="1"/>
    <n v="-14898.36"/>
    <x v="3"/>
  </r>
  <r>
    <s v="FIN-02157"/>
    <d v="2025-04-11T00:00:00"/>
    <x v="0"/>
    <x v="1"/>
    <x v="11"/>
    <x v="4"/>
    <s v="Islamabad"/>
    <s v="Travellink"/>
    <x v="4"/>
    <n v="2750"/>
    <n v="3978.82"/>
    <n v="1228.8200000000002"/>
    <n v="0.44684363636363644"/>
    <x v="1"/>
    <n v="-3978.82"/>
    <x v="3"/>
  </r>
  <r>
    <s v="FIN-02158"/>
    <d v="2025-02-02T00:00:00"/>
    <x v="1"/>
    <x v="2"/>
    <x v="3"/>
    <x v="2"/>
    <s v="Karachi"/>
    <s v="Legalworks"/>
    <x v="3"/>
    <n v="13472.22"/>
    <n v="15671.75"/>
    <n v="2199.5300000000007"/>
    <n v="0.16326410940438923"/>
    <x v="1"/>
    <n v="15671.75"/>
    <x v="1"/>
  </r>
  <r>
    <s v="FIN-02159"/>
    <d v="2025-08-10T00:00:00"/>
    <x v="0"/>
    <x v="2"/>
    <x v="6"/>
    <x v="1"/>
    <s v="Karachi"/>
    <s v="Softworks"/>
    <x v="4"/>
    <n v="8181.82"/>
    <n v="14191.56"/>
    <n v="6009.74"/>
    <n v="0.7345236145503079"/>
    <x v="1"/>
    <n v="-14191.56"/>
    <x v="7"/>
  </r>
  <r>
    <s v="FIN-02160"/>
    <d v="2025-09-19T00:00:00"/>
    <x v="0"/>
    <x v="6"/>
    <x v="6"/>
    <x v="2"/>
    <s v="Karachi"/>
    <s v="Buildcare"/>
    <x v="1"/>
    <n v="7500"/>
    <n v="17086.990000000002"/>
    <n v="9586.9900000000016"/>
    <n v="1.2782653333333336"/>
    <x v="1"/>
    <n v="-17086.990000000002"/>
    <x v="8"/>
  </r>
  <r>
    <s v="FIN-02161"/>
    <d v="2025-04-01T00:00:00"/>
    <x v="0"/>
    <x v="3"/>
    <x v="10"/>
    <x v="4"/>
    <s v="Lahore"/>
    <s v="Techsource"/>
    <x v="3"/>
    <n v="5714.29"/>
    <n v="5418.98"/>
    <n v="-295.3100000000004"/>
    <n v="-5.167921124059164E-2"/>
    <x v="0"/>
    <n v="-5418.98"/>
    <x v="3"/>
  </r>
  <r>
    <s v="FIN-02162"/>
    <d v="2025-04-21T00:00:00"/>
    <x v="0"/>
    <x v="4"/>
    <x v="11"/>
    <x v="4"/>
    <s v="Karachi"/>
    <s v="Travellink"/>
    <x v="2"/>
    <n v="2750"/>
    <n v="3978.18"/>
    <n v="1228.1799999999998"/>
    <n v="0.44661090909090906"/>
    <x v="1"/>
    <n v="-3978.18"/>
    <x v="3"/>
  </r>
  <r>
    <s v="FIN-02163"/>
    <d v="2025-01-11T00:00:00"/>
    <x v="0"/>
    <x v="3"/>
    <x v="9"/>
    <x v="2"/>
    <s v="Lahore"/>
    <s v="Buildcare"/>
    <x v="4"/>
    <n v="3810.71"/>
    <n v="2601.7399999999998"/>
    <n v="-1208.9700000000003"/>
    <n v="-0.3172558394629873"/>
    <x v="0"/>
    <n v="-2601.7399999999998"/>
    <x v="0"/>
  </r>
  <r>
    <s v="FIN-02164"/>
    <d v="2025-02-18T00:00:00"/>
    <x v="0"/>
    <x v="1"/>
    <x v="9"/>
    <x v="0"/>
    <s v="Islamabad"/>
    <s v="Prime Supplies"/>
    <x v="1"/>
    <n v="7621.43"/>
    <n v="7824.93"/>
    <n v="203.5"/>
    <n v="2.6701025922956714E-2"/>
    <x v="1"/>
    <n v="-7824.93"/>
    <x v="1"/>
  </r>
  <r>
    <s v="FIN-02165"/>
    <d v="2026-02-06T00:00:00"/>
    <x v="0"/>
    <x v="1"/>
    <x v="7"/>
    <x v="4"/>
    <s v="Karachi"/>
    <s v="Adsphere"/>
    <x v="2"/>
    <n v="5658.33"/>
    <n v="3630.68"/>
    <n v="-2027.65"/>
    <n v="-0.35834778105907578"/>
    <x v="0"/>
    <n v="-3630.68"/>
    <x v="17"/>
  </r>
  <r>
    <s v="FIN-02166"/>
    <d v="2026-06-12T00:00:00"/>
    <x v="0"/>
    <x v="4"/>
    <x v="10"/>
    <x v="3"/>
    <s v="Multan"/>
    <s v="Techsource"/>
    <x v="4"/>
    <n v="3076.92"/>
    <n v="1741.16"/>
    <n v="-1335.76"/>
    <n v="-0.43412243412243412"/>
    <x v="0"/>
    <n v="-1741.16"/>
    <x v="13"/>
  </r>
  <r>
    <s v="FIN-02167"/>
    <d v="2026-03-20T00:00:00"/>
    <x v="1"/>
    <x v="3"/>
    <x v="3"/>
    <x v="1"/>
    <s v="Karachi"/>
    <s v="Techsource"/>
    <x v="2"/>
    <n v="11363.64"/>
    <n v="5804.09"/>
    <n v="-5559.5499999999993"/>
    <n v="-0.48924024344312206"/>
    <x v="0"/>
    <n v="5804.09"/>
    <x v="14"/>
  </r>
  <r>
    <s v="FIN-02168"/>
    <d v="2025-04-09T00:00:00"/>
    <x v="0"/>
    <x v="4"/>
    <x v="11"/>
    <x v="2"/>
    <s v="Karachi"/>
    <s v="Prime Supplies"/>
    <x v="3"/>
    <n v="2750"/>
    <n v="2359.61"/>
    <n v="-390.38999999999987"/>
    <n v="-0.14195999999999995"/>
    <x v="0"/>
    <n v="-2359.61"/>
    <x v="3"/>
  </r>
  <r>
    <s v="FIN-02169"/>
    <d v="2025-02-24T00:00:00"/>
    <x v="1"/>
    <x v="3"/>
    <x v="12"/>
    <x v="4"/>
    <s v="Karachi"/>
    <s v="Techsource"/>
    <x v="3"/>
    <n v="13857.14"/>
    <n v="3048.71"/>
    <n v="-10808.43"/>
    <n v="-0.77998995463710408"/>
    <x v="0"/>
    <n v="3048.71"/>
    <x v="1"/>
  </r>
  <r>
    <s v="FIN-02170"/>
    <d v="2025-07-30T00:00:00"/>
    <x v="1"/>
    <x v="1"/>
    <x v="12"/>
    <x v="3"/>
    <s v="Islamabad"/>
    <s v="Shipfast"/>
    <x v="2"/>
    <n v="7142.86"/>
    <n v="10735.17"/>
    <n v="3592.3100000000004"/>
    <n v="0.50292319883072056"/>
    <x v="1"/>
    <n v="10735.17"/>
    <x v="6"/>
  </r>
  <r>
    <s v="FIN-02171"/>
    <d v="2025-10-03T00:00:00"/>
    <x v="1"/>
    <x v="3"/>
    <x v="3"/>
    <x v="4"/>
    <s v="Multan"/>
    <s v="Urban Facilities"/>
    <x v="1"/>
    <n v="8928.57"/>
    <n v="19399.900000000001"/>
    <n v="10471.330000000002"/>
    <n v="1.172789147646264"/>
    <x v="1"/>
    <n v="19399.900000000001"/>
    <x v="9"/>
  </r>
  <r>
    <s v="FIN-02172"/>
    <d v="2026-05-21T00:00:00"/>
    <x v="1"/>
    <x v="3"/>
    <x v="3"/>
    <x v="3"/>
    <s v="Lahore"/>
    <s v="Peoplefirst"/>
    <x v="0"/>
    <n v="10869.57"/>
    <n v="18822.77"/>
    <n v="7953.2000000000007"/>
    <n v="0.73169407805460573"/>
    <x v="1"/>
    <n v="18822.77"/>
    <x v="16"/>
  </r>
  <r>
    <s v="FIN-02173"/>
    <d v="2026-03-27T00:00:00"/>
    <x v="0"/>
    <x v="5"/>
    <x v="5"/>
    <x v="3"/>
    <s v="Peshawar"/>
    <s v="Prime Supplies"/>
    <x v="2"/>
    <n v="6500"/>
    <n v="11052.05"/>
    <n v="4552.0499999999993"/>
    <n v="0.70031538461538445"/>
    <x v="1"/>
    <n v="-11052.05"/>
    <x v="14"/>
  </r>
  <r>
    <s v="FIN-02174"/>
    <d v="2026-04-01T00:00:00"/>
    <x v="1"/>
    <x v="2"/>
    <x v="2"/>
    <x v="0"/>
    <s v="Lahore"/>
    <s v="Adsphere"/>
    <x v="4"/>
    <n v="20000"/>
    <n v="4856.5"/>
    <n v="-15143.5"/>
    <n v="-0.75717500000000004"/>
    <x v="0"/>
    <n v="4856.5"/>
    <x v="15"/>
  </r>
  <r>
    <s v="FIN-02175"/>
    <d v="2025-12-16T00:00:00"/>
    <x v="1"/>
    <x v="1"/>
    <x v="12"/>
    <x v="1"/>
    <s v="Faisalabad"/>
    <s v="Shipfast"/>
    <x v="1"/>
    <n v="9545.4500000000007"/>
    <n v="575.78"/>
    <n v="-8969.67"/>
    <n v="-0.93968016175245794"/>
    <x v="0"/>
    <n v="575.78"/>
    <x v="11"/>
  </r>
  <r>
    <s v="FIN-02176"/>
    <d v="2025-04-27T00:00:00"/>
    <x v="0"/>
    <x v="2"/>
    <x v="4"/>
    <x v="3"/>
    <s v="Karachi"/>
    <s v="Dataserve"/>
    <x v="4"/>
    <n v="9333.33"/>
    <n v="1065.3"/>
    <n v="-8268.0300000000007"/>
    <n v="-0.8858606735216692"/>
    <x v="0"/>
    <n v="-1065.3"/>
    <x v="3"/>
  </r>
  <r>
    <s v="FIN-02177"/>
    <d v="2025-12-22T00:00:00"/>
    <x v="0"/>
    <x v="1"/>
    <x v="5"/>
    <x v="4"/>
    <s v="Islamabad"/>
    <s v="Prime Supplies"/>
    <x v="4"/>
    <n v="5250"/>
    <n v="2555.04"/>
    <n v="-2694.96"/>
    <n v="-0.51332571428571427"/>
    <x v="0"/>
    <n v="-2555.04"/>
    <x v="11"/>
  </r>
  <r>
    <s v="FIN-02178"/>
    <d v="2025-01-31T00:00:00"/>
    <x v="0"/>
    <x v="6"/>
    <x v="6"/>
    <x v="3"/>
    <s v="Karachi"/>
    <s v="Officepro"/>
    <x v="1"/>
    <n v="7591.3"/>
    <n v="10474.39"/>
    <n v="2883.0899999999992"/>
    <n v="0.37978870549181287"/>
    <x v="1"/>
    <n v="-10474.39"/>
    <x v="0"/>
  </r>
  <r>
    <s v="FIN-02179"/>
    <d v="2025-08-11T00:00:00"/>
    <x v="0"/>
    <x v="3"/>
    <x v="4"/>
    <x v="2"/>
    <s v="Karachi"/>
    <s v="Prime Supplies"/>
    <x v="1"/>
    <n v="4666.67"/>
    <n v="2066.58"/>
    <n v="-2600.09"/>
    <n v="-0.55716174488446801"/>
    <x v="0"/>
    <n v="-2066.58"/>
    <x v="7"/>
  </r>
  <r>
    <s v="FIN-02180"/>
    <d v="2026-04-16T00:00:00"/>
    <x v="1"/>
    <x v="0"/>
    <x v="3"/>
    <x v="2"/>
    <s v="Karachi"/>
    <s v="Adsphere"/>
    <x v="2"/>
    <n v="8333.33"/>
    <n v="12584.74"/>
    <n v="4251.41"/>
    <n v="0.51016940406776157"/>
    <x v="1"/>
    <n v="12584.74"/>
    <x v="15"/>
  </r>
  <r>
    <s v="FIN-02181"/>
    <d v="2026-06-19T00:00:00"/>
    <x v="1"/>
    <x v="5"/>
    <x v="12"/>
    <x v="2"/>
    <s v="Karachi"/>
    <s v="Techsource"/>
    <x v="1"/>
    <n v="4761.8999999999996"/>
    <n v="14520.24"/>
    <n v="9758.34"/>
    <n v="2.0492534492534493"/>
    <x v="1"/>
    <n v="14520.24"/>
    <x v="13"/>
  </r>
  <r>
    <s v="FIN-02182"/>
    <d v="2025-06-19T00:00:00"/>
    <x v="1"/>
    <x v="3"/>
    <x v="3"/>
    <x v="4"/>
    <s v="Karachi"/>
    <s v="Shipfast"/>
    <x v="2"/>
    <n v="9615.3799999999992"/>
    <n v="23728.57"/>
    <n v="14113.19"/>
    <n v="1.4677724645307832"/>
    <x v="1"/>
    <n v="23728.57"/>
    <x v="5"/>
  </r>
  <r>
    <s v="FIN-02183"/>
    <d v="2026-03-27T00:00:00"/>
    <x v="0"/>
    <x v="4"/>
    <x v="5"/>
    <x v="4"/>
    <s v="Peshawar"/>
    <s v="Softworks"/>
    <x v="1"/>
    <n v="6500"/>
    <n v="10182.15"/>
    <n v="3682.1499999999996"/>
    <n v="0.56648461538461536"/>
    <x v="1"/>
    <n v="-10182.15"/>
    <x v="14"/>
  </r>
  <r>
    <s v="FIN-02184"/>
    <d v="2026-03-12T00:00:00"/>
    <x v="0"/>
    <x v="2"/>
    <x v="6"/>
    <x v="4"/>
    <s v="Peshawar"/>
    <s v="Peoplefirst"/>
    <x v="1"/>
    <n v="7200"/>
    <n v="14238.24"/>
    <n v="7038.24"/>
    <n v="0.97753333333333325"/>
    <x v="1"/>
    <n v="-14238.24"/>
    <x v="14"/>
  </r>
  <r>
    <s v="FIN-02185"/>
    <d v="2025-03-30T00:00:00"/>
    <x v="0"/>
    <x v="0"/>
    <x v="4"/>
    <x v="3"/>
    <s v="Lahore"/>
    <s v="Peoplefirst"/>
    <x v="3"/>
    <n v="4666.67"/>
    <n v="2623.03"/>
    <n v="-2043.6399999999999"/>
    <n v="-0.43792254434103972"/>
    <x v="0"/>
    <n v="-2623.03"/>
    <x v="2"/>
  </r>
  <r>
    <s v="FIN-02186"/>
    <d v="2025-11-02T00:00:00"/>
    <x v="1"/>
    <x v="2"/>
    <x v="3"/>
    <x v="4"/>
    <s v="Lahore"/>
    <s v="Buildcare"/>
    <x v="1"/>
    <n v="13125"/>
    <n v="23208.48"/>
    <n v="10083.48"/>
    <n v="0.76826514285714287"/>
    <x v="1"/>
    <n v="23208.48"/>
    <x v="10"/>
  </r>
  <r>
    <s v="FIN-02187"/>
    <d v="2026-05-15T00:00:00"/>
    <x v="0"/>
    <x v="0"/>
    <x v="5"/>
    <x v="4"/>
    <s v="Lahore"/>
    <s v="Shipfast"/>
    <x v="1"/>
    <n v="6500"/>
    <n v="0"/>
    <n v="-6500"/>
    <n v="-1"/>
    <x v="0"/>
    <n v="0"/>
    <x v="16"/>
  </r>
  <r>
    <s v="FIN-02188"/>
    <d v="2025-05-30T00:00:00"/>
    <x v="0"/>
    <x v="2"/>
    <x v="6"/>
    <x v="0"/>
    <s v="Karachi"/>
    <s v="Prime Supplies"/>
    <x v="3"/>
    <n v="7200"/>
    <n v="8629.7900000000009"/>
    <n v="1429.7900000000009"/>
    <n v="0.19858194444444457"/>
    <x v="1"/>
    <n v="-8629.7900000000009"/>
    <x v="4"/>
  </r>
  <r>
    <s v="FIN-02189"/>
    <d v="2025-12-04T00:00:00"/>
    <x v="0"/>
    <x v="2"/>
    <x v="11"/>
    <x v="4"/>
    <s v="Faisalabad"/>
    <s v="Travellink"/>
    <x v="1"/>
    <n v="3300"/>
    <n v="3186.08"/>
    <n v="-113.92000000000007"/>
    <n v="-3.452121212121214E-2"/>
    <x v="0"/>
    <n v="-3186.08"/>
    <x v="11"/>
  </r>
  <r>
    <s v="FIN-02190"/>
    <d v="2025-08-18T00:00:00"/>
    <x v="1"/>
    <x v="3"/>
    <x v="12"/>
    <x v="4"/>
    <s v="Karachi"/>
    <s v="Shipfast"/>
    <x v="2"/>
    <n v="7142.86"/>
    <n v="10456.86"/>
    <n v="3314.0000000000009"/>
    <n v="0.46395981441607437"/>
    <x v="1"/>
    <n v="10456.86"/>
    <x v="7"/>
  </r>
  <r>
    <s v="FIN-02191"/>
    <d v="2026-04-23T00:00:00"/>
    <x v="0"/>
    <x v="5"/>
    <x v="11"/>
    <x v="2"/>
    <s v="Peshawar"/>
    <s v="Buildcare"/>
    <x v="2"/>
    <n v="2750"/>
    <n v="3494.89"/>
    <n v="744.88999999999987"/>
    <n v="0.27086909090909084"/>
    <x v="1"/>
    <n v="-3494.89"/>
    <x v="15"/>
  </r>
  <r>
    <s v="FIN-02192"/>
    <d v="2025-05-25T00:00:00"/>
    <x v="0"/>
    <x v="1"/>
    <x v="5"/>
    <x v="4"/>
    <s v="Karachi"/>
    <s v="Buildcare"/>
    <x v="0"/>
    <n v="4642.8599999999997"/>
    <n v="4265.68"/>
    <n v="-377.17999999999938"/>
    <n v="-8.1238719237711116E-2"/>
    <x v="0"/>
    <n v="-4265.68"/>
    <x v="4"/>
  </r>
  <r>
    <s v="FIN-02193"/>
    <d v="2025-06-06T00:00:00"/>
    <x v="1"/>
    <x v="6"/>
    <x v="12"/>
    <x v="4"/>
    <s v="Karachi"/>
    <s v="Markethub"/>
    <x v="4"/>
    <n v="6250"/>
    <n v="17073"/>
    <n v="10823"/>
    <n v="1.7316800000000001"/>
    <x v="1"/>
    <n v="17073"/>
    <x v="5"/>
  </r>
  <r>
    <s v="FIN-02194"/>
    <d v="2025-04-29T00:00:00"/>
    <x v="1"/>
    <x v="6"/>
    <x v="3"/>
    <x v="4"/>
    <s v="Karachi"/>
    <s v="Peoplefirst"/>
    <x v="1"/>
    <n v="11363.64"/>
    <n v="13734.52"/>
    <n v="2370.880000000001"/>
    <n v="0.20863737323604067"/>
    <x v="1"/>
    <n v="13734.52"/>
    <x v="3"/>
  </r>
  <r>
    <s v="FIN-02195"/>
    <d v="2026-05-06T00:00:00"/>
    <x v="0"/>
    <x v="3"/>
    <x v="6"/>
    <x v="0"/>
    <s v="Karachi"/>
    <s v="Travellink"/>
    <x v="3"/>
    <n v="16363.64"/>
    <n v="15963.55"/>
    <n v="-400.09000000000015"/>
    <n v="-2.4449939011124674E-2"/>
    <x v="0"/>
    <n v="-15963.55"/>
    <x v="16"/>
  </r>
  <r>
    <s v="FIN-02196"/>
    <d v="2026-01-19T00:00:00"/>
    <x v="0"/>
    <x v="6"/>
    <x v="0"/>
    <x v="2"/>
    <s v="Karachi"/>
    <s v="Officepro"/>
    <x v="4"/>
    <n v="3104"/>
    <n v="4350.1099999999997"/>
    <n v="1246.1099999999997"/>
    <n v="0.40145296391752566"/>
    <x v="1"/>
    <n v="-4350.1099999999997"/>
    <x v="12"/>
  </r>
  <r>
    <s v="FIN-02197"/>
    <d v="2026-02-11T00:00:00"/>
    <x v="0"/>
    <x v="4"/>
    <x v="4"/>
    <x v="1"/>
    <s v="Lahore"/>
    <s v="Adsphere"/>
    <x v="4"/>
    <n v="3880"/>
    <n v="2092.0300000000002"/>
    <n v="-1787.9699999999998"/>
    <n v="-0.4608170103092783"/>
    <x v="0"/>
    <n v="-2092.0300000000002"/>
    <x v="17"/>
  </r>
  <r>
    <s v="FIN-02198"/>
    <d v="2026-03-24T00:00:00"/>
    <x v="1"/>
    <x v="3"/>
    <x v="12"/>
    <x v="0"/>
    <s v="Karachi"/>
    <s v="Dataserve"/>
    <x v="4"/>
    <n v="10000"/>
    <n v="3887.41"/>
    <n v="-6112.59"/>
    <n v="-0.611259"/>
    <x v="0"/>
    <n v="3887.41"/>
    <x v="14"/>
  </r>
  <r>
    <s v="FIN-02199"/>
    <d v="2025-08-25T00:00:00"/>
    <x v="0"/>
    <x v="4"/>
    <x v="0"/>
    <x v="4"/>
    <s v="Islamabad"/>
    <s v="Adsphere"/>
    <x v="4"/>
    <n v="2285.71"/>
    <n v="4025.41"/>
    <n v="1739.6999999999998"/>
    <n v="0.76112017710033197"/>
    <x v="1"/>
    <n v="-4025.41"/>
    <x v="7"/>
  </r>
  <r>
    <s v="FIN-02200"/>
    <d v="2025-02-11T00:00:00"/>
    <x v="0"/>
    <x v="2"/>
    <x v="10"/>
    <x v="0"/>
    <s v="Karachi"/>
    <s v="Officepro"/>
    <x v="4"/>
    <n v="5542.86"/>
    <n v="447.21"/>
    <n v="-5095.6499999999996"/>
    <n v="-0.91931782509390458"/>
    <x v="0"/>
    <n v="-447.21"/>
    <x v="1"/>
  </r>
  <r>
    <s v="FIN-02201"/>
    <d v="2026-06-24T00:00:00"/>
    <x v="1"/>
    <x v="3"/>
    <x v="3"/>
    <x v="3"/>
    <s v="Multan"/>
    <s v="Shipfast"/>
    <x v="1"/>
    <n v="10000"/>
    <n v="2120.9"/>
    <n v="-7879.1"/>
    <n v="-0.78791"/>
    <x v="0"/>
    <n v="2120.9"/>
    <x v="13"/>
  </r>
  <r>
    <s v="FIN-02202"/>
    <d v="2025-03-12T00:00:00"/>
    <x v="0"/>
    <x v="6"/>
    <x v="6"/>
    <x v="3"/>
    <s v="Karachi"/>
    <s v="Markethub"/>
    <x v="3"/>
    <n v="6000"/>
    <n v="5134.54"/>
    <n v="-865.46"/>
    <n v="-0.14424333333333333"/>
    <x v="0"/>
    <n v="-5134.54"/>
    <x v="2"/>
  </r>
  <r>
    <s v="FIN-02203"/>
    <d v="2025-01-30T00:00:00"/>
    <x v="1"/>
    <x v="3"/>
    <x v="13"/>
    <x v="4"/>
    <s v="Faisalabad"/>
    <s v="Prime Supplies"/>
    <x v="3"/>
    <n v="9700"/>
    <n v="446.4"/>
    <n v="-9253.6"/>
    <n v="-0.95397938144329897"/>
    <x v="0"/>
    <n v="446.4"/>
    <x v="0"/>
  </r>
  <r>
    <s v="FIN-02204"/>
    <d v="2025-02-23T00:00:00"/>
    <x v="0"/>
    <x v="1"/>
    <x v="1"/>
    <x v="1"/>
    <s v="Lahore"/>
    <s v="Urban Facilities"/>
    <x v="2"/>
    <n v="1940"/>
    <n v="1726.72"/>
    <n v="-213.27999999999997"/>
    <n v="-0.10993814432989689"/>
    <x v="0"/>
    <n v="-1726.72"/>
    <x v="1"/>
  </r>
  <r>
    <s v="FIN-02205"/>
    <d v="2025-10-13T00:00:00"/>
    <x v="0"/>
    <x v="0"/>
    <x v="10"/>
    <x v="4"/>
    <s v="Peshawar"/>
    <s v="Adsphere"/>
    <x v="2"/>
    <n v="3333.33"/>
    <n v="1295.95"/>
    <n v="-2037.3799999999999"/>
    <n v="-0.61121461121461118"/>
    <x v="0"/>
    <n v="-1295.95"/>
    <x v="9"/>
  </r>
  <r>
    <s v="FIN-02206"/>
    <d v="2026-01-05T00:00:00"/>
    <x v="0"/>
    <x v="1"/>
    <x v="7"/>
    <x v="4"/>
    <s v="Lahore"/>
    <s v="Softworks"/>
    <x v="4"/>
    <n v="3395"/>
    <n v="897.82"/>
    <n v="-2497.1799999999998"/>
    <n v="-0.7355463917525773"/>
    <x v="0"/>
    <n v="-897.82"/>
    <x v="12"/>
  </r>
  <r>
    <s v="FIN-02207"/>
    <d v="2025-01-07T00:00:00"/>
    <x v="0"/>
    <x v="0"/>
    <x v="6"/>
    <x v="1"/>
    <s v="Karachi"/>
    <s v="Buildcare"/>
    <x v="0"/>
    <n v="7591.3"/>
    <n v="2317.54"/>
    <n v="-5273.76"/>
    <n v="-0.69471105080816198"/>
    <x v="0"/>
    <n v="-2317.54"/>
    <x v="0"/>
  </r>
  <r>
    <s v="FIN-02208"/>
    <d v="2026-03-29T00:00:00"/>
    <x v="0"/>
    <x v="3"/>
    <x v="9"/>
    <x v="4"/>
    <s v="Karachi"/>
    <s v="Shipfast"/>
    <x v="0"/>
    <n v="5000"/>
    <n v="3374.41"/>
    <n v="-1625.5900000000001"/>
    <n v="-0.32511800000000002"/>
    <x v="0"/>
    <n v="-3374.41"/>
    <x v="14"/>
  </r>
  <r>
    <s v="FIN-02209"/>
    <d v="2025-06-20T00:00:00"/>
    <x v="1"/>
    <x v="3"/>
    <x v="3"/>
    <x v="3"/>
    <s v="Lahore"/>
    <s v="Cloudnet"/>
    <x v="4"/>
    <n v="9615.3799999999992"/>
    <n v="13037.33"/>
    <n v="3421.9500000000007"/>
    <n v="0.35588297082382608"/>
    <x v="1"/>
    <n v="13037.33"/>
    <x v="5"/>
  </r>
  <r>
    <s v="FIN-02210"/>
    <d v="2025-09-02T00:00:00"/>
    <x v="1"/>
    <x v="3"/>
    <x v="12"/>
    <x v="3"/>
    <s v="Islamabad"/>
    <s v="Travellink"/>
    <x v="4"/>
    <n v="7142.86"/>
    <n v="15367.67"/>
    <n v="8224.8100000000013"/>
    <n v="1.1514729394108245"/>
    <x v="1"/>
    <n v="15367.67"/>
    <x v="8"/>
  </r>
  <r>
    <s v="FIN-02211"/>
    <d v="2025-04-10T00:00:00"/>
    <x v="0"/>
    <x v="1"/>
    <x v="1"/>
    <x v="2"/>
    <s v="Karachi"/>
    <s v="Prime Supplies"/>
    <x v="1"/>
    <n v="2250"/>
    <n v="1108.5899999999999"/>
    <n v="-1141.4100000000001"/>
    <n v="-0.50729333333333337"/>
    <x v="0"/>
    <n v="-1108.5899999999999"/>
    <x v="3"/>
  </r>
  <r>
    <s v="FIN-02212"/>
    <d v="2025-09-15T00:00:00"/>
    <x v="1"/>
    <x v="3"/>
    <x v="3"/>
    <x v="3"/>
    <s v="Lahore"/>
    <s v="Dataserve"/>
    <x v="2"/>
    <n v="11904.76"/>
    <n v="24468.7"/>
    <n v="12563.94"/>
    <n v="1.0553711288593806"/>
    <x v="1"/>
    <n v="24468.7"/>
    <x v="8"/>
  </r>
  <r>
    <s v="FIN-02213"/>
    <d v="2025-02-12T00:00:00"/>
    <x v="0"/>
    <x v="5"/>
    <x v="5"/>
    <x v="0"/>
    <s v="Karachi"/>
    <s v="Travellink"/>
    <x v="1"/>
    <n v="10508.33"/>
    <n v="9859"/>
    <n v="-649.32999999999993"/>
    <n v="-6.1791930782531569E-2"/>
    <x v="0"/>
    <n v="-9859"/>
    <x v="1"/>
  </r>
  <r>
    <s v="FIN-02214"/>
    <d v="2025-02-02T00:00:00"/>
    <x v="0"/>
    <x v="2"/>
    <x v="7"/>
    <x v="1"/>
    <s v="Peshawar"/>
    <s v="Dataserve"/>
    <x v="4"/>
    <n v="11316.67"/>
    <n v="4224.76"/>
    <n v="-7091.91"/>
    <n v="-0.62667816592690251"/>
    <x v="0"/>
    <n v="-4224.76"/>
    <x v="1"/>
  </r>
  <r>
    <s v="FIN-02215"/>
    <d v="2025-05-04T00:00:00"/>
    <x v="0"/>
    <x v="0"/>
    <x v="11"/>
    <x v="3"/>
    <s v="Karachi"/>
    <s v="Urban Facilities"/>
    <x v="4"/>
    <n v="5500"/>
    <n v="2061.13"/>
    <n v="-3438.87"/>
    <n v="-0.62524909090909087"/>
    <x v="0"/>
    <n v="-2061.13"/>
    <x v="4"/>
  </r>
  <r>
    <s v="FIN-02216"/>
    <d v="2026-01-09T00:00:00"/>
    <x v="1"/>
    <x v="3"/>
    <x v="12"/>
    <x v="3"/>
    <s v="Karachi"/>
    <s v="Markethub"/>
    <x v="2"/>
    <n v="6062.5"/>
    <n v="5257.13"/>
    <n v="-805.36999999999989"/>
    <n v="-0.13284453608247421"/>
    <x v="0"/>
    <n v="5257.13"/>
    <x v="12"/>
  </r>
  <r>
    <s v="FIN-02217"/>
    <d v="2025-12-11T00:00:00"/>
    <x v="0"/>
    <x v="4"/>
    <x v="1"/>
    <x v="4"/>
    <s v="Peshawar"/>
    <s v="Urban Facilities"/>
    <x v="2"/>
    <n v="2100"/>
    <n v="1411.88"/>
    <n v="-688.11999999999989"/>
    <n v="-0.3276761904761904"/>
    <x v="0"/>
    <n v="-1411.88"/>
    <x v="11"/>
  </r>
  <r>
    <s v="FIN-02218"/>
    <d v="2025-03-30T00:00:00"/>
    <x v="0"/>
    <x v="6"/>
    <x v="4"/>
    <x v="1"/>
    <s v="Karachi"/>
    <s v="Officepro"/>
    <x v="2"/>
    <n v="4666.67"/>
    <n v="694.15"/>
    <n v="-3972.52"/>
    <n v="-0.85125367767594451"/>
    <x v="0"/>
    <n v="-694.15"/>
    <x v="2"/>
  </r>
  <r>
    <s v="FIN-02219"/>
    <d v="2026-03-23T00:00:00"/>
    <x v="0"/>
    <x v="0"/>
    <x v="10"/>
    <x v="2"/>
    <s v="Lahore"/>
    <s v="Buildcare"/>
    <x v="4"/>
    <n v="5000"/>
    <n v="3313.96"/>
    <n v="-1686.04"/>
    <n v="-0.33720800000000001"/>
    <x v="0"/>
    <n v="-3313.96"/>
    <x v="14"/>
  </r>
  <r>
    <s v="FIN-02220"/>
    <d v="2025-09-10T00:00:00"/>
    <x v="1"/>
    <x v="6"/>
    <x v="3"/>
    <x v="0"/>
    <s v="Karachi"/>
    <s v="Urban Facilities"/>
    <x v="1"/>
    <n v="11904.76"/>
    <n v="9362.81"/>
    <n v="-2541.9500000000007"/>
    <n v="-0.21352383416381351"/>
    <x v="0"/>
    <n v="9362.81"/>
    <x v="8"/>
  </r>
  <r>
    <s v="FIN-02221"/>
    <d v="2025-09-01T00:00:00"/>
    <x v="0"/>
    <x v="5"/>
    <x v="10"/>
    <x v="2"/>
    <s v="Karachi"/>
    <s v="Peoplefirst"/>
    <x v="3"/>
    <n v="5000"/>
    <n v="943.2"/>
    <n v="-4056.8"/>
    <n v="-0.81136000000000008"/>
    <x v="0"/>
    <n v="-943.2"/>
    <x v="8"/>
  </r>
  <r>
    <s v="FIN-02222"/>
    <d v="2026-06-11T00:00:00"/>
    <x v="0"/>
    <x v="5"/>
    <x v="0"/>
    <x v="4"/>
    <s v="Faisalabad"/>
    <s v="Powergrid"/>
    <x v="1"/>
    <n v="3555.56"/>
    <n v="4613.25"/>
    <n v="1057.69"/>
    <n v="0.29747494065632418"/>
    <x v="1"/>
    <n v="-4613.25"/>
    <x v="13"/>
  </r>
  <r>
    <s v="FIN-02223"/>
    <d v="2025-05-09T00:00:00"/>
    <x v="1"/>
    <x v="3"/>
    <x v="3"/>
    <x v="0"/>
    <s v="Karachi"/>
    <s v="Shipfast"/>
    <x v="2"/>
    <n v="9615.3799999999992"/>
    <n v="5615.95"/>
    <n v="-3999.4299999999994"/>
    <n v="-0.41594091965164143"/>
    <x v="0"/>
    <n v="5615.95"/>
    <x v="4"/>
  </r>
  <r>
    <s v="FIN-02224"/>
    <d v="2026-01-07T00:00:00"/>
    <x v="1"/>
    <x v="3"/>
    <x v="3"/>
    <x v="4"/>
    <s v="Multan"/>
    <s v="Legalworks"/>
    <x v="1"/>
    <n v="11547.62"/>
    <n v="20908.61"/>
    <n v="9360.99"/>
    <n v="0.81064236613258833"/>
    <x v="1"/>
    <n v="20908.61"/>
    <x v="12"/>
  </r>
  <r>
    <s v="FIN-02225"/>
    <d v="2025-10-23T00:00:00"/>
    <x v="1"/>
    <x v="4"/>
    <x v="12"/>
    <x v="2"/>
    <s v="Karachi"/>
    <s v="Powergrid"/>
    <x v="0"/>
    <n v="7692.31"/>
    <n v="16938.439999999999"/>
    <n v="9246.1299999999974"/>
    <n v="1.2019965394010377"/>
    <x v="1"/>
    <n v="16938.439999999999"/>
    <x v="9"/>
  </r>
  <r>
    <s v="FIN-02226"/>
    <d v="2025-07-20T00:00:00"/>
    <x v="0"/>
    <x v="0"/>
    <x v="1"/>
    <x v="0"/>
    <s v="Karachi"/>
    <s v="Shipfast"/>
    <x v="2"/>
    <n v="2250"/>
    <n v="349.36"/>
    <n v="-1900.6399999999999"/>
    <n v="-0.84472888888888886"/>
    <x v="0"/>
    <n v="-349.36"/>
    <x v="6"/>
  </r>
  <r>
    <s v="FIN-02227"/>
    <d v="2025-03-05T00:00:00"/>
    <x v="0"/>
    <x v="1"/>
    <x v="0"/>
    <x v="2"/>
    <s v="Faisalabad"/>
    <s v="Cloudnet"/>
    <x v="3"/>
    <n v="4571.43"/>
    <n v="3408.67"/>
    <n v="-1162.7600000000002"/>
    <n v="-0.25435367051447799"/>
    <x v="0"/>
    <n v="-3408.67"/>
    <x v="2"/>
  </r>
  <r>
    <s v="FIN-02228"/>
    <d v="2025-01-04T00:00:00"/>
    <x v="1"/>
    <x v="3"/>
    <x v="3"/>
    <x v="4"/>
    <s v="Karachi"/>
    <s v="Peoplefirst"/>
    <x v="2"/>
    <n v="11022.73"/>
    <n v="16766.91"/>
    <n v="5744.18"/>
    <n v="0.52112135559883987"/>
    <x v="1"/>
    <n v="16766.91"/>
    <x v="0"/>
  </r>
  <r>
    <s v="FIN-02229"/>
    <d v="2025-03-16T00:00:00"/>
    <x v="0"/>
    <x v="5"/>
    <x v="6"/>
    <x v="2"/>
    <s v="Islamabad"/>
    <s v="Shipfast"/>
    <x v="1"/>
    <n v="6000"/>
    <n v="9407.16"/>
    <n v="3407.16"/>
    <n v="0.56785999999999992"/>
    <x v="1"/>
    <n v="-9407.16"/>
    <x v="2"/>
  </r>
  <r>
    <s v="FIN-02230"/>
    <d v="2025-06-23T00:00:00"/>
    <x v="1"/>
    <x v="0"/>
    <x v="12"/>
    <x v="2"/>
    <s v="Lahore"/>
    <s v="Legalworks"/>
    <x v="0"/>
    <n v="6250"/>
    <n v="849.95"/>
    <n v="-5400.05"/>
    <n v="-0.864008"/>
    <x v="0"/>
    <n v="849.95"/>
    <x v="5"/>
  </r>
  <r>
    <s v="FIN-02231"/>
    <d v="2025-04-15T00:00:00"/>
    <x v="0"/>
    <x v="6"/>
    <x v="8"/>
    <x v="2"/>
    <s v="Peshawar"/>
    <s v="Officepro"/>
    <x v="1"/>
    <n v="3750"/>
    <n v="6123.85"/>
    <n v="2373.8500000000004"/>
    <n v="0.63302666666666674"/>
    <x v="1"/>
    <n v="-6123.85"/>
    <x v="3"/>
  </r>
  <r>
    <s v="FIN-02232"/>
    <d v="2025-09-21T00:00:00"/>
    <x v="0"/>
    <x v="6"/>
    <x v="4"/>
    <x v="4"/>
    <s v="Faisalabad"/>
    <s v="Officepro"/>
    <x v="1"/>
    <n v="3500"/>
    <n v="863.37"/>
    <n v="-2636.63"/>
    <n v="-0.75332285714285718"/>
    <x v="0"/>
    <n v="-863.37"/>
    <x v="8"/>
  </r>
  <r>
    <s v="FIN-02233"/>
    <d v="2025-03-31T00:00:00"/>
    <x v="0"/>
    <x v="0"/>
    <x v="6"/>
    <x v="1"/>
    <s v="Karachi"/>
    <s v="Markethub"/>
    <x v="3"/>
    <n v="6000"/>
    <n v="15927.66"/>
    <n v="9927.66"/>
    <n v="1.6546099999999999"/>
    <x v="1"/>
    <n v="-15927.66"/>
    <x v="2"/>
  </r>
  <r>
    <s v="FIN-02234"/>
    <d v="2026-03-06T00:00:00"/>
    <x v="0"/>
    <x v="4"/>
    <x v="9"/>
    <x v="1"/>
    <s v="Multan"/>
    <s v="Prime Supplies"/>
    <x v="2"/>
    <n v="5000"/>
    <n v="6259.04"/>
    <n v="1259.04"/>
    <n v="0.25180799999999998"/>
    <x v="1"/>
    <n v="-6259.04"/>
    <x v="14"/>
  </r>
  <r>
    <s v="FIN-02235"/>
    <d v="2025-12-21T00:00:00"/>
    <x v="0"/>
    <x v="4"/>
    <x v="6"/>
    <x v="0"/>
    <s v="Karachi"/>
    <s v="Travellink"/>
    <x v="4"/>
    <n v="7875"/>
    <n v="2029.26"/>
    <n v="-5845.74"/>
    <n v="-0.74231619047619046"/>
    <x v="0"/>
    <n v="-2029.26"/>
    <x v="11"/>
  </r>
  <r>
    <s v="FIN-02236"/>
    <d v="2025-11-20T00:00:00"/>
    <x v="1"/>
    <x v="3"/>
    <x v="14"/>
    <x v="3"/>
    <s v="Faisalabad"/>
    <s v="Buildcare"/>
    <x v="3"/>
    <n v="9545.4500000000007"/>
    <n v="7152.61"/>
    <n v="-2392.8400000000011"/>
    <n v="-0.25067859556123606"/>
    <x v="0"/>
    <n v="7152.61"/>
    <x v="10"/>
  </r>
  <r>
    <s v="FIN-02237"/>
    <d v="2025-12-20T00:00:00"/>
    <x v="0"/>
    <x v="5"/>
    <x v="6"/>
    <x v="4"/>
    <s v="Karachi"/>
    <s v="Dataserve"/>
    <x v="2"/>
    <n v="7875"/>
    <n v="17364.63"/>
    <n v="9489.630000000001"/>
    <n v="1.2050323809523811"/>
    <x v="1"/>
    <n v="-17364.63"/>
    <x v="11"/>
  </r>
  <r>
    <s v="FIN-02238"/>
    <d v="2026-06-17T00:00:00"/>
    <x v="1"/>
    <x v="7"/>
    <x v="2"/>
    <x v="3"/>
    <s v="Peshawar"/>
    <s v="Urban Facilities"/>
    <x v="1"/>
    <n v="7272.73"/>
    <n v="3988.5"/>
    <n v="-3284.2299999999996"/>
    <n v="-0.45158145565695412"/>
    <x v="0"/>
    <n v="3988.5"/>
    <x v="13"/>
  </r>
  <r>
    <s v="FIN-02239"/>
    <d v="2025-12-13T00:00:00"/>
    <x v="1"/>
    <x v="2"/>
    <x v="12"/>
    <x v="0"/>
    <s v="Faisalabad"/>
    <s v="Softworks"/>
    <x v="0"/>
    <n v="9545.4500000000007"/>
    <n v="13689.86"/>
    <n v="4144.41"/>
    <n v="0.43417649246499634"/>
    <x v="1"/>
    <n v="13689.86"/>
    <x v="11"/>
  </r>
  <r>
    <s v="FIN-02240"/>
    <d v="2026-02-04T00:00:00"/>
    <x v="0"/>
    <x v="5"/>
    <x v="4"/>
    <x v="2"/>
    <s v="Lahore"/>
    <s v="Cloudnet"/>
    <x v="4"/>
    <n v="3880"/>
    <n v="1796.42"/>
    <n v="-2083.58"/>
    <n v="-0.5370051546391752"/>
    <x v="0"/>
    <n v="-1796.42"/>
    <x v="17"/>
  </r>
  <r>
    <s v="FIN-02241"/>
    <d v="2025-02-03T00:00:00"/>
    <x v="0"/>
    <x v="5"/>
    <x v="10"/>
    <x v="2"/>
    <s v="Karachi"/>
    <s v="Cloudnet"/>
    <x v="2"/>
    <n v="5542.86"/>
    <n v="5778.56"/>
    <n v="235.70000000000073"/>
    <n v="4.2523173957126958E-2"/>
    <x v="1"/>
    <n v="-5778.56"/>
    <x v="1"/>
  </r>
  <r>
    <s v="FIN-02242"/>
    <d v="2025-02-06T00:00:00"/>
    <x v="0"/>
    <x v="5"/>
    <x v="1"/>
    <x v="0"/>
    <s v="Karachi"/>
    <s v="Peoplefirst"/>
    <x v="4"/>
    <n v="1940"/>
    <n v="195.78"/>
    <n v="-1744.22"/>
    <n v="-0.8990824742268041"/>
    <x v="0"/>
    <n v="-195.78"/>
    <x v="1"/>
  </r>
  <r>
    <s v="FIN-02243"/>
    <d v="2025-07-19T00:00:00"/>
    <x v="0"/>
    <x v="1"/>
    <x v="1"/>
    <x v="4"/>
    <s v="Karachi"/>
    <s v="Officepro"/>
    <x v="1"/>
    <n v="2250"/>
    <n v="974.66"/>
    <n v="-1275.3400000000001"/>
    <n v="-0.56681777777777786"/>
    <x v="0"/>
    <n v="-974.66"/>
    <x v="6"/>
  </r>
  <r>
    <s v="FIN-02244"/>
    <d v="2025-05-04T00:00:00"/>
    <x v="0"/>
    <x v="6"/>
    <x v="9"/>
    <x v="0"/>
    <s v="Peshawar"/>
    <s v="Markethub"/>
    <x v="0"/>
    <n v="5500"/>
    <n v="2388.12"/>
    <n v="-3111.88"/>
    <n v="-0.56579636363636365"/>
    <x v="0"/>
    <n v="-2388.12"/>
    <x v="4"/>
  </r>
  <r>
    <s v="FIN-02245"/>
    <d v="2026-06-25T00:00:00"/>
    <x v="0"/>
    <x v="2"/>
    <x v="10"/>
    <x v="0"/>
    <s v="Faisalabad"/>
    <s v="Officepro"/>
    <x v="3"/>
    <n v="3076.92"/>
    <n v="4072.26"/>
    <n v="995.34000000000015"/>
    <n v="0.3234858234858235"/>
    <x v="1"/>
    <n v="-4072.26"/>
    <x v="13"/>
  </r>
  <r>
    <s v="FIN-02246"/>
    <d v="2025-04-04T00:00:00"/>
    <x v="0"/>
    <x v="1"/>
    <x v="1"/>
    <x v="1"/>
    <s v="Multan"/>
    <s v="Legalworks"/>
    <x v="3"/>
    <n v="2250"/>
    <n v="804.34"/>
    <n v="-1445.6599999999999"/>
    <n v="-0.64251555555555551"/>
    <x v="0"/>
    <n v="-804.34"/>
    <x v="3"/>
  </r>
  <r>
    <s v="FIN-02247"/>
    <d v="2025-06-05T00:00:00"/>
    <x v="1"/>
    <x v="2"/>
    <x v="2"/>
    <x v="0"/>
    <s v="Peshawar"/>
    <s v="Powergrid"/>
    <x v="2"/>
    <n v="5333.33"/>
    <n v="2178.06"/>
    <n v="-3155.27"/>
    <n v="-0.59161349475843428"/>
    <x v="0"/>
    <n v="2178.06"/>
    <x v="5"/>
  </r>
  <r>
    <s v="FIN-02248"/>
    <d v="2025-08-06T00:00:00"/>
    <x v="0"/>
    <x v="4"/>
    <x v="0"/>
    <x v="3"/>
    <s v="Peshawar"/>
    <s v="Peoplefirst"/>
    <x v="0"/>
    <n v="0"/>
    <n v="6870.58"/>
    <n v="6870.58"/>
    <n v="0"/>
    <x v="2"/>
    <n v="-6870.58"/>
    <x v="7"/>
  </r>
  <r>
    <s v="FIN-02249"/>
    <d v="2025-12-11T00:00:00"/>
    <x v="1"/>
    <x v="3"/>
    <x v="3"/>
    <x v="0"/>
    <s v="Karachi"/>
    <s v="Peoplefirst"/>
    <x v="1"/>
    <n v="15441.18"/>
    <n v="17271.18"/>
    <n v="1830"/>
    <n v="0.11851425862531231"/>
    <x v="1"/>
    <n v="17271.18"/>
    <x v="11"/>
  </r>
  <r>
    <s v="FIN-02250"/>
    <d v="2025-12-19T00:00:00"/>
    <x v="1"/>
    <x v="3"/>
    <x v="3"/>
    <x v="3"/>
    <s v="Multan"/>
    <s v="Markethub"/>
    <x v="4"/>
    <n v="15441.18"/>
    <n v="16091.82"/>
    <n v="650.63999999999942"/>
    <n v="4.213667608304543E-2"/>
    <x v="1"/>
    <n v="16091.82"/>
    <x v="11"/>
  </r>
  <r>
    <s v="FIN-02251"/>
    <d v="2025-10-04T00:00:00"/>
    <x v="0"/>
    <x v="2"/>
    <x v="10"/>
    <x v="1"/>
    <s v="Multan"/>
    <s v="Adsphere"/>
    <x v="4"/>
    <n v="3333.33"/>
    <n v="5212.3"/>
    <n v="1878.9700000000003"/>
    <n v="0.56369156369156381"/>
    <x v="1"/>
    <n v="-5212.3"/>
    <x v="9"/>
  </r>
  <r>
    <s v="FIN-02252"/>
    <d v="2025-05-19T00:00:00"/>
    <x v="1"/>
    <x v="0"/>
    <x v="2"/>
    <x v="4"/>
    <s v="Karachi"/>
    <s v="Officepro"/>
    <x v="3"/>
    <n v="10000"/>
    <n v="3710.43"/>
    <n v="-6289.57"/>
    <n v="-0.62895699999999999"/>
    <x v="0"/>
    <n v="3710.43"/>
    <x v="4"/>
  </r>
  <r>
    <s v="FIN-02253"/>
    <d v="2025-09-21T00:00:00"/>
    <x v="0"/>
    <x v="6"/>
    <x v="11"/>
    <x v="1"/>
    <s v="Karachi"/>
    <s v="Prime Supplies"/>
    <x v="3"/>
    <n v="5500"/>
    <n v="3581.08"/>
    <n v="-1918.92"/>
    <n v="-0.34889454545454546"/>
    <x v="0"/>
    <n v="-3581.08"/>
    <x v="8"/>
  </r>
  <r>
    <s v="FIN-02254"/>
    <d v="2025-06-18T00:00:00"/>
    <x v="0"/>
    <x v="4"/>
    <x v="7"/>
    <x v="3"/>
    <s v="Karachi"/>
    <s v="Dataserve"/>
    <x v="2"/>
    <n v="4375"/>
    <n v="2835.34"/>
    <n v="-1539.6599999999999"/>
    <n v="-0.35192228571428569"/>
    <x v="0"/>
    <n v="-2835.34"/>
    <x v="5"/>
  </r>
  <r>
    <s v="FIN-02255"/>
    <d v="2025-09-21T00:00:00"/>
    <x v="0"/>
    <x v="3"/>
    <x v="1"/>
    <x v="3"/>
    <s v="Multan"/>
    <s v="Cloudnet"/>
    <x v="3"/>
    <n v="3600"/>
    <n v="1000.76"/>
    <n v="-2599.2399999999998"/>
    <n v="-0.72201111111111105"/>
    <x v="0"/>
    <n v="-1000.76"/>
    <x v="8"/>
  </r>
  <r>
    <s v="FIN-02256"/>
    <d v="2026-05-28T00:00:00"/>
    <x v="0"/>
    <x v="2"/>
    <x v="7"/>
    <x v="4"/>
    <s v="Karachi"/>
    <s v="Officepro"/>
    <x v="3"/>
    <n v="2692.31"/>
    <n v="4504.41"/>
    <n v="1812.1"/>
    <n v="0.67306513737273932"/>
    <x v="1"/>
    <n v="-4504.41"/>
    <x v="16"/>
  </r>
  <r>
    <s v="FIN-02257"/>
    <d v="2025-04-27T00:00:00"/>
    <x v="0"/>
    <x v="2"/>
    <x v="10"/>
    <x v="4"/>
    <s v="Karachi"/>
    <s v="Peoplefirst"/>
    <x v="1"/>
    <n v="5714.29"/>
    <n v="5942.88"/>
    <n v="228.59000000000015"/>
    <n v="4.0003219997585028E-2"/>
    <x v="1"/>
    <n v="-5942.88"/>
    <x v="3"/>
  </r>
  <r>
    <s v="FIN-02258"/>
    <d v="2025-05-20T00:00:00"/>
    <x v="0"/>
    <x v="1"/>
    <x v="0"/>
    <x v="4"/>
    <s v="Multan"/>
    <s v="Officepro"/>
    <x v="4"/>
    <n v="2909.09"/>
    <n v="5251.58"/>
    <n v="2342.4899999999998"/>
    <n v="0.80523118913474645"/>
    <x v="1"/>
    <n v="-5251.58"/>
    <x v="4"/>
  </r>
  <r>
    <s v="FIN-02259"/>
    <d v="2025-04-19T00:00:00"/>
    <x v="0"/>
    <x v="5"/>
    <x v="6"/>
    <x v="4"/>
    <s v="Islamabad"/>
    <s v="Markethub"/>
    <x v="2"/>
    <n v="13846.15"/>
    <n v="16730.310000000001"/>
    <n v="2884.1600000000017"/>
    <n v="0.20830050230569522"/>
    <x v="1"/>
    <n v="-16730.310000000001"/>
    <x v="3"/>
  </r>
  <r>
    <s v="FIN-02260"/>
    <d v="2025-05-15T00:00:00"/>
    <x v="0"/>
    <x v="1"/>
    <x v="4"/>
    <x v="3"/>
    <s v="Karachi"/>
    <s v="Travellink"/>
    <x v="2"/>
    <n v="4000"/>
    <n v="1582.35"/>
    <n v="-2417.65"/>
    <n v="-0.60441250000000002"/>
    <x v="0"/>
    <n v="-1582.35"/>
    <x v="4"/>
  </r>
  <r>
    <s v="FIN-02261"/>
    <d v="2026-02-14T00:00:00"/>
    <x v="0"/>
    <x v="0"/>
    <x v="10"/>
    <x v="4"/>
    <s v="Karachi"/>
    <s v="Prime Supplies"/>
    <x v="2"/>
    <n v="9700"/>
    <n v="5760.77"/>
    <n v="-3939.2299999999996"/>
    <n v="-0.40610618556701028"/>
    <x v="0"/>
    <n v="-5760.77"/>
    <x v="17"/>
  </r>
  <r>
    <s v="FIN-02262"/>
    <d v="2025-09-11T00:00:00"/>
    <x v="0"/>
    <x v="6"/>
    <x v="5"/>
    <x v="2"/>
    <s v="Karachi"/>
    <s v="Buildcare"/>
    <x v="1"/>
    <n v="9285.7099999999991"/>
    <n v="5768.68"/>
    <n v="-3517.0299999999988"/>
    <n v="-0.37875725173411612"/>
    <x v="0"/>
    <n v="-5768.68"/>
    <x v="8"/>
  </r>
  <r>
    <s v="FIN-02263"/>
    <d v="2026-02-10T00:00:00"/>
    <x v="0"/>
    <x v="5"/>
    <x v="8"/>
    <x v="3"/>
    <s v="Karachi"/>
    <s v="Cloudnet"/>
    <x v="4"/>
    <n v="2910"/>
    <n v="3375.15"/>
    <n v="465.15000000000009"/>
    <n v="0.15984536082474229"/>
    <x v="1"/>
    <n v="-3375.15"/>
    <x v="17"/>
  </r>
  <r>
    <s v="FIN-02264"/>
    <d v="2025-11-12T00:00:00"/>
    <x v="0"/>
    <x v="5"/>
    <x v="6"/>
    <x v="1"/>
    <s v="Islamabad"/>
    <s v="Cloudnet"/>
    <x v="2"/>
    <n v="9947.3700000000008"/>
    <n v="11054.33"/>
    <n v="1106.9599999999991"/>
    <n v="0.11128167545793502"/>
    <x v="1"/>
    <n v="-11054.33"/>
    <x v="10"/>
  </r>
  <r>
    <s v="FIN-02265"/>
    <d v="2025-08-11T00:00:00"/>
    <x v="1"/>
    <x v="3"/>
    <x v="3"/>
    <x v="4"/>
    <s v="Karachi"/>
    <s v="Markethub"/>
    <x v="3"/>
    <n v="10416.67"/>
    <n v="7228.66"/>
    <n v="-3188.01"/>
    <n v="-0.30604886206436416"/>
    <x v="0"/>
    <n v="7228.66"/>
    <x v="7"/>
  </r>
  <r>
    <s v="FIN-02266"/>
    <d v="2026-01-26T00:00:00"/>
    <x v="1"/>
    <x v="3"/>
    <x v="12"/>
    <x v="3"/>
    <s v="Karachi"/>
    <s v="Markethub"/>
    <x v="1"/>
    <n v="6062.5"/>
    <n v="9302.09"/>
    <n v="3239.59"/>
    <n v="0.53436536082474229"/>
    <x v="1"/>
    <n v="9302.09"/>
    <x v="12"/>
  </r>
  <r>
    <s v="FIN-02267"/>
    <d v="2026-03-12T00:00:00"/>
    <x v="0"/>
    <x v="3"/>
    <x v="7"/>
    <x v="2"/>
    <s v="Peshawar"/>
    <s v="Urban Facilities"/>
    <x v="1"/>
    <n v="3181.82"/>
    <n v="991.02"/>
    <n v="-2190.8000000000002"/>
    <n v="-0.68853674940757181"/>
    <x v="0"/>
    <n v="-991.02"/>
    <x v="14"/>
  </r>
  <r>
    <s v="FIN-02268"/>
    <d v="2025-07-17T00:00:00"/>
    <x v="0"/>
    <x v="2"/>
    <x v="4"/>
    <x v="3"/>
    <s v="Peshawar"/>
    <s v="Powergrid"/>
    <x v="1"/>
    <n v="4666.67"/>
    <n v="2249.5100000000002"/>
    <n v="-2417.16"/>
    <n v="-0.51796248716965199"/>
    <x v="0"/>
    <n v="-2249.5100000000002"/>
    <x v="6"/>
  </r>
  <r>
    <s v="FIN-02269"/>
    <d v="2025-10-25T00:00:00"/>
    <x v="1"/>
    <x v="0"/>
    <x v="2"/>
    <x v="0"/>
    <s v="Islamabad"/>
    <s v="Softworks"/>
    <x v="1"/>
    <n v="4705.88"/>
    <n v="6808.86"/>
    <n v="2102.9799999999996"/>
    <n v="0.44688347344173662"/>
    <x v="1"/>
    <n v="6808.86"/>
    <x v="9"/>
  </r>
  <r>
    <s v="FIN-02270"/>
    <d v="2025-12-24T00:00:00"/>
    <x v="1"/>
    <x v="3"/>
    <x v="12"/>
    <x v="1"/>
    <s v="Peshawar"/>
    <s v="Techsource"/>
    <x v="4"/>
    <n v="9545.4500000000007"/>
    <n v="13488.62"/>
    <n v="3943.17"/>
    <n v="0.4130941967115222"/>
    <x v="1"/>
    <n v="13488.62"/>
    <x v="11"/>
  </r>
  <r>
    <s v="FIN-02271"/>
    <d v="2026-02-09T00:00:00"/>
    <x v="0"/>
    <x v="1"/>
    <x v="10"/>
    <x v="4"/>
    <s v="Peshawar"/>
    <s v="Softworks"/>
    <x v="0"/>
    <n v="9700"/>
    <n v="1808.91"/>
    <n v="-7891.09"/>
    <n v="-0.81351443298969073"/>
    <x v="0"/>
    <n v="-1808.91"/>
    <x v="17"/>
  </r>
  <r>
    <s v="FIN-02272"/>
    <d v="2025-09-29T00:00:00"/>
    <x v="0"/>
    <x v="1"/>
    <x v="5"/>
    <x v="0"/>
    <s v="Karachi"/>
    <s v="Dataserve"/>
    <x v="1"/>
    <n v="9285.7099999999991"/>
    <n v="11329.85"/>
    <n v="2044.1400000000012"/>
    <n v="0.22013825544842575"/>
    <x v="1"/>
    <n v="-11329.85"/>
    <x v="8"/>
  </r>
  <r>
    <s v="FIN-02273"/>
    <d v="2025-01-13T00:00:00"/>
    <x v="0"/>
    <x v="1"/>
    <x v="0"/>
    <x v="2"/>
    <s v="Lahore"/>
    <s v="Techsource"/>
    <x v="2"/>
    <n v="7760"/>
    <n v="2920.07"/>
    <n v="-4839.93"/>
    <n v="-0.6237023195876289"/>
    <x v="0"/>
    <n v="-2920.07"/>
    <x v="0"/>
  </r>
  <r>
    <s v="FIN-02274"/>
    <d v="2025-01-25T00:00:00"/>
    <x v="1"/>
    <x v="4"/>
    <x v="3"/>
    <x v="1"/>
    <s v="Peshawar"/>
    <s v="Peoplefirst"/>
    <x v="1"/>
    <n v="11022.73"/>
    <n v="13641.26"/>
    <n v="2618.5300000000007"/>
    <n v="0.23755730204767792"/>
    <x v="1"/>
    <n v="13641.26"/>
    <x v="0"/>
  </r>
  <r>
    <s v="FIN-02275"/>
    <d v="2025-10-06T00:00:00"/>
    <x v="0"/>
    <x v="5"/>
    <x v="9"/>
    <x v="4"/>
    <s v="Faisalabad"/>
    <s v="Cloudnet"/>
    <x v="1"/>
    <n v="3928.57"/>
    <n v="654.27"/>
    <n v="-3274.3"/>
    <n v="-0.83345848489399454"/>
    <x v="0"/>
    <n v="-654.27"/>
    <x v="9"/>
  </r>
  <r>
    <s v="FIN-02276"/>
    <d v="2025-09-11T00:00:00"/>
    <x v="1"/>
    <x v="3"/>
    <x v="3"/>
    <x v="2"/>
    <s v="Faisalabad"/>
    <s v="Dataserve"/>
    <x v="2"/>
    <n v="11904.76"/>
    <n v="726.28"/>
    <n v="-11178.48"/>
    <n v="-0.93899247023879517"/>
    <x v="0"/>
    <n v="726.28"/>
    <x v="8"/>
  </r>
  <r>
    <s v="FIN-02277"/>
    <d v="2025-09-23T00:00:00"/>
    <x v="1"/>
    <x v="6"/>
    <x v="3"/>
    <x v="4"/>
    <s v="Multan"/>
    <s v="Techsource"/>
    <x v="2"/>
    <n v="11904.76"/>
    <n v="5440.12"/>
    <n v="-6464.64"/>
    <n v="-0.54302984688477551"/>
    <x v="0"/>
    <n v="5440.12"/>
    <x v="8"/>
  </r>
  <r>
    <s v="FIN-02278"/>
    <d v="2025-05-28T00:00:00"/>
    <x v="1"/>
    <x v="3"/>
    <x v="3"/>
    <x v="1"/>
    <s v="Karachi"/>
    <s v="Markethub"/>
    <x v="2"/>
    <n v="9615.3799999999992"/>
    <n v="16927.400000000001"/>
    <n v="7312.0200000000023"/>
    <n v="0.76045044501621395"/>
    <x v="1"/>
    <n v="16927.400000000001"/>
    <x v="4"/>
  </r>
  <r>
    <s v="FIN-02279"/>
    <d v="2025-02-22T00:00:00"/>
    <x v="0"/>
    <x v="2"/>
    <x v="6"/>
    <x v="1"/>
    <s v="Karachi"/>
    <s v="Buildcare"/>
    <x v="4"/>
    <n v="11640"/>
    <n v="1054.23"/>
    <n v="-10585.77"/>
    <n v="-0.90943041237113409"/>
    <x v="0"/>
    <n v="-1054.23"/>
    <x v="1"/>
  </r>
  <r>
    <s v="FIN-02280"/>
    <d v="2025-01-20T00:00:00"/>
    <x v="0"/>
    <x v="0"/>
    <x v="11"/>
    <x v="3"/>
    <s v="Karachi"/>
    <s v="Softworks"/>
    <x v="1"/>
    <n v="3556.67"/>
    <n v="2674.68"/>
    <n v="-881.99000000000024"/>
    <n v="-0.2479819606542075"/>
    <x v="0"/>
    <n v="-2674.68"/>
    <x v="0"/>
  </r>
  <r>
    <s v="FIN-02281"/>
    <d v="2025-09-23T00:00:00"/>
    <x v="1"/>
    <x v="3"/>
    <x v="3"/>
    <x v="1"/>
    <s v="Islamabad"/>
    <s v="Buildcare"/>
    <x v="3"/>
    <n v="11904.76"/>
    <n v="4796.55"/>
    <n v="-7108.21"/>
    <n v="-0.59708973553435762"/>
    <x v="0"/>
    <n v="4796.55"/>
    <x v="8"/>
  </r>
  <r>
    <s v="FIN-02282"/>
    <d v="2026-01-22T00:00:00"/>
    <x v="1"/>
    <x v="3"/>
    <x v="3"/>
    <x v="4"/>
    <s v="Multan"/>
    <s v="Prime Supplies"/>
    <x v="4"/>
    <n v="11547.62"/>
    <n v="13793.22"/>
    <n v="2245.5999999999985"/>
    <n v="0.19446431385861315"/>
    <x v="1"/>
    <n v="13793.22"/>
    <x v="12"/>
  </r>
  <r>
    <s v="FIN-02283"/>
    <d v="2025-10-31T00:00:00"/>
    <x v="0"/>
    <x v="0"/>
    <x v="9"/>
    <x v="1"/>
    <s v="Islamabad"/>
    <s v="Legalworks"/>
    <x v="4"/>
    <n v="3928.57"/>
    <n v="6321.03"/>
    <n v="2392.4599999999996"/>
    <n v="0.60899003963274156"/>
    <x v="1"/>
    <n v="-6321.03"/>
    <x v="9"/>
  </r>
  <r>
    <s v="FIN-02284"/>
    <d v="2025-05-25T00:00:00"/>
    <x v="0"/>
    <x v="5"/>
    <x v="1"/>
    <x v="3"/>
    <s v="Karachi"/>
    <s v="Buildcare"/>
    <x v="2"/>
    <n v="2250"/>
    <n v="336.42"/>
    <n v="-1913.58"/>
    <n v="-0.85048000000000001"/>
    <x v="0"/>
    <n v="-336.42"/>
    <x v="4"/>
  </r>
  <r>
    <s v="FIN-02285"/>
    <d v="2025-03-23T00:00:00"/>
    <x v="0"/>
    <x v="2"/>
    <x v="6"/>
    <x v="1"/>
    <s v="Karachi"/>
    <s v="Adsphere"/>
    <x v="1"/>
    <n v="6000"/>
    <n v="6346.2"/>
    <n v="346.19999999999982"/>
    <n v="5.7699999999999967E-2"/>
    <x v="1"/>
    <n v="-6346.2"/>
    <x v="2"/>
  </r>
  <r>
    <s v="FIN-02286"/>
    <d v="2026-04-19T00:00:00"/>
    <x v="1"/>
    <x v="3"/>
    <x v="13"/>
    <x v="3"/>
    <s v="Lahore"/>
    <s v="Officepro"/>
    <x v="2"/>
    <n v="3333.33"/>
    <n v="3908.96"/>
    <n v="575.63000000000011"/>
    <n v="0.17268917268917272"/>
    <x v="1"/>
    <n v="3908.96"/>
    <x v="15"/>
  </r>
  <r>
    <s v="FIN-02287"/>
    <d v="2026-06-28T00:00:00"/>
    <x v="0"/>
    <x v="2"/>
    <x v="4"/>
    <x v="2"/>
    <s v="Peshawar"/>
    <s v="Techsource"/>
    <x v="2"/>
    <n v="5600"/>
    <n v="3181.38"/>
    <n v="-2418.62"/>
    <n v="-0.43189642857142857"/>
    <x v="0"/>
    <n v="-3181.38"/>
    <x v="13"/>
  </r>
  <r>
    <s v="FIN-02288"/>
    <d v="2025-06-19T00:00:00"/>
    <x v="1"/>
    <x v="3"/>
    <x v="2"/>
    <x v="4"/>
    <s v="Karachi"/>
    <s v="Powergrid"/>
    <x v="4"/>
    <n v="5333.33"/>
    <n v="5882.42"/>
    <n v="549.09000000000015"/>
    <n v="0.10295443934652462"/>
    <x v="1"/>
    <n v="5882.42"/>
    <x v="5"/>
  </r>
  <r>
    <s v="FIN-02289"/>
    <d v="2025-07-16T00:00:00"/>
    <x v="0"/>
    <x v="2"/>
    <x v="11"/>
    <x v="4"/>
    <s v="Karachi"/>
    <s v="Softworks"/>
    <x v="4"/>
    <n v="2750"/>
    <n v="1778.44"/>
    <n v="-971.56"/>
    <n v="-0.35329454545454542"/>
    <x v="0"/>
    <n v="-1778.44"/>
    <x v="6"/>
  </r>
  <r>
    <s v="FIN-02290"/>
    <d v="2025-04-05T00:00:00"/>
    <x v="1"/>
    <x v="2"/>
    <x v="3"/>
    <x v="0"/>
    <s v="Karachi"/>
    <s v="Shipfast"/>
    <x v="1"/>
    <n v="11363.64"/>
    <n v="936.44"/>
    <n v="-10427.199999999999"/>
    <n v="-0.91759330637014191"/>
    <x v="0"/>
    <n v="936.44"/>
    <x v="3"/>
  </r>
  <r>
    <s v="FIN-02291"/>
    <d v="2025-01-26T00:00:00"/>
    <x v="0"/>
    <x v="5"/>
    <x v="8"/>
    <x v="3"/>
    <s v="Karachi"/>
    <s v="Prime Supplies"/>
    <x v="3"/>
    <n v="3637.5"/>
    <n v="3156.36"/>
    <n v="-481.13999999999987"/>
    <n v="-0.13227216494845356"/>
    <x v="0"/>
    <n v="-3156.36"/>
    <x v="0"/>
  </r>
  <r>
    <s v="FIN-02292"/>
    <d v="2025-11-15T00:00:00"/>
    <x v="1"/>
    <x v="6"/>
    <x v="3"/>
    <x v="0"/>
    <s v="Karachi"/>
    <s v="Powergrid"/>
    <x v="4"/>
    <n v="13125"/>
    <n v="8981.73"/>
    <n v="-4143.2700000000004"/>
    <n v="-0.31567771428571434"/>
    <x v="0"/>
    <n v="8981.73"/>
    <x v="10"/>
  </r>
  <r>
    <s v="FIN-02293"/>
    <d v="2025-04-13T00:00:00"/>
    <x v="0"/>
    <x v="5"/>
    <x v="8"/>
    <x v="1"/>
    <s v="Karachi"/>
    <s v="Powergrid"/>
    <x v="3"/>
    <n v="3750"/>
    <n v="3251.96"/>
    <n v="-498.03999999999996"/>
    <n v="-0.13281066666666666"/>
    <x v="0"/>
    <n v="-3251.96"/>
    <x v="3"/>
  </r>
  <r>
    <s v="FIN-02294"/>
    <d v="2025-08-17T00:00:00"/>
    <x v="1"/>
    <x v="6"/>
    <x v="12"/>
    <x v="2"/>
    <s v="Karachi"/>
    <s v="Softworks"/>
    <x v="0"/>
    <n v="7142.86"/>
    <n v="2554.79"/>
    <n v="-4588.07"/>
    <n v="-0.6423295430681828"/>
    <x v="0"/>
    <n v="2554.79"/>
    <x v="7"/>
  </r>
  <r>
    <s v="FIN-02295"/>
    <d v="2025-04-04T00:00:00"/>
    <x v="0"/>
    <x v="3"/>
    <x v="9"/>
    <x v="4"/>
    <s v="Karachi"/>
    <s v="Shipfast"/>
    <x v="1"/>
    <n v="6111.11"/>
    <n v="475.91"/>
    <n v="-5635.2"/>
    <n v="-0.92212380402250982"/>
    <x v="0"/>
    <n v="-475.91"/>
    <x v="3"/>
  </r>
  <r>
    <s v="FIN-02296"/>
    <d v="2025-07-21T00:00:00"/>
    <x v="0"/>
    <x v="6"/>
    <x v="6"/>
    <x v="2"/>
    <s v="Peshawar"/>
    <s v="Peoplefirst"/>
    <x v="4"/>
    <n v="6923.08"/>
    <n v="3308.08"/>
    <n v="-3615"/>
    <n v="-0.52216643459269574"/>
    <x v="0"/>
    <n v="-3308.08"/>
    <x v="6"/>
  </r>
  <r>
    <s v="FIN-02297"/>
    <d v="2025-06-17T00:00:00"/>
    <x v="1"/>
    <x v="3"/>
    <x v="12"/>
    <x v="2"/>
    <s v="Karachi"/>
    <s v="Techsource"/>
    <x v="3"/>
    <n v="6250"/>
    <n v="17377.86"/>
    <n v="11127.86"/>
    <n v="1.7804576000000001"/>
    <x v="1"/>
    <n v="17377.86"/>
    <x v="5"/>
  </r>
  <r>
    <s v="FIN-02298"/>
    <d v="2025-09-24T00:00:00"/>
    <x v="0"/>
    <x v="1"/>
    <x v="10"/>
    <x v="4"/>
    <s v="Karachi"/>
    <s v="Markethub"/>
    <x v="3"/>
    <n v="5000"/>
    <n v="962.92"/>
    <n v="-4037.08"/>
    <n v="-0.80741600000000002"/>
    <x v="0"/>
    <n v="-962.92"/>
    <x v="8"/>
  </r>
  <r>
    <s v="FIN-02299"/>
    <d v="2025-08-13T00:00:00"/>
    <x v="1"/>
    <x v="3"/>
    <x v="13"/>
    <x v="1"/>
    <s v="Karachi"/>
    <s v="Peoplefirst"/>
    <x v="1"/>
    <n v="6666.67"/>
    <n v="4040.58"/>
    <n v="-2626.09"/>
    <n v="-0.39391330304334848"/>
    <x v="0"/>
    <n v="4040.58"/>
    <x v="7"/>
  </r>
  <r>
    <s v="FIN-02300"/>
    <d v="2025-01-13T00:00:00"/>
    <x v="0"/>
    <x v="1"/>
    <x v="9"/>
    <x v="2"/>
    <s v="Multan"/>
    <s v="Cloudnet"/>
    <x v="4"/>
    <n v="3810.71"/>
    <n v="4458.76"/>
    <n v="648.05000000000018"/>
    <n v="0.17006017251378355"/>
    <x v="1"/>
    <n v="-4458.76"/>
    <x v="0"/>
  </r>
  <r>
    <s v="FIN-02301"/>
    <d v="2026-04-20T00:00:00"/>
    <x v="0"/>
    <x v="3"/>
    <x v="6"/>
    <x v="1"/>
    <s v="Karachi"/>
    <s v="Softworks"/>
    <x v="4"/>
    <n v="8571.43"/>
    <n v="4381.7299999999996"/>
    <n v="-4189.7000000000007"/>
    <n v="-0.48879825186695808"/>
    <x v="0"/>
    <n v="-4381.7299999999996"/>
    <x v="15"/>
  </r>
  <r>
    <s v="FIN-02302"/>
    <d v="2026-04-19T00:00:00"/>
    <x v="0"/>
    <x v="6"/>
    <x v="8"/>
    <x v="4"/>
    <s v="Karachi"/>
    <s v="Officepro"/>
    <x v="4"/>
    <n v="10000"/>
    <n v="7884.61"/>
    <n v="-2115.3900000000003"/>
    <n v="-0.21153900000000003"/>
    <x v="0"/>
    <n v="-7884.61"/>
    <x v="15"/>
  </r>
  <r>
    <s v="FIN-02303"/>
    <d v="2025-05-27T00:00:00"/>
    <x v="0"/>
    <x v="4"/>
    <x v="8"/>
    <x v="4"/>
    <s v="Islamabad"/>
    <s v="Cloudnet"/>
    <x v="4"/>
    <n v="2307.69"/>
    <n v="7380.04"/>
    <n v="5072.3500000000004"/>
    <n v="2.198020531353865"/>
    <x v="1"/>
    <n v="-7380.04"/>
    <x v="4"/>
  </r>
  <r>
    <s v="FIN-02304"/>
    <d v="2025-02-17T00:00:00"/>
    <x v="1"/>
    <x v="1"/>
    <x v="13"/>
    <x v="3"/>
    <s v="Islamabad"/>
    <s v="Markethub"/>
    <x v="3"/>
    <n v="3233.33"/>
    <n v="2645.06"/>
    <n v="-588.27"/>
    <n v="-0.18193936282408538"/>
    <x v="0"/>
    <n v="2645.06"/>
    <x v="1"/>
  </r>
  <r>
    <s v="FIN-02305"/>
    <d v="2025-07-25T00:00:00"/>
    <x v="0"/>
    <x v="6"/>
    <x v="0"/>
    <x v="0"/>
    <s v="Karachi"/>
    <s v="Shipfast"/>
    <x v="1"/>
    <n v="4000"/>
    <n v="1491.47"/>
    <n v="-2508.5299999999997"/>
    <n v="-0.62713249999999998"/>
    <x v="0"/>
    <n v="-1491.47"/>
    <x v="6"/>
  </r>
  <r>
    <s v="FIN-02306"/>
    <d v="2025-01-28T00:00:00"/>
    <x v="1"/>
    <x v="4"/>
    <x v="3"/>
    <x v="4"/>
    <s v="Lahore"/>
    <s v="Urban Facilities"/>
    <x v="1"/>
    <n v="11022.73"/>
    <n v="20748.97"/>
    <n v="9726.2400000000016"/>
    <n v="0.882380317761571"/>
    <x v="1"/>
    <n v="20748.97"/>
    <x v="0"/>
  </r>
  <r>
    <s v="FIN-02307"/>
    <d v="2025-08-18T00:00:00"/>
    <x v="1"/>
    <x v="1"/>
    <x v="3"/>
    <x v="1"/>
    <s v="Multan"/>
    <s v="Buildcare"/>
    <x v="2"/>
    <n v="10416.67"/>
    <n v="16018.22"/>
    <n v="5601.5499999999993"/>
    <n v="0.53774862792043898"/>
    <x v="1"/>
    <n v="16018.22"/>
    <x v="7"/>
  </r>
  <r>
    <s v="FIN-02308"/>
    <d v="2026-06-12T00:00:00"/>
    <x v="1"/>
    <x v="4"/>
    <x v="2"/>
    <x v="2"/>
    <s v="Karachi"/>
    <s v="Softworks"/>
    <x v="4"/>
    <n v="7272.73"/>
    <n v="2246.0700000000002"/>
    <n v="-5026.66"/>
    <n v="-0.69116549081294099"/>
    <x v="0"/>
    <n v="2246.0700000000002"/>
    <x v="13"/>
  </r>
  <r>
    <s v="FIN-02309"/>
    <d v="2025-08-31T00:00:00"/>
    <x v="0"/>
    <x v="4"/>
    <x v="9"/>
    <x v="2"/>
    <s v="Lahore"/>
    <s v="Softworks"/>
    <x v="0"/>
    <n v="3928.57"/>
    <n v="7745.08"/>
    <n v="3816.5099999999998"/>
    <n v="0.97147562599113657"/>
    <x v="1"/>
    <n v="-7745.08"/>
    <x v="7"/>
  </r>
  <r>
    <s v="FIN-02310"/>
    <d v="2025-06-05T00:00:00"/>
    <x v="0"/>
    <x v="2"/>
    <x v="11"/>
    <x v="3"/>
    <s v="Islamabad"/>
    <s v="Dataserve"/>
    <x v="1"/>
    <n v="3666.67"/>
    <n v="3753.26"/>
    <n v="86.590000000000146"/>
    <n v="2.361543307687906E-2"/>
    <x v="1"/>
    <n v="-3753.26"/>
    <x v="5"/>
  </r>
  <r>
    <s v="FIN-02311"/>
    <d v="2025-10-08T00:00:00"/>
    <x v="0"/>
    <x v="0"/>
    <x v="4"/>
    <x v="2"/>
    <s v="Multan"/>
    <s v="Peoplefirst"/>
    <x v="1"/>
    <n v="3500"/>
    <n v="2803.44"/>
    <n v="-696.56"/>
    <n v="-0.19901714285714284"/>
    <x v="0"/>
    <n v="-2803.44"/>
    <x v="9"/>
  </r>
  <r>
    <s v="FIN-02312"/>
    <d v="2026-04-04T00:00:00"/>
    <x v="1"/>
    <x v="1"/>
    <x v="3"/>
    <x v="0"/>
    <s v="Karachi"/>
    <s v="Shipfast"/>
    <x v="3"/>
    <n v="8333.33"/>
    <n v="684.3"/>
    <n v="-7649.03"/>
    <n v="-0.91788396715358689"/>
    <x v="0"/>
    <n v="684.3"/>
    <x v="15"/>
  </r>
  <r>
    <s v="FIN-02313"/>
    <d v="2025-01-22T00:00:00"/>
    <x v="0"/>
    <x v="6"/>
    <x v="0"/>
    <x v="1"/>
    <s v="Islamabad"/>
    <s v="Officepro"/>
    <x v="1"/>
    <n v="7760"/>
    <n v="2630.53"/>
    <n v="-5129.4699999999993"/>
    <n v="-0.66101417525773187"/>
    <x v="0"/>
    <n v="-2630.53"/>
    <x v="0"/>
  </r>
  <r>
    <s v="FIN-02314"/>
    <d v="2026-03-04T00:00:00"/>
    <x v="0"/>
    <x v="2"/>
    <x v="5"/>
    <x v="0"/>
    <s v="Lahore"/>
    <s v="Peoplefirst"/>
    <x v="4"/>
    <n v="6500"/>
    <n v="6312.14"/>
    <n v="-187.85999999999967"/>
    <n v="-2.8901538461538413E-2"/>
    <x v="0"/>
    <n v="-6312.14"/>
    <x v="14"/>
  </r>
  <r>
    <s v="FIN-02315"/>
    <d v="2025-02-11T00:00:00"/>
    <x v="1"/>
    <x v="6"/>
    <x v="3"/>
    <x v="0"/>
    <s v="Islamabad"/>
    <s v="Urban Facilities"/>
    <x v="4"/>
    <n v="13472.22"/>
    <n v="17942.27"/>
    <n v="4470.0500000000011"/>
    <n v="0.33179758050269381"/>
    <x v="1"/>
    <n v="17942.27"/>
    <x v="1"/>
  </r>
  <r>
    <s v="FIN-02316"/>
    <d v="2026-01-12T00:00:00"/>
    <x v="1"/>
    <x v="3"/>
    <x v="2"/>
    <x v="2"/>
    <s v="Karachi"/>
    <s v="Travellink"/>
    <x v="1"/>
    <n v="8622.2199999999993"/>
    <n v="4411.0600000000004"/>
    <n v="-4211.1599999999989"/>
    <n v="-0.48840785783707669"/>
    <x v="0"/>
    <n v="4411.0600000000004"/>
    <x v="12"/>
  </r>
  <r>
    <s v="FIN-02317"/>
    <d v="2025-02-06T00:00:00"/>
    <x v="1"/>
    <x v="1"/>
    <x v="13"/>
    <x v="0"/>
    <s v="Karachi"/>
    <s v="Peoplefirst"/>
    <x v="1"/>
    <n v="3233.33"/>
    <n v="514.54999999999995"/>
    <n v="-2718.7799999999997"/>
    <n v="-0.84086066068109344"/>
    <x v="0"/>
    <n v="514.54999999999995"/>
    <x v="1"/>
  </r>
  <r>
    <s v="FIN-02318"/>
    <d v="2025-04-03T00:00:00"/>
    <x v="0"/>
    <x v="2"/>
    <x v="5"/>
    <x v="3"/>
    <s v="Faisalabad"/>
    <s v="Powergrid"/>
    <x v="3"/>
    <n v="5416.67"/>
    <n v="9332.18"/>
    <n v="3915.51"/>
    <n v="0.7228629397766525"/>
    <x v="1"/>
    <n v="-9332.18"/>
    <x v="3"/>
  </r>
  <r>
    <s v="FIN-02319"/>
    <d v="2025-02-02T00:00:00"/>
    <x v="0"/>
    <x v="1"/>
    <x v="6"/>
    <x v="3"/>
    <s v="Islamabad"/>
    <s v="Dataserve"/>
    <x v="4"/>
    <n v="11640"/>
    <n v="6368.81"/>
    <n v="-5271.19"/>
    <n v="-0.45285137457044672"/>
    <x v="0"/>
    <n v="-6368.81"/>
    <x v="1"/>
  </r>
  <r>
    <s v="FIN-02320"/>
    <d v="2025-10-04T00:00:00"/>
    <x v="0"/>
    <x v="1"/>
    <x v="0"/>
    <x v="4"/>
    <s v="Karachi"/>
    <s v="Adsphere"/>
    <x v="0"/>
    <n v="2666.67"/>
    <n v="4441.5600000000004"/>
    <n v="1774.8900000000003"/>
    <n v="0.66558291802135261"/>
    <x v="1"/>
    <n v="-4441.5600000000004"/>
    <x v="9"/>
  </r>
  <r>
    <s v="FIN-02321"/>
    <d v="2025-10-14T00:00:00"/>
    <x v="0"/>
    <x v="3"/>
    <x v="9"/>
    <x v="3"/>
    <s v="Islamabad"/>
    <s v="Buildcare"/>
    <x v="1"/>
    <n v="3928.57"/>
    <n v="5550.36"/>
    <n v="1621.7899999999995"/>
    <n v="0.41281942284342632"/>
    <x v="1"/>
    <n v="-5550.36"/>
    <x v="9"/>
  </r>
  <r>
    <s v="FIN-02322"/>
    <d v="2025-06-26T00:00:00"/>
    <x v="0"/>
    <x v="6"/>
    <x v="8"/>
    <x v="3"/>
    <s v="Lahore"/>
    <s v="Dataserve"/>
    <x v="4"/>
    <n v="5000"/>
    <n v="3620.53"/>
    <n v="-1379.4699999999998"/>
    <n v="-0.27589399999999997"/>
    <x v="0"/>
    <n v="-3620.53"/>
    <x v="5"/>
  </r>
  <r>
    <s v="FIN-02323"/>
    <d v="2025-06-13T00:00:00"/>
    <x v="1"/>
    <x v="3"/>
    <x v="2"/>
    <x v="1"/>
    <s v="Karachi"/>
    <s v="Peoplefirst"/>
    <x v="2"/>
    <n v="5333.33"/>
    <n v="1875.07"/>
    <n v="-3458.26"/>
    <n v="-0.64842415526509711"/>
    <x v="0"/>
    <n v="1875.07"/>
    <x v="5"/>
  </r>
  <r>
    <s v="FIN-02324"/>
    <d v="2025-05-04T00:00:00"/>
    <x v="1"/>
    <x v="3"/>
    <x v="3"/>
    <x v="4"/>
    <s v="Karachi"/>
    <s v="Buildcare"/>
    <x v="4"/>
    <n v="9615.3799999999992"/>
    <n v="2740.46"/>
    <n v="-6874.9199999999992"/>
    <n v="-0.71499202319617106"/>
    <x v="0"/>
    <n v="2740.46"/>
    <x v="4"/>
  </r>
  <r>
    <s v="FIN-02325"/>
    <d v="2026-05-28T00:00:00"/>
    <x v="1"/>
    <x v="3"/>
    <x v="3"/>
    <x v="2"/>
    <s v="Karachi"/>
    <s v="Buildcare"/>
    <x v="4"/>
    <n v="10869.57"/>
    <n v="4880.8"/>
    <n v="-5988.7699999999995"/>
    <n v="-0.55096659757469701"/>
    <x v="0"/>
    <n v="4880.8"/>
    <x v="16"/>
  </r>
  <r>
    <s v="FIN-02326"/>
    <d v="2025-08-08T00:00:00"/>
    <x v="1"/>
    <x v="2"/>
    <x v="3"/>
    <x v="4"/>
    <s v="Faisalabad"/>
    <s v="Prime Supplies"/>
    <x v="0"/>
    <n v="10416.67"/>
    <n v="12475.67"/>
    <n v="2059"/>
    <n v="0.19766393674754024"/>
    <x v="1"/>
    <n v="12475.67"/>
    <x v="7"/>
  </r>
  <r>
    <s v="FIN-02327"/>
    <d v="2025-03-01T00:00:00"/>
    <x v="0"/>
    <x v="0"/>
    <x v="7"/>
    <x v="0"/>
    <s v="Lahore"/>
    <s v="Urban Facilities"/>
    <x v="4"/>
    <n v="4375"/>
    <n v="2106.58"/>
    <n v="-2268.42"/>
    <n v="-0.51849600000000007"/>
    <x v="0"/>
    <n v="-2106.58"/>
    <x v="2"/>
  </r>
  <r>
    <s v="FIN-02328"/>
    <d v="2025-07-06T00:00:00"/>
    <x v="0"/>
    <x v="1"/>
    <x v="7"/>
    <x v="1"/>
    <s v="Karachi"/>
    <s v="Techsource"/>
    <x v="3"/>
    <n v="8750"/>
    <n v="1016.32"/>
    <n v="-7733.68"/>
    <n v="-0.88384914285714289"/>
    <x v="0"/>
    <n v="-1016.32"/>
    <x v="6"/>
  </r>
  <r>
    <s v="FIN-02329"/>
    <d v="2026-01-10T00:00:00"/>
    <x v="1"/>
    <x v="3"/>
    <x v="3"/>
    <x v="1"/>
    <s v="Karachi"/>
    <s v="Travellink"/>
    <x v="0"/>
    <n v="11547.62"/>
    <n v="4912.2700000000004"/>
    <n v="-6635.35"/>
    <n v="-0.57460758147566338"/>
    <x v="0"/>
    <n v="4912.2700000000004"/>
    <x v="12"/>
  </r>
  <r>
    <s v="FIN-02330"/>
    <d v="2025-01-26T00:00:00"/>
    <x v="1"/>
    <x v="6"/>
    <x v="2"/>
    <x v="1"/>
    <s v="Lahore"/>
    <s v="Markethub"/>
    <x v="2"/>
    <n v="11085.71"/>
    <n v="6388.93"/>
    <n v="-4696.7799999999988"/>
    <n v="-0.42367877204076232"/>
    <x v="0"/>
    <n v="6388.93"/>
    <x v="0"/>
  </r>
  <r>
    <s v="FIN-02331"/>
    <d v="2025-07-16T00:00:00"/>
    <x v="1"/>
    <x v="3"/>
    <x v="12"/>
    <x v="2"/>
    <s v="Karachi"/>
    <s v="Adsphere"/>
    <x v="2"/>
    <n v="7142.86"/>
    <n v="11144.08"/>
    <n v="4001.2200000000003"/>
    <n v="0.56017057593176967"/>
    <x v="1"/>
    <n v="11144.08"/>
    <x v="6"/>
  </r>
  <r>
    <s v="FIN-02332"/>
    <d v="2025-07-10T00:00:00"/>
    <x v="1"/>
    <x v="6"/>
    <x v="12"/>
    <x v="4"/>
    <s v="Multan"/>
    <s v="Adsphere"/>
    <x v="3"/>
    <n v="7142.86"/>
    <n v="15063.75"/>
    <n v="7920.89"/>
    <n v="1.1089241564303376"/>
    <x v="1"/>
    <n v="15063.75"/>
    <x v="6"/>
  </r>
  <r>
    <s v="FIN-02333"/>
    <d v="2026-01-18T00:00:00"/>
    <x v="1"/>
    <x v="4"/>
    <x v="3"/>
    <x v="4"/>
    <s v="Lahore"/>
    <s v="Dataserve"/>
    <x v="3"/>
    <n v="11547.62"/>
    <n v="14593.14"/>
    <n v="3045.5199999999986"/>
    <n v="0.26373573082591895"/>
    <x v="1"/>
    <n v="14593.14"/>
    <x v="12"/>
  </r>
  <r>
    <s v="FIN-02334"/>
    <d v="2026-02-16T00:00:00"/>
    <x v="0"/>
    <x v="1"/>
    <x v="9"/>
    <x v="3"/>
    <s v="Peshawar"/>
    <s v="Travellink"/>
    <x v="3"/>
    <n v="4850"/>
    <n v="5513.1"/>
    <n v="663.10000000000036"/>
    <n v="0.13672164948453616"/>
    <x v="1"/>
    <n v="-5513.1"/>
    <x v="17"/>
  </r>
  <r>
    <s v="FIN-02335"/>
    <d v="2025-02-06T00:00:00"/>
    <x v="0"/>
    <x v="3"/>
    <x v="10"/>
    <x v="4"/>
    <s v="Faisalabad"/>
    <s v="Powergrid"/>
    <x v="3"/>
    <n v="5542.86"/>
    <n v="3815.56"/>
    <n v="-1727.2999999999997"/>
    <n v="-0.31162612802776901"/>
    <x v="0"/>
    <n v="-3815.56"/>
    <x v="1"/>
  </r>
  <r>
    <s v="FIN-02336"/>
    <d v="2026-06-30T00:00:00"/>
    <x v="0"/>
    <x v="5"/>
    <x v="6"/>
    <x v="4"/>
    <s v="Karachi"/>
    <s v="Urban Facilities"/>
    <x v="0"/>
    <n v="8571.43"/>
    <n v="16343.09"/>
    <n v="7771.66"/>
    <n v="0.90669351555108069"/>
    <x v="1"/>
    <n v="-16343.09"/>
    <x v="13"/>
  </r>
  <r>
    <s v="FIN-02337"/>
    <d v="2026-06-10T00:00:00"/>
    <x v="1"/>
    <x v="3"/>
    <x v="3"/>
    <x v="3"/>
    <s v="Lahore"/>
    <s v="Legalworks"/>
    <x v="2"/>
    <n v="10000"/>
    <n v="16829.39"/>
    <n v="6829.3899999999994"/>
    <n v="0.68293899999999996"/>
    <x v="1"/>
    <n v="16829.39"/>
    <x v="13"/>
  </r>
  <r>
    <s v="FIN-02338"/>
    <d v="2026-01-24T00:00:00"/>
    <x v="0"/>
    <x v="5"/>
    <x v="1"/>
    <x v="3"/>
    <s v="Peshawar"/>
    <s v="Powergrid"/>
    <x v="1"/>
    <n v="5820"/>
    <n v="1022.83"/>
    <n v="-4797.17"/>
    <n v="-0.82425601374570445"/>
    <x v="0"/>
    <n v="-1022.83"/>
    <x v="12"/>
  </r>
  <r>
    <s v="FIN-02339"/>
    <d v="2025-09-19T00:00:00"/>
    <x v="0"/>
    <x v="2"/>
    <x v="7"/>
    <x v="1"/>
    <s v="Lahore"/>
    <s v="Officepro"/>
    <x v="4"/>
    <n v="3500"/>
    <n v="4463.43"/>
    <n v="963.43000000000029"/>
    <n v="0.27526571428571439"/>
    <x v="1"/>
    <n v="-4463.43"/>
    <x v="8"/>
  </r>
  <r>
    <s v="FIN-02340"/>
    <d v="2025-03-20T00:00:00"/>
    <x v="0"/>
    <x v="1"/>
    <x v="11"/>
    <x v="4"/>
    <s v="Karachi"/>
    <s v="Techsource"/>
    <x v="1"/>
    <n v="3142.86"/>
    <n v="2104.17"/>
    <n v="-1038.69"/>
    <n v="-0.33049197228002519"/>
    <x v="0"/>
    <n v="-2104.17"/>
    <x v="2"/>
  </r>
  <r>
    <s v="FIN-02341"/>
    <d v="2025-05-03T00:00:00"/>
    <x v="0"/>
    <x v="1"/>
    <x v="8"/>
    <x v="3"/>
    <s v="Islamabad"/>
    <s v="Urban Facilities"/>
    <x v="1"/>
    <n v="2307.69"/>
    <n v="1217.26"/>
    <n v="-1090.43"/>
    <n v="-0.47252013918680585"/>
    <x v="0"/>
    <n v="-1217.26"/>
    <x v="4"/>
  </r>
  <r>
    <s v="FIN-02342"/>
    <d v="2025-08-31T00:00:00"/>
    <x v="0"/>
    <x v="4"/>
    <x v="0"/>
    <x v="0"/>
    <s v="Peshawar"/>
    <s v="Unknown"/>
    <x v="1"/>
    <n v="2285.71"/>
    <n v="6261.52"/>
    <n v="3975.8100000000004"/>
    <n v="1.7394201364127559"/>
    <x v="1"/>
    <n v="-6261.52"/>
    <x v="7"/>
  </r>
  <r>
    <s v="FIN-02343"/>
    <d v="2025-08-28T00:00:00"/>
    <x v="0"/>
    <x v="4"/>
    <x v="9"/>
    <x v="4"/>
    <s v="Lahore"/>
    <s v="Cloudnet"/>
    <x v="2"/>
    <n v="3928.57"/>
    <n v="6937.6"/>
    <n v="3009.03"/>
    <n v="0.76593518761279555"/>
    <x v="1"/>
    <n v="-6937.6"/>
    <x v="7"/>
  </r>
  <r>
    <s v="FIN-02344"/>
    <d v="2026-04-15T00:00:00"/>
    <x v="0"/>
    <x v="2"/>
    <x v="1"/>
    <x v="2"/>
    <s v="Karachi"/>
    <s v="Buildcare"/>
    <x v="2"/>
    <n v="2250"/>
    <n v="237.92"/>
    <n v="-2012.08"/>
    <n v="-0.89425777777777771"/>
    <x v="0"/>
    <n v="-237.92"/>
    <x v="15"/>
  </r>
  <r>
    <s v="FIN-02345"/>
    <d v="2025-07-12T00:00:00"/>
    <x v="1"/>
    <x v="2"/>
    <x v="3"/>
    <x v="2"/>
    <s v="Karachi"/>
    <s v="Prime Supplies"/>
    <x v="1"/>
    <n v="12500"/>
    <n v="12324.68"/>
    <n v="-175.31999999999971"/>
    <n v="-1.4025599999999977E-2"/>
    <x v="0"/>
    <n v="12324.68"/>
    <x v="6"/>
  </r>
  <r>
    <s v="FIN-02346"/>
    <d v="2025-03-06T00:00:00"/>
    <x v="1"/>
    <x v="3"/>
    <x v="2"/>
    <x v="3"/>
    <s v="Karachi"/>
    <s v="Legalworks"/>
    <x v="2"/>
    <n v="11428.57"/>
    <n v="3471.97"/>
    <n v="-7956.6"/>
    <n v="-0.69620258702532345"/>
    <x v="0"/>
    <n v="3471.97"/>
    <x v="2"/>
  </r>
  <r>
    <s v="FIN-02347"/>
    <d v="2026-03-20T00:00:00"/>
    <x v="0"/>
    <x v="5"/>
    <x v="4"/>
    <x v="3"/>
    <s v="Lahore"/>
    <s v="Markethub"/>
    <x v="4"/>
    <n v="4000"/>
    <n v="891.03"/>
    <n v="-3108.9700000000003"/>
    <n v="-0.77724250000000006"/>
    <x v="0"/>
    <n v="-891.03"/>
    <x v="14"/>
  </r>
  <r>
    <s v="FIN-02348"/>
    <d v="2026-06-04T00:00:00"/>
    <x v="1"/>
    <x v="3"/>
    <x v="3"/>
    <x v="0"/>
    <s v="Karachi"/>
    <s v="Adsphere"/>
    <x v="1"/>
    <n v="10000"/>
    <n v="14686.67"/>
    <n v="4686.67"/>
    <n v="0.468667"/>
    <x v="1"/>
    <n v="14686.67"/>
    <x v="13"/>
  </r>
  <r>
    <s v="FIN-02349"/>
    <d v="2026-04-06T00:00:00"/>
    <x v="1"/>
    <x v="3"/>
    <x v="12"/>
    <x v="1"/>
    <s v="Lahore"/>
    <s v="Powergrid"/>
    <x v="2"/>
    <n v="7142.86"/>
    <n v="17665.169999999998"/>
    <n v="10522.309999999998"/>
    <n v="1.4731228107508754"/>
    <x v="1"/>
    <n v="17665.169999999998"/>
    <x v="15"/>
  </r>
  <r>
    <s v="FIN-02350"/>
    <d v="2026-01-23T00:00:00"/>
    <x v="0"/>
    <x v="1"/>
    <x v="9"/>
    <x v="2"/>
    <s v="Peshawar"/>
    <s v="Peoplefirst"/>
    <x v="4"/>
    <n v="7621.43"/>
    <n v="1868.15"/>
    <n v="-5753.2800000000007"/>
    <n v="-0.75488195784780554"/>
    <x v="0"/>
    <n v="-1868.15"/>
    <x v="12"/>
  </r>
  <r>
    <s v="FIN-02351"/>
    <d v="2025-01-15T00:00:00"/>
    <x v="1"/>
    <x v="3"/>
    <x v="3"/>
    <x v="3"/>
    <s v="Faisalabad"/>
    <s v="Cloudnet"/>
    <x v="1"/>
    <n v="11022.73"/>
    <n v="10762.31"/>
    <n v="-260.42000000000007"/>
    <n v="-2.3625726113222414E-2"/>
    <x v="0"/>
    <n v="10762.31"/>
    <x v="0"/>
  </r>
  <r>
    <s v="FIN-02352"/>
    <d v="2026-02-27T00:00:00"/>
    <x v="0"/>
    <x v="1"/>
    <x v="5"/>
    <x v="4"/>
    <s v="Lahore"/>
    <s v="Dataserve"/>
    <x v="2"/>
    <n v="6305"/>
    <n v="11080.43"/>
    <n v="4775.43"/>
    <n v="0.75740364789849335"/>
    <x v="1"/>
    <n v="-11080.43"/>
    <x v="17"/>
  </r>
  <r>
    <s v="FIN-02353"/>
    <d v="2026-04-21T00:00:00"/>
    <x v="1"/>
    <x v="6"/>
    <x v="12"/>
    <x v="3"/>
    <s v="Multan"/>
    <s v="Markethub"/>
    <x v="4"/>
    <n v="7142.86"/>
    <n v="5310.08"/>
    <n v="-1832.7799999999997"/>
    <n v="-0.25658909736436103"/>
    <x v="0"/>
    <n v="5310.08"/>
    <x v="15"/>
  </r>
  <r>
    <s v="FIN-02354"/>
    <d v="2026-05-25T00:00:00"/>
    <x v="0"/>
    <x v="5"/>
    <x v="7"/>
    <x v="2"/>
    <s v="Multan"/>
    <s v="Adsphere"/>
    <x v="2"/>
    <n v="2692.31"/>
    <n v="3430.12"/>
    <n v="737.81"/>
    <n v="0.27404347939130336"/>
    <x v="1"/>
    <n v="-3430.12"/>
    <x v="16"/>
  </r>
  <r>
    <s v="FIN-02355"/>
    <d v="2025-11-04T00:00:00"/>
    <x v="0"/>
    <x v="0"/>
    <x v="6"/>
    <x v="3"/>
    <s v="Karachi"/>
    <s v="Dataserve"/>
    <x v="4"/>
    <n v="9947.3700000000008"/>
    <n v="1985.45"/>
    <n v="-7961.920000000001"/>
    <n v="-0.8004045290363182"/>
    <x v="0"/>
    <n v="-1985.45"/>
    <x v="10"/>
  </r>
  <r>
    <s v="FIN-02356"/>
    <d v="2025-01-06T00:00:00"/>
    <x v="0"/>
    <x v="4"/>
    <x v="1"/>
    <x v="2"/>
    <s v="Multan"/>
    <s v="Markethub"/>
    <x v="2"/>
    <n v="1746"/>
    <n v="578.24"/>
    <n v="-1167.76"/>
    <n v="-0.66882016036655212"/>
    <x v="0"/>
    <n v="-578.24"/>
    <x v="0"/>
  </r>
  <r>
    <s v="FIN-02357"/>
    <d v="2025-05-11T00:00:00"/>
    <x v="1"/>
    <x v="3"/>
    <x v="3"/>
    <x v="3"/>
    <s v="Faisalabad"/>
    <s v="Urban Facilities"/>
    <x v="4"/>
    <n v="9615.3799999999992"/>
    <n v="16186.9"/>
    <n v="6571.52"/>
    <n v="0.68343840805043599"/>
    <x v="1"/>
    <n v="16186.9"/>
    <x v="4"/>
  </r>
  <r>
    <s v="FIN-02358"/>
    <d v="2025-12-11T00:00:00"/>
    <x v="0"/>
    <x v="1"/>
    <x v="6"/>
    <x v="4"/>
    <s v="Peshawar"/>
    <s v="Shipfast"/>
    <x v="2"/>
    <n v="7875"/>
    <n v="13043.27"/>
    <n v="5168.2700000000004"/>
    <n v="0.65628825396825408"/>
    <x v="1"/>
    <n v="-13043.27"/>
    <x v="11"/>
  </r>
  <r>
    <s v="FIN-02359"/>
    <d v="2025-05-29T00:00:00"/>
    <x v="1"/>
    <x v="2"/>
    <x v="3"/>
    <x v="4"/>
    <s v="Karachi"/>
    <s v="Softworks"/>
    <x v="1"/>
    <n v="9615.3799999999992"/>
    <n v="3038.84"/>
    <n v="-6576.5399999999991"/>
    <n v="-0.6839604883010344"/>
    <x v="0"/>
    <n v="3038.84"/>
    <x v="4"/>
  </r>
  <r>
    <s v="FIN-02360"/>
    <d v="2026-01-19T00:00:00"/>
    <x v="0"/>
    <x v="6"/>
    <x v="6"/>
    <x v="4"/>
    <s v="Lahore"/>
    <s v="Markethub"/>
    <x v="4"/>
    <n v="6715.38"/>
    <n v="1730.31"/>
    <n v="-4985.07"/>
    <n v="-0.74233624902834983"/>
    <x v="0"/>
    <n v="-1730.31"/>
    <x v="12"/>
  </r>
  <r>
    <s v="FIN-02361"/>
    <d v="2025-02-19T00:00:00"/>
    <x v="0"/>
    <x v="6"/>
    <x v="1"/>
    <x v="1"/>
    <s v="Lahore"/>
    <s v="Travellink"/>
    <x v="1"/>
    <n v="1940"/>
    <n v="662.12"/>
    <n v="-1277.8800000000001"/>
    <n v="-0.65870103092783516"/>
    <x v="0"/>
    <n v="-662.12"/>
    <x v="1"/>
  </r>
  <r>
    <s v="FIN-02362"/>
    <d v="2025-05-18T00:00:00"/>
    <x v="0"/>
    <x v="6"/>
    <x v="6"/>
    <x v="4"/>
    <s v="Multan"/>
    <s v="Markethub"/>
    <x v="4"/>
    <n v="7200"/>
    <n v="14395.39"/>
    <n v="7195.3899999999994"/>
    <n v="0.99935972222222214"/>
    <x v="1"/>
    <n v="-14395.39"/>
    <x v="4"/>
  </r>
  <r>
    <s v="FIN-02363"/>
    <d v="2025-06-16T00:00:00"/>
    <x v="0"/>
    <x v="6"/>
    <x v="10"/>
    <x v="4"/>
    <s v="Karachi"/>
    <s v="Softworks"/>
    <x v="2"/>
    <n v="6666.67"/>
    <n v="4270"/>
    <n v="-2396.67"/>
    <n v="-0.35950032024983986"/>
    <x v="0"/>
    <n v="-4270"/>
    <x v="5"/>
  </r>
  <r>
    <s v="FIN-02364"/>
    <d v="2025-01-10T00:00:00"/>
    <x v="0"/>
    <x v="2"/>
    <x v="6"/>
    <x v="3"/>
    <s v="Karachi"/>
    <s v="Travellink"/>
    <x v="4"/>
    <n v="7591.3"/>
    <n v="3725.62"/>
    <n v="-3865.6800000000003"/>
    <n v="-0.50922503392040896"/>
    <x v="0"/>
    <n v="-3725.62"/>
    <x v="0"/>
  </r>
  <r>
    <s v="FIN-02365"/>
    <d v="2025-12-20T00:00:00"/>
    <x v="0"/>
    <x v="4"/>
    <x v="8"/>
    <x v="3"/>
    <s v="Karachi"/>
    <s v="Urban Facilities"/>
    <x v="4"/>
    <n v="4500"/>
    <n v="3234.19"/>
    <n v="-1265.81"/>
    <n v="-0.2812911111111111"/>
    <x v="0"/>
    <n v="-3234.19"/>
    <x v="11"/>
  </r>
  <r>
    <s v="FIN-02366"/>
    <d v="2025-03-02T00:00:00"/>
    <x v="1"/>
    <x v="3"/>
    <x v="2"/>
    <x v="4"/>
    <s v="Peshawar"/>
    <s v="Prime Supplies"/>
    <x v="3"/>
    <n v="11428.57"/>
    <n v="1593.95"/>
    <n v="-9834.619999999999"/>
    <n v="-0.86052935756616966"/>
    <x v="0"/>
    <n v="1593.95"/>
    <x v="2"/>
  </r>
  <r>
    <s v="FIN-02367"/>
    <d v="2025-05-16T00:00:00"/>
    <x v="0"/>
    <x v="6"/>
    <x v="0"/>
    <x v="1"/>
    <s v="Faisalabad"/>
    <s v="Softworks"/>
    <x v="3"/>
    <n v="2909.09"/>
    <n v="4258.87"/>
    <n v="1349.7799999999997"/>
    <n v="0.46398701999594366"/>
    <x v="1"/>
    <n v="-4258.87"/>
    <x v="4"/>
  </r>
  <r>
    <s v="FIN-02368"/>
    <d v="2026-06-11T00:00:00"/>
    <x v="0"/>
    <x v="1"/>
    <x v="9"/>
    <x v="4"/>
    <s v="Karachi"/>
    <s v="Officepro"/>
    <x v="3"/>
    <n v="3666.67"/>
    <n v="3653.92"/>
    <n v="-12.75"/>
    <n v="-3.4772695661185763E-3"/>
    <x v="0"/>
    <n v="-3653.92"/>
    <x v="13"/>
  </r>
  <r>
    <s v="FIN-02369"/>
    <d v="2025-05-02T00:00:00"/>
    <x v="0"/>
    <x v="2"/>
    <x v="5"/>
    <x v="1"/>
    <s v="Multan"/>
    <s v="Travellink"/>
    <x v="4"/>
    <n v="4642.8599999999997"/>
    <n v="7619.11"/>
    <n v="2976.25"/>
    <n v="0.6410380670534972"/>
    <x v="1"/>
    <n v="-7619.11"/>
    <x v="4"/>
  </r>
  <r>
    <s v="FIN-02370"/>
    <d v="2025-07-14T00:00:00"/>
    <x v="1"/>
    <x v="6"/>
    <x v="12"/>
    <x v="4"/>
    <s v="Islamabad"/>
    <s v="Prime Supplies"/>
    <x v="4"/>
    <n v="7142.86"/>
    <n v="7939.97"/>
    <n v="797.11000000000058"/>
    <n v="0.11159535536185794"/>
    <x v="1"/>
    <n v="7939.97"/>
    <x v="6"/>
  </r>
  <r>
    <s v="FIN-02371"/>
    <d v="2025-10-08T00:00:00"/>
    <x v="1"/>
    <x v="3"/>
    <x v="2"/>
    <x v="0"/>
    <s v="Faisalabad"/>
    <s v="Adsphere"/>
    <x v="3"/>
    <n v="4705.88"/>
    <n v="3924.38"/>
    <n v="-781.5"/>
    <n v="-0.16606883303441652"/>
    <x v="0"/>
    <n v="3924.38"/>
    <x v="9"/>
  </r>
  <r>
    <s v="FIN-02372"/>
    <d v="2026-03-15T00:00:00"/>
    <x v="1"/>
    <x v="3"/>
    <x v="3"/>
    <x v="4"/>
    <s v="Islamabad"/>
    <s v="Legalworks"/>
    <x v="1"/>
    <n v="11363.64"/>
    <n v="2456.12"/>
    <n v="-8907.52"/>
    <n v="-0.78386150916431718"/>
    <x v="0"/>
    <n v="2456.12"/>
    <x v="14"/>
  </r>
  <r>
    <s v="FIN-02373"/>
    <d v="2026-01-13T00:00:00"/>
    <x v="0"/>
    <x v="0"/>
    <x v="6"/>
    <x v="3"/>
    <s v="Karachi"/>
    <s v="Adsphere"/>
    <x v="1"/>
    <n v="6715.38"/>
    <n v="7972.4"/>
    <n v="1257.0199999999995"/>
    <n v="0.18718523746980803"/>
    <x v="1"/>
    <n v="-7972.4"/>
    <x v="12"/>
  </r>
  <r>
    <s v="FIN-02374"/>
    <d v="2025-05-25T00:00:00"/>
    <x v="0"/>
    <x v="2"/>
    <x v="6"/>
    <x v="4"/>
    <s v="Lahore"/>
    <s v="Dataserve"/>
    <x v="4"/>
    <n v="7200"/>
    <n v="9509.2999999999993"/>
    <n v="2309.2999999999993"/>
    <n v="0.320736111111111"/>
    <x v="1"/>
    <n v="-9509.2999999999993"/>
    <x v="4"/>
  </r>
  <r>
    <s v="FIN-02375"/>
    <d v="2025-06-28T00:00:00"/>
    <x v="0"/>
    <x v="1"/>
    <x v="1"/>
    <x v="2"/>
    <s v="Islamabad"/>
    <s v="Peoplefirst"/>
    <x v="3"/>
    <n v="2000"/>
    <n v="880.68"/>
    <n v="-1119.3200000000002"/>
    <n v="-0.55966000000000005"/>
    <x v="0"/>
    <n v="-880.68"/>
    <x v="5"/>
  </r>
  <r>
    <s v="FIN-02376"/>
    <d v="2025-01-01T00:00:00"/>
    <x v="0"/>
    <x v="2"/>
    <x v="10"/>
    <x v="1"/>
    <s v="Peshawar"/>
    <s v="Techsource"/>
    <x v="3"/>
    <n v="5542.86"/>
    <n v="3417.71"/>
    <n v="-2125.1499999999996"/>
    <n v="-0.38340315288497268"/>
    <x v="0"/>
    <n v="-3417.71"/>
    <x v="0"/>
  </r>
  <r>
    <s v="FIN-02377"/>
    <d v="2025-10-29T00:00:00"/>
    <x v="0"/>
    <x v="0"/>
    <x v="6"/>
    <x v="3"/>
    <s v="Karachi"/>
    <s v="Techsource"/>
    <x v="4"/>
    <n v="7826.09"/>
    <n v="10903.75"/>
    <n v="3077.66"/>
    <n v="0.39325640262251005"/>
    <x v="1"/>
    <n v="-10903.75"/>
    <x v="9"/>
  </r>
  <r>
    <s v="FIN-02378"/>
    <d v="2025-11-11T00:00:00"/>
    <x v="1"/>
    <x v="3"/>
    <x v="3"/>
    <x v="3"/>
    <s v="Islamabad"/>
    <s v="Peoplefirst"/>
    <x v="4"/>
    <n v="13125"/>
    <n v="21507.21"/>
    <n v="8382.2099999999991"/>
    <n v="0.63864457142857134"/>
    <x v="1"/>
    <n v="21507.21"/>
    <x v="10"/>
  </r>
  <r>
    <s v="FIN-02379"/>
    <d v="2025-10-01T00:00:00"/>
    <x v="0"/>
    <x v="4"/>
    <x v="6"/>
    <x v="1"/>
    <s v="Islamabad"/>
    <s v="Dataserve"/>
    <x v="0"/>
    <n v="7826.09"/>
    <n v="1028.17"/>
    <n v="-6797.92"/>
    <n v="-0.8686227733133659"/>
    <x v="0"/>
    <n v="-1028.17"/>
    <x v="9"/>
  </r>
  <r>
    <s v="FIN-02380"/>
    <d v="2026-06-30T00:00:00"/>
    <x v="0"/>
    <x v="0"/>
    <x v="10"/>
    <x v="4"/>
    <s v="Lahore"/>
    <s v="Markethub"/>
    <x v="0"/>
    <n v="3076.92"/>
    <n v="1625.75"/>
    <n v="-1451.17"/>
    <n v="-0.47163072163072162"/>
    <x v="0"/>
    <n v="-1625.75"/>
    <x v="13"/>
  </r>
  <r>
    <s v="FIN-02381"/>
    <d v="2026-04-11T00:00:00"/>
    <x v="1"/>
    <x v="3"/>
    <x v="12"/>
    <x v="1"/>
    <s v="Lahore"/>
    <s v="Shipfast"/>
    <x v="1"/>
    <n v="7142.86"/>
    <n v="5515.31"/>
    <n v="-1627.5499999999993"/>
    <n v="-0.22785690885723636"/>
    <x v="0"/>
    <n v="5515.31"/>
    <x v="15"/>
  </r>
  <r>
    <s v="FIN-02382"/>
    <d v="2025-05-03T00:00:00"/>
    <x v="0"/>
    <x v="4"/>
    <x v="1"/>
    <x v="3"/>
    <s v="Karachi"/>
    <s v="Powergrid"/>
    <x v="3"/>
    <n v="2250"/>
    <n v="1118.32"/>
    <n v="-1131.68"/>
    <n v="-0.50296888888888891"/>
    <x v="0"/>
    <n v="-1118.32"/>
    <x v="4"/>
  </r>
  <r>
    <s v="FIN-02383"/>
    <d v="2025-11-28T00:00:00"/>
    <x v="1"/>
    <x v="3"/>
    <x v="3"/>
    <x v="1"/>
    <s v="Lahore"/>
    <s v="Shipfast"/>
    <x v="2"/>
    <n v="13125"/>
    <n v="11355.07"/>
    <n v="-1769.9300000000003"/>
    <n v="-0.13485180952380954"/>
    <x v="0"/>
    <n v="11355.07"/>
    <x v="10"/>
  </r>
  <r>
    <s v="FIN-02384"/>
    <d v="2025-05-06T00:00:00"/>
    <x v="0"/>
    <x v="1"/>
    <x v="7"/>
    <x v="3"/>
    <s v="Lahore"/>
    <s v="Travellink"/>
    <x v="2"/>
    <n v="3888.89"/>
    <n v="4452.99"/>
    <n v="564.09999999999991"/>
    <n v="0.1450542442702159"/>
    <x v="1"/>
    <n v="-4452.99"/>
    <x v="4"/>
  </r>
  <r>
    <s v="FIN-02385"/>
    <d v="2025-01-24T00:00:00"/>
    <x v="0"/>
    <x v="3"/>
    <x v="6"/>
    <x v="1"/>
    <s v="Karachi"/>
    <s v="Urban Facilities"/>
    <x v="4"/>
    <n v="7591.3"/>
    <n v="8321.74"/>
    <n v="730.4399999999996"/>
    <n v="9.6220673665906975E-2"/>
    <x v="1"/>
    <n v="-8321.74"/>
    <x v="0"/>
  </r>
  <r>
    <s v="FIN-02386"/>
    <d v="2026-02-15T00:00:00"/>
    <x v="1"/>
    <x v="3"/>
    <x v="2"/>
    <x v="2"/>
    <s v="Lahore"/>
    <s v="Shipfast"/>
    <x v="3"/>
    <n v="12933.33"/>
    <n v="6741.31"/>
    <n v="-6192.0199999999995"/>
    <n v="-0.47876455638261761"/>
    <x v="0"/>
    <n v="6741.31"/>
    <x v="17"/>
  </r>
  <r>
    <s v="FIN-02387"/>
    <d v="2025-06-01T00:00:00"/>
    <x v="0"/>
    <x v="6"/>
    <x v="0"/>
    <x v="1"/>
    <s v="Karachi"/>
    <s v="Powergrid"/>
    <x v="4"/>
    <n v="4571.43"/>
    <n v="530.77"/>
    <n v="-4040.6600000000003"/>
    <n v="-0.88389409878309411"/>
    <x v="0"/>
    <n v="-530.77"/>
    <x v="5"/>
  </r>
  <r>
    <s v="FIN-02388"/>
    <d v="2025-10-23T00:00:00"/>
    <x v="0"/>
    <x v="2"/>
    <x v="6"/>
    <x v="2"/>
    <s v="Islamabad"/>
    <s v="Legalworks"/>
    <x v="3"/>
    <n v="7826.09"/>
    <n v="1672.65"/>
    <n v="-6153.4400000000005"/>
    <n v="-0.78627258311621773"/>
    <x v="0"/>
    <n v="-1672.65"/>
    <x v="9"/>
  </r>
  <r>
    <s v="FIN-02389"/>
    <d v="2026-02-08T00:00:00"/>
    <x v="1"/>
    <x v="4"/>
    <x v="12"/>
    <x v="4"/>
    <s v="Karachi"/>
    <s v="Techsource"/>
    <x v="4"/>
    <n v="8083.33"/>
    <n v="15084.71"/>
    <n v="7001.3799999999992"/>
    <n v="0.86615046026823095"/>
    <x v="1"/>
    <n v="15084.71"/>
    <x v="17"/>
  </r>
  <r>
    <s v="FIN-02390"/>
    <d v="2025-03-25T00:00:00"/>
    <x v="0"/>
    <x v="4"/>
    <x v="6"/>
    <x v="2"/>
    <s v="Islamabad"/>
    <s v="Peoplefirst"/>
    <x v="1"/>
    <n v="6000"/>
    <n v="12456.33"/>
    <n v="6456.33"/>
    <n v="1.076055"/>
    <x v="1"/>
    <n v="-12456.33"/>
    <x v="2"/>
  </r>
  <r>
    <s v="FIN-02391"/>
    <d v="2026-04-03T00:00:00"/>
    <x v="1"/>
    <x v="3"/>
    <x v="13"/>
    <x v="1"/>
    <s v="Karachi"/>
    <s v="Powergrid"/>
    <x v="1"/>
    <n v="3333.33"/>
    <n v="723.54"/>
    <n v="-2609.79"/>
    <n v="-0.78293778293778293"/>
    <x v="0"/>
    <n v="723.54"/>
    <x v="15"/>
  </r>
  <r>
    <s v="FIN-02392"/>
    <d v="2025-12-12T00:00:00"/>
    <x v="0"/>
    <x v="1"/>
    <x v="1"/>
    <x v="3"/>
    <s v="Karachi"/>
    <s v="Cloudnet"/>
    <x v="2"/>
    <n v="2100"/>
    <n v="1358"/>
    <n v="-742"/>
    <n v="-0.35333333333333333"/>
    <x v="0"/>
    <n v="-1358"/>
    <x v="11"/>
  </r>
  <r>
    <s v="FIN-02393"/>
    <d v="2025-09-20T00:00:00"/>
    <x v="0"/>
    <x v="0"/>
    <x v="6"/>
    <x v="0"/>
    <s v="Karachi"/>
    <s v="Dataserve"/>
    <x v="0"/>
    <n v="7500"/>
    <n v="12907.74"/>
    <n v="5407.74"/>
    <n v="0.72103200000000001"/>
    <x v="1"/>
    <n v="-12907.74"/>
    <x v="8"/>
  </r>
  <r>
    <s v="FIN-02394"/>
    <d v="2026-06-22T00:00:00"/>
    <x v="0"/>
    <x v="1"/>
    <x v="5"/>
    <x v="4"/>
    <s v="Karachi"/>
    <s v="Markethub"/>
    <x v="2"/>
    <n v="5416.67"/>
    <n v="5915.97"/>
    <n v="499.30000000000018"/>
    <n v="9.2178404813289372E-2"/>
    <x v="1"/>
    <n v="-5915.97"/>
    <x v="13"/>
  </r>
  <r>
    <s v="FIN-02395"/>
    <d v="2025-12-21T00:00:00"/>
    <x v="0"/>
    <x v="1"/>
    <x v="10"/>
    <x v="1"/>
    <s v="Karachi"/>
    <s v="Officepro"/>
    <x v="4"/>
    <n v="8400"/>
    <n v="4076.42"/>
    <n v="-4323.58"/>
    <n v="-0.51471190476190476"/>
    <x v="0"/>
    <n v="-4076.42"/>
    <x v="11"/>
  </r>
  <r>
    <s v="FIN-02396"/>
    <d v="2025-06-10T00:00:00"/>
    <x v="0"/>
    <x v="4"/>
    <x v="9"/>
    <x v="3"/>
    <s v="Multan"/>
    <s v="Legalworks"/>
    <x v="4"/>
    <n v="5500"/>
    <n v="6373.59"/>
    <n v="873.59000000000015"/>
    <n v="0.15883454545454548"/>
    <x v="1"/>
    <n v="-6373.59"/>
    <x v="5"/>
  </r>
  <r>
    <s v="FIN-02397"/>
    <d v="2025-04-06T00:00:00"/>
    <x v="0"/>
    <x v="0"/>
    <x v="8"/>
    <x v="2"/>
    <s v="Multan"/>
    <s v="Dataserve"/>
    <x v="1"/>
    <n v="3750"/>
    <n v="2495.62"/>
    <n v="-1254.3800000000001"/>
    <n v="-0.33450133333333337"/>
    <x v="0"/>
    <n v="-2495.62"/>
    <x v="3"/>
  </r>
  <r>
    <s v="FIN-02398"/>
    <d v="2025-02-15T00:00:00"/>
    <x v="1"/>
    <x v="3"/>
    <x v="2"/>
    <x v="3"/>
    <s v="Karachi"/>
    <s v="Markethub"/>
    <x v="4"/>
    <n v="4850"/>
    <n v="4793.12"/>
    <n v="-56.880000000000109"/>
    <n v="-1.1727835051546414E-2"/>
    <x v="0"/>
    <n v="4793.12"/>
    <x v="1"/>
  </r>
  <r>
    <s v="FIN-02399"/>
    <d v="2025-07-11T00:00:00"/>
    <x v="0"/>
    <x v="1"/>
    <x v="10"/>
    <x v="3"/>
    <s v="Peshawar"/>
    <s v="Prime Supplies"/>
    <x v="4"/>
    <n v="3333.33"/>
    <n v="3914.21"/>
    <n v="580.88000000000011"/>
    <n v="0.17426417426417429"/>
    <x v="1"/>
    <n v="-3914.21"/>
    <x v="6"/>
  </r>
  <r>
    <s v="FIN-02400"/>
    <d v="2026-04-21T00:00:00"/>
    <x v="0"/>
    <x v="5"/>
    <x v="10"/>
    <x v="3"/>
    <s v="Faisalabad"/>
    <s v="Buildcare"/>
    <x v="4"/>
    <n v="6666.67"/>
    <n v="952.85"/>
    <n v="-5713.82"/>
    <n v="-0.85707257146371418"/>
    <x v="0"/>
    <n v="-952.85"/>
    <x v="15"/>
  </r>
  <r>
    <s v="FIN-02401"/>
    <d v="2025-11-30T00:00:00"/>
    <x v="0"/>
    <x v="6"/>
    <x v="9"/>
    <x v="1"/>
    <s v="Karachi"/>
    <s v="Softworks"/>
    <x v="2"/>
    <n v="11550"/>
    <n v="3683.84"/>
    <n v="-7866.16"/>
    <n v="-0.6810528138528138"/>
    <x v="0"/>
    <n v="-3683.84"/>
    <x v="10"/>
  </r>
  <r>
    <s v="FIN-02402"/>
    <d v="2026-02-18T00:00:00"/>
    <x v="0"/>
    <x v="2"/>
    <x v="5"/>
    <x v="3"/>
    <s v="Lahore"/>
    <s v="Powergrid"/>
    <x v="2"/>
    <n v="6305"/>
    <n v="11798.59"/>
    <n v="5493.59"/>
    <n v="0.8713068992862808"/>
    <x v="1"/>
    <n v="-11798.59"/>
    <x v="17"/>
  </r>
  <r>
    <s v="FIN-02403"/>
    <d v="2025-07-27T00:00:00"/>
    <x v="0"/>
    <x v="2"/>
    <x v="10"/>
    <x v="4"/>
    <s v="Karachi"/>
    <s v="Prime Supplies"/>
    <x v="3"/>
    <n v="3333.33"/>
    <n v="1509.17"/>
    <n v="-1824.1599999999999"/>
    <n v="-0.54724854724854721"/>
    <x v="0"/>
    <n v="-1509.17"/>
    <x v="6"/>
  </r>
  <r>
    <s v="FIN-02404"/>
    <d v="2025-05-31T00:00:00"/>
    <x v="0"/>
    <x v="2"/>
    <x v="6"/>
    <x v="4"/>
    <s v="Islamabad"/>
    <s v="Powergrid"/>
    <x v="0"/>
    <n v="7200"/>
    <n v="13665.68"/>
    <n v="6465.68"/>
    <n v="0.8980111111111112"/>
    <x v="1"/>
    <n v="-13665.68"/>
    <x v="4"/>
  </r>
  <r>
    <s v="FIN-02405"/>
    <d v="2026-04-26T00:00:00"/>
    <x v="0"/>
    <x v="3"/>
    <x v="10"/>
    <x v="4"/>
    <s v="Karachi"/>
    <s v="Shipfast"/>
    <x v="3"/>
    <n v="6666.67"/>
    <n v="4122.6400000000003"/>
    <n v="-2544.0299999999997"/>
    <n v="-0.38160430919784538"/>
    <x v="0"/>
    <n v="-4122.6400000000003"/>
    <x v="15"/>
  </r>
  <r>
    <s v="FIN-02406"/>
    <d v="2026-05-04T00:00:00"/>
    <x v="0"/>
    <x v="1"/>
    <x v="5"/>
    <x v="4"/>
    <s v="Karachi"/>
    <s v="Markethub"/>
    <x v="4"/>
    <n v="6500"/>
    <n v="8191.18"/>
    <n v="1691.1800000000003"/>
    <n v="0.26018153846153852"/>
    <x v="1"/>
    <n v="-8191.18"/>
    <x v="16"/>
  </r>
  <r>
    <s v="FIN-02407"/>
    <d v="2026-05-06T00:00:00"/>
    <x v="1"/>
    <x v="3"/>
    <x v="3"/>
    <x v="2"/>
    <s v="Karachi"/>
    <s v="Markethub"/>
    <x v="1"/>
    <n v="10869.57"/>
    <n v="14350.49"/>
    <n v="3480.92"/>
    <n v="0.32024449909242042"/>
    <x v="1"/>
    <n v="14350.49"/>
    <x v="16"/>
  </r>
  <r>
    <s v="FIN-02408"/>
    <d v="2025-10-03T00:00:00"/>
    <x v="0"/>
    <x v="2"/>
    <x v="10"/>
    <x v="3"/>
    <s v="Islamabad"/>
    <s v="Powergrid"/>
    <x v="4"/>
    <n v="3333.33"/>
    <n v="3146.69"/>
    <n v="-186.63999999999987"/>
    <n v="-5.5992055992055957E-2"/>
    <x v="0"/>
    <n v="-3146.69"/>
    <x v="9"/>
  </r>
  <r>
    <s v="FIN-02409"/>
    <d v="2025-05-20T00:00:00"/>
    <x v="0"/>
    <x v="5"/>
    <x v="10"/>
    <x v="4"/>
    <s v="Karachi"/>
    <s v="Officepro"/>
    <x v="1"/>
    <n v="5000"/>
    <n v="3546.36"/>
    <n v="-1453.6399999999999"/>
    <n v="-0.29072799999999999"/>
    <x v="0"/>
    <n v="-3546.36"/>
    <x v="4"/>
  </r>
  <r>
    <s v="FIN-02410"/>
    <d v="2025-06-22T00:00:00"/>
    <x v="1"/>
    <x v="3"/>
    <x v="3"/>
    <x v="2"/>
    <s v="Lahore"/>
    <s v="Softworks"/>
    <x v="3"/>
    <n v="9615.3799999999992"/>
    <n v="963.28"/>
    <n v="-8652.0999999999985"/>
    <n v="-0.89981883191303924"/>
    <x v="0"/>
    <n v="963.28"/>
    <x v="5"/>
  </r>
  <r>
    <s v="FIN-02411"/>
    <d v="2025-12-19T00:00:00"/>
    <x v="0"/>
    <x v="2"/>
    <x v="5"/>
    <x v="1"/>
    <s v="Islamabad"/>
    <s v="Buildcare"/>
    <x v="4"/>
    <n v="5250"/>
    <n v="4758.32"/>
    <n v="-491.68000000000029"/>
    <n v="-9.3653333333333394E-2"/>
    <x v="0"/>
    <n v="-4758.32"/>
    <x v="11"/>
  </r>
  <r>
    <s v="FIN-02412"/>
    <d v="2026-03-29T00:00:00"/>
    <x v="1"/>
    <x v="0"/>
    <x v="3"/>
    <x v="4"/>
    <s v="Karachi"/>
    <s v="Powergrid"/>
    <x v="1"/>
    <n v="11363.64"/>
    <n v="14997.28"/>
    <n v="3633.6400000000012"/>
    <n v="0.31976021767673046"/>
    <x v="1"/>
    <n v="14997.28"/>
    <x v="14"/>
  </r>
  <r>
    <s v="FIN-02413"/>
    <d v="2026-02-07T00:00:00"/>
    <x v="0"/>
    <x v="1"/>
    <x v="1"/>
    <x v="0"/>
    <s v="Multan"/>
    <s v="Cloudnet"/>
    <x v="2"/>
    <n v="2182.5"/>
    <n v="1308.97"/>
    <n v="-873.53"/>
    <n v="-0.40024284077892325"/>
    <x v="0"/>
    <n v="-1308.97"/>
    <x v="17"/>
  </r>
  <r>
    <s v="FIN-02414"/>
    <d v="2026-01-15T00:00:00"/>
    <x v="1"/>
    <x v="3"/>
    <x v="3"/>
    <x v="3"/>
    <s v="Karachi"/>
    <s v="Urban Facilities"/>
    <x v="5"/>
    <n v="11547.62"/>
    <n v="15850.98"/>
    <n v="4303.3599999999988"/>
    <n v="0.3726620723577671"/>
    <x v="1"/>
    <n v="15850.98"/>
    <x v="12"/>
  </r>
  <r>
    <s v="FIN-02415"/>
    <d v="2025-03-18T00:00:00"/>
    <x v="0"/>
    <x v="4"/>
    <x v="4"/>
    <x v="4"/>
    <s v="Islamabad"/>
    <s v="Softworks"/>
    <x v="4"/>
    <n v="4666.67"/>
    <n v="1809.13"/>
    <n v="-2857.54"/>
    <n v="-0.61232956262174099"/>
    <x v="0"/>
    <n v="-1809.13"/>
    <x v="2"/>
  </r>
  <r>
    <s v="FIN-02416"/>
    <d v="2026-01-13T00:00:00"/>
    <x v="0"/>
    <x v="2"/>
    <x v="7"/>
    <x v="4"/>
    <s v="Multan"/>
    <s v="Cloudnet"/>
    <x v="1"/>
    <n v="3395"/>
    <n v="4821.66"/>
    <n v="1426.6599999999999"/>
    <n v="0.42022385861561112"/>
    <x v="1"/>
    <n v="-4821.66"/>
    <x v="12"/>
  </r>
  <r>
    <s v="FIN-02417"/>
    <d v="2025-04-26T00:00:00"/>
    <x v="0"/>
    <x v="6"/>
    <x v="5"/>
    <x v="2"/>
    <s v="Faisalabad"/>
    <s v="Cloudnet"/>
    <x v="1"/>
    <n v="5416.67"/>
    <n v="9397.8799999999992"/>
    <n v="3981.2099999999991"/>
    <n v="0.73499216308174564"/>
    <x v="1"/>
    <n v="-9397.8799999999992"/>
    <x v="3"/>
  </r>
  <r>
    <s v="FIN-02418"/>
    <d v="2025-08-11T00:00:00"/>
    <x v="0"/>
    <x v="0"/>
    <x v="0"/>
    <x v="3"/>
    <s v="Karachi"/>
    <s v="Softworks"/>
    <x v="2"/>
    <n v="2285.71"/>
    <n v="4611.93"/>
    <n v="2326.2200000000003"/>
    <n v="1.0177231582309219"/>
    <x v="1"/>
    <n v="-4611.93"/>
    <x v="7"/>
  </r>
  <r>
    <s v="FIN-02419"/>
    <d v="2025-12-10T00:00:00"/>
    <x v="0"/>
    <x v="3"/>
    <x v="8"/>
    <x v="1"/>
    <s v="Karachi"/>
    <s v="Peoplefirst"/>
    <x v="1"/>
    <n v="4500"/>
    <n v="6598.39"/>
    <n v="2098.3900000000003"/>
    <n v="0.46630888888888894"/>
    <x v="1"/>
    <n v="-6598.39"/>
    <x v="11"/>
  </r>
  <r>
    <s v="FIN-02420"/>
    <d v="2026-05-04T00:00:00"/>
    <x v="1"/>
    <x v="3"/>
    <x v="13"/>
    <x v="4"/>
    <s v="Faisalabad"/>
    <s v="Markethub"/>
    <x v="3"/>
    <n v="5000"/>
    <n v="1225.98"/>
    <n v="-3774.02"/>
    <n v="-0.75480400000000003"/>
    <x v="0"/>
    <n v="1225.98"/>
    <x v="16"/>
  </r>
  <r>
    <s v="FIN-02421"/>
    <d v="2026-01-02T00:00:00"/>
    <x v="0"/>
    <x v="2"/>
    <x v="11"/>
    <x v="0"/>
    <s v="Karachi"/>
    <s v="Dataserve"/>
    <x v="2"/>
    <n v="3556.67"/>
    <n v="552.07000000000005"/>
    <n v="-3004.6"/>
    <n v="-0.84477896459328528"/>
    <x v="0"/>
    <n v="-552.07000000000005"/>
    <x v="12"/>
  </r>
  <r>
    <s v="FIN-02422"/>
    <d v="2026-03-27T00:00:00"/>
    <x v="0"/>
    <x v="1"/>
    <x v="11"/>
    <x v="3"/>
    <s v="Lahore"/>
    <s v="Prime Supplies"/>
    <x v="4"/>
    <n v="1833.33"/>
    <n v="3072.86"/>
    <n v="1239.5300000000002"/>
    <n v="0.67610850201545836"/>
    <x v="1"/>
    <n v="-3072.86"/>
    <x v="14"/>
  </r>
  <r>
    <s v="FIN-02423"/>
    <d v="2025-02-02T00:00:00"/>
    <x v="0"/>
    <x v="1"/>
    <x v="11"/>
    <x v="1"/>
    <s v="Karachi"/>
    <s v="Travellink"/>
    <x v="0"/>
    <n v="5335"/>
    <n v="341.36"/>
    <n v="-4993.6400000000003"/>
    <n v="-0.93601499531396448"/>
    <x v="0"/>
    <n v="-341.36"/>
    <x v="1"/>
  </r>
  <r>
    <s v="FIN-02424"/>
    <d v="2025-04-02T00:00:00"/>
    <x v="0"/>
    <x v="5"/>
    <x v="11"/>
    <x v="2"/>
    <s v="Karachi"/>
    <s v="Techsource"/>
    <x v="1"/>
    <n v="2750"/>
    <n v="1353.52"/>
    <n v="-1396.48"/>
    <n v="-0.50781090909090909"/>
    <x v="0"/>
    <n v="-1353.52"/>
    <x v="3"/>
  </r>
  <r>
    <s v="FIN-02425"/>
    <d v="2025-08-11T00:00:00"/>
    <x v="0"/>
    <x v="0"/>
    <x v="1"/>
    <x v="4"/>
    <s v="Multan"/>
    <s v="Buildcare"/>
    <x v="4"/>
    <n v="3000"/>
    <n v="784.68"/>
    <n v="-2215.3200000000002"/>
    <n v="-0.7384400000000001"/>
    <x v="0"/>
    <n v="-784.68"/>
    <x v="7"/>
  </r>
  <r>
    <s v="FIN-02426"/>
    <d v="2026-01-16T00:00:00"/>
    <x v="0"/>
    <x v="6"/>
    <x v="8"/>
    <x v="1"/>
    <s v="Faisalabad"/>
    <s v="Peoplefirst"/>
    <x v="1"/>
    <n v="3637.5"/>
    <n v="4587.67"/>
    <n v="950.17000000000007"/>
    <n v="0.26121512027491411"/>
    <x v="1"/>
    <n v="-4587.67"/>
    <x v="12"/>
  </r>
  <r>
    <s v="FIN-02427"/>
    <d v="2025-01-17T00:00:00"/>
    <x v="0"/>
    <x v="4"/>
    <x v="8"/>
    <x v="3"/>
    <s v="Karachi"/>
    <s v="Peoplefirst"/>
    <x v="3"/>
    <n v="3637.5"/>
    <n v="3767.7"/>
    <n v="130.19999999999982"/>
    <n v="3.5793814432989637E-2"/>
    <x v="1"/>
    <n v="-3767.7"/>
    <x v="0"/>
  </r>
  <r>
    <s v="FIN-02428"/>
    <d v="2025-01-22T00:00:00"/>
    <x v="1"/>
    <x v="0"/>
    <x v="3"/>
    <x v="1"/>
    <s v="Multan"/>
    <s v="Legalworks"/>
    <x v="2"/>
    <n v="11022.73"/>
    <n v="21708.52"/>
    <n v="10685.79"/>
    <n v="0.96943225498583396"/>
    <x v="1"/>
    <n v="21708.52"/>
    <x v="0"/>
  </r>
  <r>
    <s v="FIN-02429"/>
    <d v="2025-02-02T00:00:00"/>
    <x v="1"/>
    <x v="2"/>
    <x v="2"/>
    <x v="0"/>
    <s v="Karachi"/>
    <s v="Legalworks"/>
    <x v="2"/>
    <n v="4850"/>
    <n v="3106.09"/>
    <n v="-1743.9099999999999"/>
    <n v="-0.35956907216494843"/>
    <x v="0"/>
    <n v="3106.09"/>
    <x v="1"/>
  </r>
  <r>
    <s v="FIN-02430"/>
    <d v="2025-10-17T00:00:00"/>
    <x v="1"/>
    <x v="6"/>
    <x v="2"/>
    <x v="3"/>
    <s v="Karachi"/>
    <s v="Shipfast"/>
    <x v="1"/>
    <n v="4705.88"/>
    <n v="5175.6499999999996"/>
    <n v="469.76999999999953"/>
    <n v="9.9826174913087359E-2"/>
    <x v="1"/>
    <n v="5175.6499999999996"/>
    <x v="9"/>
  </r>
  <r>
    <s v="FIN-02431"/>
    <d v="2026-05-12T00:00:00"/>
    <x v="1"/>
    <x v="4"/>
    <x v="3"/>
    <x v="3"/>
    <s v="Karachi"/>
    <s v="Techsource"/>
    <x v="1"/>
    <n v="10869.57"/>
    <n v="3617.89"/>
    <n v="-7251.68"/>
    <n v="-0.66715426645212283"/>
    <x v="0"/>
    <n v="3617.89"/>
    <x v="16"/>
  </r>
  <r>
    <s v="FIN-02432"/>
    <d v="2025-05-13T00:00:00"/>
    <x v="0"/>
    <x v="3"/>
    <x v="8"/>
    <x v="4"/>
    <s v="Lahore"/>
    <s v="Urban Facilities"/>
    <x v="2"/>
    <n v="2307.69"/>
    <n v="5964.74"/>
    <n v="3657.0499999999997"/>
    <n v="1.5847232513899179"/>
    <x v="1"/>
    <n v="-5964.74"/>
    <x v="4"/>
  </r>
  <r>
    <s v="FIN-02433"/>
    <d v="2025-08-20T00:00:00"/>
    <x v="0"/>
    <x v="2"/>
    <x v="5"/>
    <x v="1"/>
    <s v="Lahore"/>
    <s v="Travellink"/>
    <x v="1"/>
    <n v="10833.33"/>
    <n v="3401.71"/>
    <n v="-7431.62"/>
    <n v="-0.68599590338335492"/>
    <x v="0"/>
    <n v="-3401.71"/>
    <x v="7"/>
  </r>
  <r>
    <s v="FIN-02434"/>
    <d v="2025-07-28T00:00:00"/>
    <x v="0"/>
    <x v="1"/>
    <x v="6"/>
    <x v="2"/>
    <s v="Karachi"/>
    <s v="Officepro"/>
    <x v="0"/>
    <n v="6923.08"/>
    <n v="12515.94"/>
    <n v="5592.8600000000006"/>
    <n v="0.80785719650791277"/>
    <x v="1"/>
    <n v="-12515.94"/>
    <x v="6"/>
  </r>
  <r>
    <s v="FIN-02435"/>
    <d v="2026-01-03T00:00:00"/>
    <x v="1"/>
    <x v="0"/>
    <x v="3"/>
    <x v="3"/>
    <s v="Karachi"/>
    <s v="Buildcare"/>
    <x v="4"/>
    <n v="11547.62"/>
    <n v="17525.88"/>
    <n v="5978.26"/>
    <n v="0.51770494699340641"/>
    <x v="1"/>
    <n v="17525.88"/>
    <x v="12"/>
  </r>
  <r>
    <s v="FIN-02436"/>
    <d v="2025-12-13T00:00:00"/>
    <x v="1"/>
    <x v="0"/>
    <x v="13"/>
    <x v="0"/>
    <s v="Islamabad"/>
    <s v="Softworks"/>
    <x v="3"/>
    <n v="3500"/>
    <n v="1658.03"/>
    <n v="-1841.97"/>
    <n v="-0.52627714285714289"/>
    <x v="0"/>
    <n v="1658.03"/>
    <x v="11"/>
  </r>
  <r>
    <s v="FIN-02437"/>
    <d v="2025-10-26T00:00:00"/>
    <x v="0"/>
    <x v="1"/>
    <x v="4"/>
    <x v="2"/>
    <s v="Peshawar"/>
    <s v="Adsphere"/>
    <x v="4"/>
    <n v="3500"/>
    <n v="1104.3699999999999"/>
    <n v="-2395.63"/>
    <n v="-0.68446571428571434"/>
    <x v="0"/>
    <n v="-1104.3699999999999"/>
    <x v="9"/>
  </r>
  <r>
    <s v="FIN-02438"/>
    <d v="2025-06-21T00:00:00"/>
    <x v="0"/>
    <x v="1"/>
    <x v="6"/>
    <x v="4"/>
    <s v="Lahore"/>
    <s v="Techsource"/>
    <x v="2"/>
    <n v="6428.57"/>
    <n v="16562.77"/>
    <n v="10134.200000000001"/>
    <n v="1.5764314614292139"/>
    <x v="1"/>
    <n v="-16562.77"/>
    <x v="5"/>
  </r>
  <r>
    <s v="FIN-02439"/>
    <d v="2025-03-01T00:00:00"/>
    <x v="0"/>
    <x v="6"/>
    <x v="5"/>
    <x v="3"/>
    <s v="Karachi"/>
    <s v="Prime Supplies"/>
    <x v="4"/>
    <n v="5000"/>
    <n v="4430.91"/>
    <n v="-569.09000000000015"/>
    <n v="-0.11381800000000003"/>
    <x v="0"/>
    <n v="-4430.91"/>
    <x v="2"/>
  </r>
  <r>
    <s v="FIN-02440"/>
    <d v="2026-06-01T00:00:00"/>
    <x v="0"/>
    <x v="2"/>
    <x v="6"/>
    <x v="4"/>
    <s v="Peshawar"/>
    <s v="Buildcare"/>
    <x v="4"/>
    <n v="8571.43"/>
    <n v="926.25"/>
    <n v="-7645.18"/>
    <n v="-0.89193751801041365"/>
    <x v="0"/>
    <n v="-926.25"/>
    <x v="13"/>
  </r>
  <r>
    <s v="FIN-02441"/>
    <d v="2026-03-26T00:00:00"/>
    <x v="0"/>
    <x v="5"/>
    <x v="6"/>
    <x v="1"/>
    <s v="Karachi"/>
    <s v="Adsphere"/>
    <x v="3"/>
    <n v="7200"/>
    <n v="14639.16"/>
    <n v="7439.16"/>
    <n v="1.0332166666666667"/>
    <x v="1"/>
    <n v="-14639.16"/>
    <x v="14"/>
  </r>
  <r>
    <s v="FIN-02442"/>
    <d v="2026-03-17T00:00:00"/>
    <x v="0"/>
    <x v="1"/>
    <x v="9"/>
    <x v="1"/>
    <s v="Peshawar"/>
    <s v="Peoplefirst"/>
    <x v="2"/>
    <n v="5000"/>
    <n v="5165.37"/>
    <n v="165.36999999999989"/>
    <n v="3.3073999999999978E-2"/>
    <x v="1"/>
    <n v="-5165.37"/>
    <x v="14"/>
  </r>
  <r>
    <s v="FIN-02443"/>
    <d v="2025-07-10T00:00:00"/>
    <x v="1"/>
    <x v="4"/>
    <x v="3"/>
    <x v="1"/>
    <s v="Islamabad"/>
    <s v="Softworks"/>
    <x v="3"/>
    <n v="12500"/>
    <n v="1249.02"/>
    <n v="-11250.98"/>
    <n v="-0.90007839999999995"/>
    <x v="0"/>
    <n v="1249.02"/>
    <x v="6"/>
  </r>
  <r>
    <s v="FIN-02444"/>
    <d v="2025-03-10T00:00:00"/>
    <x v="0"/>
    <x v="5"/>
    <x v="11"/>
    <x v="4"/>
    <s v="Faisalabad"/>
    <s v="Adsphere"/>
    <x v="1"/>
    <n v="3142.86"/>
    <n v="2356.85"/>
    <n v="-786.01000000000022"/>
    <n v="-0.25009386355103319"/>
    <x v="0"/>
    <n v="-2356.85"/>
    <x v="2"/>
  </r>
  <r>
    <s v="FIN-02445"/>
    <d v="2025-04-30T00:00:00"/>
    <x v="1"/>
    <x v="3"/>
    <x v="3"/>
    <x v="0"/>
    <s v="Faisalabad"/>
    <s v="Shipfast"/>
    <x v="1"/>
    <n v="11363.64"/>
    <n v="751.92"/>
    <n v="-10611.72"/>
    <n v="-0.93383106117406045"/>
    <x v="0"/>
    <n v="751.92"/>
    <x v="3"/>
  </r>
  <r>
    <s v="FIN-02446"/>
    <d v="2025-06-05T00:00:00"/>
    <x v="0"/>
    <x v="5"/>
    <x v="6"/>
    <x v="3"/>
    <s v="Peshawar"/>
    <s v="Techsource"/>
    <x v="1"/>
    <n v="6428.57"/>
    <n v="2645.51"/>
    <n v="-3783.0599999999995"/>
    <n v="-0.5884761307724734"/>
    <x v="0"/>
    <n v="-2645.51"/>
    <x v="5"/>
  </r>
  <r>
    <s v="FIN-02447"/>
    <d v="2025-01-11T00:00:00"/>
    <x v="0"/>
    <x v="1"/>
    <x v="10"/>
    <x v="3"/>
    <s v="Multan"/>
    <s v="Urban Facilities"/>
    <x v="1"/>
    <n v="5542.86"/>
    <n v="5163.42"/>
    <n v="-379.4399999999996"/>
    <n v="-6.8455634816683014E-2"/>
    <x v="0"/>
    <n v="-5163.42"/>
    <x v="0"/>
  </r>
  <r>
    <s v="FIN-02448"/>
    <d v="2025-04-20T00:00:00"/>
    <x v="0"/>
    <x v="2"/>
    <x v="6"/>
    <x v="2"/>
    <s v="Karachi"/>
    <s v="Softworks"/>
    <x v="1"/>
    <n v="13846.15"/>
    <n v="4517.04"/>
    <n v="-9329.11"/>
    <n v="-0.67376924271367855"/>
    <x v="0"/>
    <n v="-4517.04"/>
    <x v="3"/>
  </r>
  <r>
    <s v="FIN-02449"/>
    <d v="2025-09-30T00:00:00"/>
    <x v="0"/>
    <x v="2"/>
    <x v="6"/>
    <x v="2"/>
    <s v="Karachi"/>
    <s v="Powergrid"/>
    <x v="2"/>
    <n v="7500"/>
    <n v="6254.95"/>
    <n v="-1245.0500000000002"/>
    <n v="-0.16600666666666669"/>
    <x v="0"/>
    <n v="-6254.95"/>
    <x v="8"/>
  </r>
  <r>
    <s v="FIN-02450"/>
    <d v="2026-05-29T00:00:00"/>
    <x v="1"/>
    <x v="0"/>
    <x v="12"/>
    <x v="4"/>
    <s v="Lahore"/>
    <s v="Powergrid"/>
    <x v="4"/>
    <n v="5882.35"/>
    <n v="8494.16"/>
    <n v="2611.8099999999995"/>
    <n v="0.44400792200396089"/>
    <x v="1"/>
    <n v="8494.16"/>
    <x v="16"/>
  </r>
  <r>
    <s v="FIN-02451"/>
    <d v="2026-03-25T00:00:00"/>
    <x v="0"/>
    <x v="6"/>
    <x v="10"/>
    <x v="3"/>
    <s v="Peshawar"/>
    <s v="Buildcare"/>
    <x v="2"/>
    <n v="5000"/>
    <n v="547.82000000000005"/>
    <n v="-4452.18"/>
    <n v="-0.89043600000000001"/>
    <x v="0"/>
    <n v="-547.82000000000005"/>
    <x v="14"/>
  </r>
  <r>
    <s v="FIN-02452"/>
    <d v="2025-11-06T00:00:00"/>
    <x v="1"/>
    <x v="0"/>
    <x v="3"/>
    <x v="2"/>
    <s v="Karachi"/>
    <s v="Cloudnet"/>
    <x v="1"/>
    <n v="13125"/>
    <n v="12455.35"/>
    <n v="-669.64999999999964"/>
    <n v="-5.1020952380952354E-2"/>
    <x v="0"/>
    <n v="12455.35"/>
    <x v="10"/>
  </r>
  <r>
    <s v="FIN-02453"/>
    <d v="2025-12-07T00:00:00"/>
    <x v="0"/>
    <x v="0"/>
    <x v="6"/>
    <x v="1"/>
    <s v="Faisalabad"/>
    <s v="Prime Supplies"/>
    <x v="1"/>
    <n v="7875"/>
    <n v="11729.82"/>
    <n v="3854.8199999999997"/>
    <n v="0.48950095238095237"/>
    <x v="1"/>
    <n v="-11729.82"/>
    <x v="11"/>
  </r>
  <r>
    <s v="FIN-02454"/>
    <d v="2025-09-24T00:00:00"/>
    <x v="1"/>
    <x v="1"/>
    <x v="12"/>
    <x v="1"/>
    <s v="Islamabad"/>
    <s v="Techsource"/>
    <x v="2"/>
    <n v="7142.86"/>
    <n v="6294.34"/>
    <n v="-848.51999999999953"/>
    <n v="-0.11879275248289894"/>
    <x v="0"/>
    <n v="6294.34"/>
    <x v="8"/>
  </r>
  <r>
    <s v="FIN-02455"/>
    <d v="2025-04-10T00:00:00"/>
    <x v="1"/>
    <x v="0"/>
    <x v="2"/>
    <x v="0"/>
    <s v="Karachi"/>
    <s v="Legalworks"/>
    <x v="3"/>
    <n v="10000"/>
    <n v="5687.67"/>
    <n v="-4312.33"/>
    <n v="-0.43123299999999998"/>
    <x v="0"/>
    <n v="5687.67"/>
    <x v="3"/>
  </r>
  <r>
    <s v="FIN-02456"/>
    <d v="2025-06-13T00:00:00"/>
    <x v="0"/>
    <x v="4"/>
    <x v="6"/>
    <x v="3"/>
    <s v="Multan"/>
    <s v="Cloudnet"/>
    <x v="4"/>
    <n v="6428.57"/>
    <n v="1418.4"/>
    <n v="-5010.17"/>
    <n v="-0.779359950968878"/>
    <x v="0"/>
    <n v="-1418.4"/>
    <x v="5"/>
  </r>
  <r>
    <s v="FIN-02457"/>
    <d v="2025-04-16T00:00:00"/>
    <x v="1"/>
    <x v="3"/>
    <x v="3"/>
    <x v="0"/>
    <s v="Lahore"/>
    <s v="Buildcare"/>
    <x v="3"/>
    <n v="11363.64"/>
    <n v="14525.32"/>
    <n v="3161.6800000000003"/>
    <n v="0.27822775096711971"/>
    <x v="1"/>
    <n v="14525.32"/>
    <x v="3"/>
  </r>
  <r>
    <s v="FIN-02458"/>
    <d v="2026-04-12T00:00:00"/>
    <x v="1"/>
    <x v="3"/>
    <x v="3"/>
    <x v="0"/>
    <s v="Lahore"/>
    <s v="Markethub"/>
    <x v="4"/>
    <n v="8333.33"/>
    <n v="11242.37"/>
    <n v="2909.0400000000009"/>
    <n v="0.34908493963397597"/>
    <x v="1"/>
    <n v="11242.37"/>
    <x v="15"/>
  </r>
  <r>
    <s v="FIN-02459"/>
    <d v="2025-09-16T00:00:00"/>
    <x v="1"/>
    <x v="3"/>
    <x v="13"/>
    <x v="4"/>
    <s v="Karachi"/>
    <s v="Cloudnet"/>
    <x v="4"/>
    <n v="3333.33"/>
    <n v="3683.79"/>
    <n v="350.46000000000004"/>
    <n v="0.10513810513810515"/>
    <x v="1"/>
    <n v="3683.79"/>
    <x v="8"/>
  </r>
  <r>
    <s v="FIN-02460"/>
    <d v="2025-09-16T00:00:00"/>
    <x v="1"/>
    <x v="3"/>
    <x v="12"/>
    <x v="3"/>
    <s v="Islamabad"/>
    <s v="Prime Supplies"/>
    <x v="1"/>
    <n v="7142.86"/>
    <n v="11224.74"/>
    <n v="4081.88"/>
    <n v="0.5714629714148115"/>
    <x v="1"/>
    <n v="11224.74"/>
    <x v="8"/>
  </r>
  <r>
    <s v="FIN-02461"/>
    <d v="2025-09-28T00:00:00"/>
    <x v="0"/>
    <x v="2"/>
    <x v="7"/>
    <x v="4"/>
    <s v="Lahore"/>
    <s v="Adsphere"/>
    <x v="4"/>
    <n v="3500"/>
    <n v="2125.31"/>
    <n v="-1374.69"/>
    <n v="-0.39276857142857147"/>
    <x v="0"/>
    <n v="-2125.31"/>
    <x v="8"/>
  </r>
  <r>
    <s v="FIN-02462"/>
    <d v="2026-04-04T00:00:00"/>
    <x v="0"/>
    <x v="1"/>
    <x v="11"/>
    <x v="3"/>
    <s v="Faisalabad"/>
    <s v="Officepro"/>
    <x v="1"/>
    <n v="2750"/>
    <n v="2872.1"/>
    <n v="122.09999999999991"/>
    <n v="4.4399999999999967E-2"/>
    <x v="1"/>
    <n v="-2872.1"/>
    <x v="15"/>
  </r>
  <r>
    <s v="FIN-02463"/>
    <d v="2025-09-24T00:00:00"/>
    <x v="1"/>
    <x v="2"/>
    <x v="3"/>
    <x v="3"/>
    <s v="Islamabad"/>
    <s v="Markethub"/>
    <x v="1"/>
    <n v="11904.76"/>
    <n v="5136.72"/>
    <n v="-6768.04"/>
    <n v="-0.56851545096247214"/>
    <x v="0"/>
    <n v="5136.72"/>
    <x v="8"/>
  </r>
  <r>
    <s v="FIN-02464"/>
    <d v="2026-03-20T00:00:00"/>
    <x v="0"/>
    <x v="1"/>
    <x v="5"/>
    <x v="1"/>
    <s v="Karachi"/>
    <s v="Travellink"/>
    <x v="1"/>
    <n v="6500"/>
    <n v="5639.21"/>
    <n v="-860.79"/>
    <n v="-0.13242923076923077"/>
    <x v="0"/>
    <n v="-5639.21"/>
    <x v="14"/>
  </r>
  <r>
    <s v="FIN-02465"/>
    <d v="2025-04-02T00:00:00"/>
    <x v="1"/>
    <x v="3"/>
    <x v="3"/>
    <x v="0"/>
    <s v="Peshawar"/>
    <s v="Peoplefirst"/>
    <x v="4"/>
    <n v="11363.64"/>
    <n v="20766.68"/>
    <n v="9403.0400000000009"/>
    <n v="0.82746725521047848"/>
    <x v="1"/>
    <n v="20766.68"/>
    <x v="3"/>
  </r>
  <r>
    <s v="FIN-02466"/>
    <d v="2026-06-19T00:00:00"/>
    <x v="0"/>
    <x v="2"/>
    <x v="9"/>
    <x v="3"/>
    <s v="Islamabad"/>
    <s v="Buildcare"/>
    <x v="4"/>
    <n v="3666.67"/>
    <n v="2364.29"/>
    <n v="-1302.3800000000001"/>
    <n v="-0.35519422255070682"/>
    <x v="0"/>
    <n v="-2364.29"/>
    <x v="13"/>
  </r>
  <r>
    <s v="FIN-02467"/>
    <d v="2026-06-21T00:00:00"/>
    <x v="0"/>
    <x v="2"/>
    <x v="11"/>
    <x v="0"/>
    <s v="Islamabad"/>
    <s v="Techsource"/>
    <x v="3"/>
    <n v="3142.86"/>
    <n v="1395.66"/>
    <n v="-1747.2"/>
    <n v="-0.55592676733930246"/>
    <x v="0"/>
    <n v="-1395.66"/>
    <x v="13"/>
  </r>
  <r>
    <s v="FIN-02468"/>
    <d v="2026-06-09T00:00:00"/>
    <x v="0"/>
    <x v="2"/>
    <x v="9"/>
    <x v="1"/>
    <s v="Karachi"/>
    <s v="Peoplefirst"/>
    <x v="5"/>
    <n v="3666.67"/>
    <n v="3577.66"/>
    <n v="-89.010000000000218"/>
    <n v="-2.4275432476879626E-2"/>
    <x v="0"/>
    <n v="-3577.66"/>
    <x v="13"/>
  </r>
  <r>
    <s v="FIN-02469"/>
    <d v="2025-10-29T00:00:00"/>
    <x v="0"/>
    <x v="2"/>
    <x v="11"/>
    <x v="1"/>
    <s v="Karachi"/>
    <s v="Cloudnet"/>
    <x v="0"/>
    <n v="5500"/>
    <n v="1249.53"/>
    <n v="-4250.47"/>
    <n v="-0.77281272727272732"/>
    <x v="0"/>
    <n v="-1249.53"/>
    <x v="9"/>
  </r>
  <r>
    <s v="FIN-02470"/>
    <d v="2025-01-13T00:00:00"/>
    <x v="0"/>
    <x v="6"/>
    <x v="1"/>
    <x v="4"/>
    <s v="Islamabad"/>
    <s v="Cloudnet"/>
    <x v="3"/>
    <n v="1746"/>
    <n v="261.7"/>
    <n v="-1484.3"/>
    <n v="-0.85011454753722793"/>
    <x v="0"/>
    <n v="-261.7"/>
    <x v="0"/>
  </r>
  <r>
    <s v="FIN-02471"/>
    <d v="2025-10-28T00:00:00"/>
    <x v="0"/>
    <x v="1"/>
    <x v="7"/>
    <x v="0"/>
    <s v="Karachi"/>
    <s v="Softworks"/>
    <x v="4"/>
    <n v="3500"/>
    <n v="2180.98"/>
    <n v="-1319.02"/>
    <n v="-0.37686285714285711"/>
    <x v="0"/>
    <n v="-2180.98"/>
    <x v="9"/>
  </r>
  <r>
    <s v="FIN-02472"/>
    <d v="2025-08-09T00:00:00"/>
    <x v="1"/>
    <x v="7"/>
    <x v="3"/>
    <x v="3"/>
    <s v="Karachi"/>
    <s v="Softworks"/>
    <x v="1"/>
    <n v="10416.67"/>
    <n v="12997.79"/>
    <n v="2581.1200000000008"/>
    <n v="0.24778744070801906"/>
    <x v="1"/>
    <n v="12997.79"/>
    <x v="7"/>
  </r>
  <r>
    <s v="FIN-02473"/>
    <d v="2026-04-13T00:00:00"/>
    <x v="1"/>
    <x v="3"/>
    <x v="3"/>
    <x v="3"/>
    <s v="Karachi"/>
    <s v="Powergrid"/>
    <x v="1"/>
    <n v="8333.33"/>
    <n v="21237.47"/>
    <n v="12904.140000000001"/>
    <n v="1.548497419398968"/>
    <x v="1"/>
    <n v="21237.47"/>
    <x v="15"/>
  </r>
  <r>
    <s v="FIN-02474"/>
    <d v="2025-08-15T00:00:00"/>
    <x v="1"/>
    <x v="1"/>
    <x v="3"/>
    <x v="3"/>
    <s v="Karachi"/>
    <s v="Officepro"/>
    <x v="3"/>
    <n v="10416.67"/>
    <n v="18680.650000000001"/>
    <n v="8263.9800000000014"/>
    <n v="0.79334182613061577"/>
    <x v="1"/>
    <n v="18680.650000000001"/>
    <x v="7"/>
  </r>
  <r>
    <s v="FIN-02475"/>
    <d v="2025-01-03T00:00:00"/>
    <x v="1"/>
    <x v="3"/>
    <x v="2"/>
    <x v="4"/>
    <s v="Islamabad"/>
    <s v="Urban Facilities"/>
    <x v="1"/>
    <n v="11085.71"/>
    <n v="5640.12"/>
    <n v="-5445.5899999999992"/>
    <n v="-0.49122609196884998"/>
    <x v="0"/>
    <n v="5640.12"/>
    <x v="0"/>
  </r>
  <r>
    <s v="FIN-02476"/>
    <d v="2025-05-20T00:00:00"/>
    <x v="0"/>
    <x v="0"/>
    <x v="11"/>
    <x v="3"/>
    <s v="Karachi"/>
    <s v="Shipfast"/>
    <x v="3"/>
    <n v="5500"/>
    <n v="462.31"/>
    <n v="-5037.6899999999996"/>
    <n v="-0.91594363636363629"/>
    <x v="0"/>
    <n v="-462.31"/>
    <x v="4"/>
  </r>
  <r>
    <s v="FIN-02477"/>
    <d v="2025-12-07T00:00:00"/>
    <x v="0"/>
    <x v="1"/>
    <x v="1"/>
    <x v="4"/>
    <s v="Islamabad"/>
    <s v="Officepro"/>
    <x v="1"/>
    <n v="2100"/>
    <n v="1153.92"/>
    <n v="-946.07999999999993"/>
    <n v="-0.4505142857142857"/>
    <x v="0"/>
    <n v="-1153.92"/>
    <x v="11"/>
  </r>
  <r>
    <s v="FIN-02478"/>
    <d v="2025-11-20T00:00:00"/>
    <x v="0"/>
    <x v="1"/>
    <x v="8"/>
    <x v="4"/>
    <s v="Karachi"/>
    <s v="Powergrid"/>
    <x v="2"/>
    <n v="7875"/>
    <n v="7432.51"/>
    <n v="-442.48999999999978"/>
    <n v="-5.6189206349206322E-2"/>
    <x v="0"/>
    <n v="-7432.51"/>
    <x v="10"/>
  </r>
  <r>
    <s v="FIN-02479"/>
    <d v="2026-06-15T00:00:00"/>
    <x v="0"/>
    <x v="7"/>
    <x v="10"/>
    <x v="0"/>
    <s v="Islamabad"/>
    <s v="Powergrid"/>
    <x v="2"/>
    <n v="3076.92"/>
    <n v="2342.91"/>
    <n v="-734.01000000000022"/>
    <n v="-0.23855348855348862"/>
    <x v="0"/>
    <n v="-2342.91"/>
    <x v="13"/>
  </r>
  <r>
    <s v="FIN-02480"/>
    <d v="2026-06-30T00:00:00"/>
    <x v="1"/>
    <x v="6"/>
    <x v="2"/>
    <x v="3"/>
    <s v="Lahore"/>
    <s v="Peoplefirst"/>
    <x v="4"/>
    <n v="7272.73"/>
    <n v="7475.59"/>
    <n v="202.86000000000058"/>
    <n v="2.7893239540035253E-2"/>
    <x v="1"/>
    <n v="7475.59"/>
    <x v="13"/>
  </r>
  <r>
    <s v="FIN-02481"/>
    <d v="2025-05-08T00:00:00"/>
    <x v="0"/>
    <x v="6"/>
    <x v="10"/>
    <x v="2"/>
    <s v="Multan"/>
    <s v="Powergrid"/>
    <x v="3"/>
    <n v="5000"/>
    <n v="5737.25"/>
    <n v="737.25"/>
    <n v="0.14745"/>
    <x v="1"/>
    <n v="-5737.25"/>
    <x v="4"/>
  </r>
  <r>
    <s v="FIN-02482"/>
    <d v="2025-06-13T00:00:00"/>
    <x v="0"/>
    <x v="1"/>
    <x v="11"/>
    <x v="1"/>
    <s v="Karachi"/>
    <s v="Markethub"/>
    <x v="1"/>
    <n v="3666.67"/>
    <n v="1689.65"/>
    <n v="-1977.02"/>
    <n v="-0.53918678255747043"/>
    <x v="0"/>
    <n v="-1689.65"/>
    <x v="5"/>
  </r>
  <r>
    <s v="FIN-02483"/>
    <d v="2025-11-19T00:00:00"/>
    <x v="0"/>
    <x v="2"/>
    <x v="0"/>
    <x v="3"/>
    <s v="Multan"/>
    <s v="Markethub"/>
    <x v="2"/>
    <n v="5600"/>
    <n v="534.08000000000004"/>
    <n v="-5065.92"/>
    <n v="-0.90462857142857145"/>
    <x v="0"/>
    <n v="-534.08000000000004"/>
    <x v="10"/>
  </r>
  <r>
    <s v="FIN-02484"/>
    <d v="2025-10-30T00:00:00"/>
    <x v="0"/>
    <x v="2"/>
    <x v="0"/>
    <x v="3"/>
    <s v="Karachi"/>
    <s v="Dataserve"/>
    <x v="3"/>
    <n v="2666.67"/>
    <n v="6460.01"/>
    <n v="3793.34"/>
    <n v="1.4225007218740977"/>
    <x v="1"/>
    <n v="-6460.01"/>
    <x v="9"/>
  </r>
  <r>
    <s v="FIN-02485"/>
    <d v="2025-04-06T00:00:00"/>
    <x v="1"/>
    <x v="6"/>
    <x v="3"/>
    <x v="3"/>
    <s v="Karachi"/>
    <s v="Softworks"/>
    <x v="3"/>
    <n v="11363.64"/>
    <n v="23830.74"/>
    <n v="12467.100000000002"/>
    <n v="1.0971044489265767"/>
    <x v="1"/>
    <n v="23830.74"/>
    <x v="3"/>
  </r>
  <r>
    <s v="FIN-02486"/>
    <d v="2026-02-20T00:00:00"/>
    <x v="1"/>
    <x v="4"/>
    <x v="3"/>
    <x v="4"/>
    <s v="Karachi"/>
    <s v="Officepro"/>
    <x v="3"/>
    <n v="12125"/>
    <n v="8305.31"/>
    <n v="-3819.6900000000005"/>
    <n v="-0.31502597938144333"/>
    <x v="0"/>
    <n v="8305.31"/>
    <x v="17"/>
  </r>
  <r>
    <s v="FIN-02487"/>
    <d v="2026-02-15T00:00:00"/>
    <x v="1"/>
    <x v="6"/>
    <x v="12"/>
    <x v="3"/>
    <s v="Islamabad"/>
    <s v="Powergrid"/>
    <x v="2"/>
    <n v="8083.33"/>
    <n v="15027.47"/>
    <n v="6944.1399999999994"/>
    <n v="0.85906922023472998"/>
    <x v="1"/>
    <n v="15027.47"/>
    <x v="17"/>
  </r>
  <r>
    <s v="FIN-02488"/>
    <d v="2025-03-16T00:00:00"/>
    <x v="0"/>
    <x v="2"/>
    <x v="6"/>
    <x v="2"/>
    <s v="Peshawar"/>
    <s v="Markethub"/>
    <x v="1"/>
    <n v="6000"/>
    <n v="6300.82"/>
    <n v="300.81999999999971"/>
    <n v="5.0136666666666621E-2"/>
    <x v="1"/>
    <n v="-6300.82"/>
    <x v="2"/>
  </r>
  <r>
    <s v="FIN-02489"/>
    <d v="2026-02-22T00:00:00"/>
    <x v="0"/>
    <x v="2"/>
    <x v="11"/>
    <x v="2"/>
    <s v="Karachi"/>
    <s v="Shipfast"/>
    <x v="4"/>
    <n v="2667.5"/>
    <n v="3848.73"/>
    <n v="1181.23"/>
    <n v="0.44282286785379571"/>
    <x v="1"/>
    <n v="-3848.73"/>
    <x v="17"/>
  </r>
  <r>
    <s v="FIN-02490"/>
    <d v="2025-12-31T00:00:00"/>
    <x v="0"/>
    <x v="1"/>
    <x v="6"/>
    <x v="0"/>
    <s v="Karachi"/>
    <s v="Cloudnet"/>
    <x v="2"/>
    <n v="7875"/>
    <n v="1422.14"/>
    <n v="-6452.86"/>
    <n v="-0.81941079365079361"/>
    <x v="0"/>
    <n v="-1422.14"/>
    <x v="11"/>
  </r>
  <r>
    <s v="FIN-02491"/>
    <d v="2026-01-16T00:00:00"/>
    <x v="0"/>
    <x v="6"/>
    <x v="0"/>
    <x v="3"/>
    <s v="Islamabad"/>
    <s v="Officepro"/>
    <x v="3"/>
    <n v="3104"/>
    <n v="396.5"/>
    <n v="-2707.5"/>
    <n v="-0.87226159793814428"/>
    <x v="0"/>
    <n v="-396.5"/>
    <x v="12"/>
  </r>
  <r>
    <s v="FIN-02492"/>
    <d v="2026-06-04T00:00:00"/>
    <x v="0"/>
    <x v="6"/>
    <x v="10"/>
    <x v="4"/>
    <s v="Islamabad"/>
    <s v="Peoplefirst"/>
    <x v="2"/>
    <n v="3076.92"/>
    <n v="687.03"/>
    <n v="-2389.8900000000003"/>
    <n v="-0.77671502671502679"/>
    <x v="0"/>
    <n v="-687.03"/>
    <x v="13"/>
  </r>
  <r>
    <s v="FIN-02493"/>
    <d v="2025-04-08T00:00:00"/>
    <x v="1"/>
    <x v="3"/>
    <x v="3"/>
    <x v="3"/>
    <s v="Karachi"/>
    <s v="Buildcare"/>
    <x v="4"/>
    <n v="11363.64"/>
    <n v="24916.25"/>
    <n v="13552.61"/>
    <n v="1.1926292983586246"/>
    <x v="1"/>
    <n v="24916.25"/>
    <x v="3"/>
  </r>
  <r>
    <s v="FIN-02494"/>
    <d v="2025-03-06T00:00:00"/>
    <x v="0"/>
    <x v="3"/>
    <x v="5"/>
    <x v="0"/>
    <s v="Faisalabad"/>
    <s v="Techsource"/>
    <x v="3"/>
    <n v="5000"/>
    <n v="5687.44"/>
    <n v="687.4399999999996"/>
    <n v="0.13748799999999992"/>
    <x v="1"/>
    <n v="-5687.44"/>
    <x v="2"/>
  </r>
  <r>
    <s v="FIN-02495"/>
    <d v="2025-03-05T00:00:00"/>
    <x v="0"/>
    <x v="1"/>
    <x v="5"/>
    <x v="4"/>
    <s v="Karachi"/>
    <s v="Legalworks"/>
    <x v="2"/>
    <n v="5000"/>
    <n v="3180.06"/>
    <n v="-1819.94"/>
    <n v="-0.36398800000000003"/>
    <x v="0"/>
    <n v="-3180.06"/>
    <x v="2"/>
  </r>
  <r>
    <s v="FIN-02496"/>
    <d v="2025-12-27T00:00:00"/>
    <x v="1"/>
    <x v="1"/>
    <x v="13"/>
    <x v="3"/>
    <s v="Islamabad"/>
    <s v="Markethub"/>
    <x v="1"/>
    <n v="3500"/>
    <n v="1200.53"/>
    <n v="-2299.4700000000003"/>
    <n v="-0.65699142857142867"/>
    <x v="0"/>
    <n v="1200.53"/>
    <x v="11"/>
  </r>
  <r>
    <s v="FIN-02497"/>
    <d v="2026-05-28T00:00:00"/>
    <x v="1"/>
    <x v="0"/>
    <x v="2"/>
    <x v="1"/>
    <s v="Karachi"/>
    <s v="Markethub"/>
    <x v="4"/>
    <n v="6153.85"/>
    <n v="7251.82"/>
    <n v="1097.9699999999993"/>
    <n v="0.17842001348749145"/>
    <x v="1"/>
    <n v="7251.82"/>
    <x v="16"/>
  </r>
  <r>
    <s v="FIN-02498"/>
    <d v="2025-03-28T00:00:00"/>
    <x v="1"/>
    <x v="3"/>
    <x v="12"/>
    <x v="3"/>
    <s v="Islamabad"/>
    <s v="Markethub"/>
    <x v="4"/>
    <n v="9090.91"/>
    <n v="3610.27"/>
    <n v="-5480.6399999999994"/>
    <n v="-0.602870339712966"/>
    <x v="0"/>
    <n v="3610.27"/>
    <x v="2"/>
  </r>
  <r>
    <s v="FIN-02499"/>
    <d v="2025-11-06T00:00:00"/>
    <x v="0"/>
    <x v="6"/>
    <x v="8"/>
    <x v="2"/>
    <s v="Lahore"/>
    <s v="Peoplefirst"/>
    <x v="1"/>
    <n v="7875"/>
    <n v="4809.55"/>
    <n v="-3065.45"/>
    <n v="-0.38926349206349203"/>
    <x v="0"/>
    <n v="-4809.55"/>
    <x v="10"/>
  </r>
  <r>
    <s v="FIN-02500"/>
    <d v="2026-06-06T00:00:00"/>
    <x v="1"/>
    <x v="0"/>
    <x v="2"/>
    <x v="1"/>
    <s v="Islamabad"/>
    <s v="Markethub"/>
    <x v="1"/>
    <n v="7272.73"/>
    <n v="4270.84"/>
    <n v="-3001.8899999999994"/>
    <n v="-0.41275972021510487"/>
    <x v="0"/>
    <n v="4270.84"/>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5E2F3-E517-432A-99C0-8DCAE68EFC6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2:H24" firstHeaderRow="1" firstDataRow="1" firstDataCol="1" rowPageCount="1" colPageCount="1"/>
  <pivotFields count="16">
    <pivotField showAll="0"/>
    <pivotField numFmtId="165" showAll="0"/>
    <pivotField axis="axisPage" showAll="0">
      <items count="3">
        <item x="0"/>
        <item x="1"/>
        <item t="default"/>
      </items>
    </pivotField>
    <pivotField showAll="0">
      <items count="9">
        <item x="1"/>
        <item x="0"/>
        <item x="5"/>
        <item x="6"/>
        <item x="4"/>
        <item x="2"/>
        <item x="3"/>
        <item x="7"/>
        <item t="default"/>
      </items>
    </pivotField>
    <pivotField axis="axisRow" showAll="0">
      <items count="16">
        <item x="0"/>
        <item x="10"/>
        <item x="9"/>
        <item x="1"/>
        <item x="13"/>
        <item x="3"/>
        <item x="8"/>
        <item x="5"/>
        <item x="6"/>
        <item x="12"/>
        <item x="7"/>
        <item x="2"/>
        <item x="4"/>
        <item x="14"/>
        <item x="11"/>
        <item t="default"/>
      </items>
    </pivotField>
    <pivotField showAll="0"/>
    <pivotField showAll="0"/>
    <pivotField showAll="0"/>
    <pivotField showAll="0"/>
    <pivotField numFmtId="164" showAll="0"/>
    <pivotField dataField="1" numFmtId="164" showAll="0"/>
    <pivotField numFmtId="164" showAll="0"/>
    <pivotField numFmtId="10" showAll="0"/>
    <pivotField showAll="0"/>
    <pivotField numFmtId="44" showAll="0"/>
    <pivotField showAll="0">
      <items count="19">
        <item x="0"/>
        <item x="1"/>
        <item x="2"/>
        <item x="3"/>
        <item x="4"/>
        <item x="5"/>
        <item x="6"/>
        <item x="7"/>
        <item x="8"/>
        <item x="9"/>
        <item x="10"/>
        <item x="11"/>
        <item x="12"/>
        <item x="17"/>
        <item x="14"/>
        <item x="15"/>
        <item x="16"/>
        <item x="13"/>
        <item t="default"/>
      </items>
    </pivotField>
  </pivotFields>
  <rowFields count="1">
    <field x="4"/>
  </rowFields>
  <rowItems count="12">
    <i>
      <x/>
    </i>
    <i>
      <x v="1"/>
    </i>
    <i>
      <x v="2"/>
    </i>
    <i>
      <x v="3"/>
    </i>
    <i>
      <x v="6"/>
    </i>
    <i>
      <x v="7"/>
    </i>
    <i>
      <x v="8"/>
    </i>
    <i>
      <x v="10"/>
    </i>
    <i>
      <x v="12"/>
    </i>
    <i>
      <x v="13"/>
    </i>
    <i>
      <x v="14"/>
    </i>
    <i t="grand">
      <x/>
    </i>
  </rowItems>
  <colItems count="1">
    <i/>
  </colItems>
  <pageFields count="1">
    <pageField fld="2" item="0" hier="-1"/>
  </pageFields>
  <dataFields count="1">
    <dataField name="Sum of Actual Amount" fld="10" baseField="0" baseItem="0"/>
  </dataFields>
  <formats count="6">
    <format dxfId="45">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11">
            <x v="0"/>
            <x v="1"/>
            <x v="2"/>
            <x v="3"/>
            <x v="6"/>
            <x v="7"/>
            <x v="8"/>
            <x v="10"/>
            <x v="12"/>
            <x v="13"/>
            <x v="14"/>
          </reference>
        </references>
      </pivotArea>
    </format>
    <format dxfId="35">
      <pivotArea dataOnly="0" labelOnly="1" grandRow="1" outline="0" fieldPosition="0"/>
    </format>
    <format dxfId="3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DFEB9-ED9E-4B90-AB88-8C9345381336}"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J4" firstHeaderRow="1" firstDataRow="2" firstDataCol="1"/>
  <pivotFields count="16">
    <pivotField showAll="0"/>
    <pivotField numFmtId="165" showAll="0"/>
    <pivotField axis="axisCol" showAll="0">
      <items count="3">
        <item x="0"/>
        <item x="1"/>
        <item t="default"/>
      </items>
    </pivotField>
    <pivotField showAll="0">
      <items count="9">
        <item x="1"/>
        <item x="0"/>
        <item x="5"/>
        <item x="6"/>
        <item x="4"/>
        <item x="2"/>
        <item x="3"/>
        <item x="7"/>
        <item t="default"/>
      </items>
    </pivotField>
    <pivotField showAll="0"/>
    <pivotField showAll="0"/>
    <pivotField showAll="0"/>
    <pivotField showAll="0"/>
    <pivotField showAll="0"/>
    <pivotField numFmtId="164" showAll="0"/>
    <pivotField dataField="1" numFmtId="164" showAll="0"/>
    <pivotField numFmtId="164" showAll="0"/>
    <pivotField numFmtId="10" showAll="0"/>
    <pivotField showAll="0"/>
    <pivotField numFmtId="44" showAll="0"/>
    <pivotField numFmtId="166" showAll="0">
      <items count="19">
        <item x="0"/>
        <item x="1"/>
        <item x="2"/>
        <item x="3"/>
        <item x="4"/>
        <item x="5"/>
        <item x="6"/>
        <item x="7"/>
        <item x="8"/>
        <item x="9"/>
        <item x="10"/>
        <item x="11"/>
        <item x="12"/>
        <item x="17"/>
        <item x="14"/>
        <item x="15"/>
        <item x="16"/>
        <item x="13"/>
        <item t="default"/>
      </items>
    </pivotField>
  </pivotFields>
  <rowItems count="1">
    <i/>
  </rowItems>
  <colFields count="1">
    <field x="2"/>
  </colFields>
  <colItems count="3">
    <i>
      <x/>
    </i>
    <i>
      <x v="1"/>
    </i>
    <i t="grand">
      <x/>
    </i>
  </colItems>
  <dataFields count="1">
    <dataField name="Sum of Actual Amount" fld="10" baseField="0" baseItem="0"/>
  </dataFields>
  <formats count="6">
    <format dxfId="32">
      <pivotArea type="all" dataOnly="0" outline="0" fieldPosition="0"/>
    </format>
    <format dxfId="25">
      <pivotArea outline="0" collapsedLevelsAreSubtotals="1" fieldPosition="0"/>
    </format>
    <format dxfId="24">
      <pivotArea type="origin" dataOnly="0" labelOnly="1" outline="0" fieldPosition="0"/>
    </format>
    <format dxfId="23">
      <pivotArea dataOnly="0" labelOnly="1" outline="0" axis="axisValues" fieldPosition="0"/>
    </format>
    <format dxfId="22">
      <pivotArea field="2" type="button" dataOnly="0" labelOnly="1" outline="0" axis="axisCol" fieldPosition="0"/>
    </format>
    <format dxfId="21">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807687-CDD7-41A9-9E49-BAB5805D1D78}"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9:C45" firstHeaderRow="1" firstDataRow="1" firstDataCol="1" rowPageCount="1" colPageCount="1"/>
  <pivotFields count="16">
    <pivotField showAll="0"/>
    <pivotField numFmtId="165" showAll="0"/>
    <pivotField axis="axisPage" showAll="0">
      <items count="3">
        <item x="0"/>
        <item x="1"/>
        <item t="default"/>
      </items>
    </pivotField>
    <pivotField showAll="0">
      <items count="9">
        <item x="1"/>
        <item x="0"/>
        <item x="5"/>
        <item x="6"/>
        <item x="4"/>
        <item x="2"/>
        <item x="3"/>
        <item x="7"/>
        <item t="default"/>
      </items>
    </pivotField>
    <pivotField showAll="0"/>
    <pivotField axis="axisRow" showAll="0">
      <items count="6">
        <item x="1"/>
        <item x="3"/>
        <item x="4"/>
        <item x="0"/>
        <item x="2"/>
        <item t="default"/>
      </items>
    </pivotField>
    <pivotField showAll="0"/>
    <pivotField showAll="0"/>
    <pivotField showAll="0"/>
    <pivotField numFmtId="164" showAll="0"/>
    <pivotField dataField="1" numFmtId="164" showAll="0"/>
    <pivotField numFmtId="164" showAll="0"/>
    <pivotField numFmtId="10" showAll="0"/>
    <pivotField showAll="0"/>
    <pivotField numFmtId="44" showAll="0"/>
    <pivotField showAll="0">
      <items count="19">
        <item x="0"/>
        <item x="1"/>
        <item x="2"/>
        <item x="3"/>
        <item x="4"/>
        <item x="5"/>
        <item x="6"/>
        <item x="7"/>
        <item x="8"/>
        <item x="9"/>
        <item x="10"/>
        <item x="11"/>
        <item x="12"/>
        <item x="17"/>
        <item x="14"/>
        <item x="15"/>
        <item x="16"/>
        <item x="13"/>
        <item t="default"/>
      </items>
    </pivotField>
  </pivotFields>
  <rowFields count="1">
    <field x="5"/>
  </rowFields>
  <rowItems count="6">
    <i>
      <x/>
    </i>
    <i>
      <x v="1"/>
    </i>
    <i>
      <x v="2"/>
    </i>
    <i>
      <x v="3"/>
    </i>
    <i>
      <x v="4"/>
    </i>
    <i t="grand">
      <x/>
    </i>
  </rowItems>
  <colItems count="1">
    <i/>
  </colItems>
  <pageFields count="1">
    <pageField fld="2" item="1" hier="-1"/>
  </pageFields>
  <dataFields count="1">
    <dataField name="Sum of Actual Amount" fld="10"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970FC1-B327-4634-904D-03140DE8DF27}"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0:L19" firstHeaderRow="0" firstDataRow="1" firstDataCol="1"/>
  <pivotFields count="16">
    <pivotField showAll="0"/>
    <pivotField numFmtId="165" showAll="0"/>
    <pivotField showAll="0"/>
    <pivotField axis="axisRow" showAll="0">
      <items count="9">
        <item x="1"/>
        <item x="0"/>
        <item x="5"/>
        <item x="6"/>
        <item x="4"/>
        <item x="2"/>
        <item x="3"/>
        <item x="7"/>
        <item t="default"/>
      </items>
    </pivotField>
    <pivotField showAll="0"/>
    <pivotField showAll="0"/>
    <pivotField showAll="0"/>
    <pivotField showAll="0"/>
    <pivotField showAll="0"/>
    <pivotField dataField="1" numFmtId="164" showAll="0"/>
    <pivotField dataField="1" numFmtId="164" showAll="0"/>
    <pivotField numFmtId="164" showAll="0"/>
    <pivotField numFmtId="10" showAll="0"/>
    <pivotField showAll="0"/>
    <pivotField numFmtId="44" showAll="0"/>
    <pivotField showAll="0">
      <items count="19">
        <item x="0"/>
        <item x="1"/>
        <item x="2"/>
        <item x="3"/>
        <item x="4"/>
        <item x="5"/>
        <item x="6"/>
        <item x="7"/>
        <item x="8"/>
        <item x="9"/>
        <item x="10"/>
        <item x="11"/>
        <item x="12"/>
        <item x="17"/>
        <item x="14"/>
        <item x="15"/>
        <item x="16"/>
        <item x="13"/>
        <item t="default"/>
      </items>
    </pivotField>
  </pivotFields>
  <rowFields count="1">
    <field x="3"/>
  </rowFields>
  <rowItems count="9">
    <i>
      <x/>
    </i>
    <i>
      <x v="1"/>
    </i>
    <i>
      <x v="2"/>
    </i>
    <i>
      <x v="3"/>
    </i>
    <i>
      <x v="4"/>
    </i>
    <i>
      <x v="5"/>
    </i>
    <i>
      <x v="6"/>
    </i>
    <i>
      <x v="7"/>
    </i>
    <i t="grand">
      <x/>
    </i>
  </rowItems>
  <colFields count="1">
    <field x="-2"/>
  </colFields>
  <colItems count="2">
    <i>
      <x/>
    </i>
    <i i="1">
      <x v="1"/>
    </i>
  </colItems>
  <dataFields count="2">
    <dataField name="Total Budget" fld="9" baseField="3" baseItem="0"/>
    <dataField name="Total Actual" fld="10" baseField="3"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E8488C-BDAB-4ED2-AEBE-00BC12E029CC}"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0:E30" firstHeaderRow="1" firstDataRow="2" firstDataCol="1"/>
  <pivotFields count="16">
    <pivotField showAll="0"/>
    <pivotField numFmtId="165" showAll="0"/>
    <pivotField axis="axisCol" showAll="0">
      <items count="3">
        <item x="0"/>
        <item x="1"/>
        <item t="default"/>
      </items>
    </pivotField>
    <pivotField showAll="0">
      <items count="9">
        <item x="1"/>
        <item x="0"/>
        <item x="5"/>
        <item x="6"/>
        <item x="4"/>
        <item x="2"/>
        <item x="3"/>
        <item x="7"/>
        <item t="default"/>
      </items>
    </pivotField>
    <pivotField showAll="0"/>
    <pivotField showAll="0"/>
    <pivotField showAll="0"/>
    <pivotField showAll="0"/>
    <pivotField showAll="0"/>
    <pivotField numFmtId="164" showAll="0"/>
    <pivotField dataField="1" numFmtId="164" showAll="0"/>
    <pivotField numFmtId="164" showAll="0"/>
    <pivotField numFmtId="10" showAll="0"/>
    <pivotField showAll="0"/>
    <pivotField numFmtId="44" showAll="0"/>
    <pivotField axis="axisRow" numFmtId="166" showAll="0">
      <items count="19">
        <item x="0"/>
        <item x="1"/>
        <item x="2"/>
        <item x="3"/>
        <item x="4"/>
        <item x="5"/>
        <item x="6"/>
        <item x="7"/>
        <item x="8"/>
        <item x="9"/>
        <item x="10"/>
        <item x="11"/>
        <item x="12"/>
        <item x="13"/>
        <item x="14"/>
        <item x="15"/>
        <item x="16"/>
        <item x="17"/>
        <item t="default"/>
      </items>
    </pivotField>
  </pivotFields>
  <rowFields count="1">
    <field x="15"/>
  </rowFields>
  <rowItems count="19">
    <i>
      <x/>
    </i>
    <i>
      <x v="1"/>
    </i>
    <i>
      <x v="2"/>
    </i>
    <i>
      <x v="3"/>
    </i>
    <i>
      <x v="4"/>
    </i>
    <i>
      <x v="5"/>
    </i>
    <i>
      <x v="6"/>
    </i>
    <i>
      <x v="7"/>
    </i>
    <i>
      <x v="8"/>
    </i>
    <i>
      <x v="9"/>
    </i>
    <i>
      <x v="10"/>
    </i>
    <i>
      <x v="11"/>
    </i>
    <i>
      <x v="12"/>
    </i>
    <i>
      <x v="13"/>
    </i>
    <i>
      <x v="14"/>
    </i>
    <i>
      <x v="15"/>
    </i>
    <i>
      <x v="16"/>
    </i>
    <i>
      <x v="17"/>
    </i>
    <i t="grand">
      <x/>
    </i>
  </rowItems>
  <colFields count="1">
    <field x="2"/>
  </colFields>
  <colItems count="3">
    <i>
      <x/>
    </i>
    <i>
      <x v="1"/>
    </i>
    <i t="grand">
      <x/>
    </i>
  </colItems>
  <dataFields count="1">
    <dataField name="Sum of Actual Amount" fld="10" baseField="0" baseItem="0"/>
  </dataFields>
  <formats count="1">
    <format dxfId="62">
      <pivotArea dataOnly="0" labelOnly="1" fieldPosition="0">
        <references count="1">
          <reference field="15" count="0"/>
        </references>
      </pivotArea>
    </format>
  </format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255691-BD5C-48AB-BED5-D1887B423A78}"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P4" firstHeaderRow="1" firstDataRow="2" firstDataCol="1"/>
  <pivotFields count="16">
    <pivotField showAll="0"/>
    <pivotField numFmtId="165" showAll="0"/>
    <pivotField showAll="0"/>
    <pivotField showAll="0">
      <items count="9">
        <item x="1"/>
        <item x="0"/>
        <item x="5"/>
        <item x="6"/>
        <item x="4"/>
        <item x="2"/>
        <item x="3"/>
        <item x="7"/>
        <item t="default"/>
      </items>
    </pivotField>
    <pivotField showAll="0"/>
    <pivotField showAll="0"/>
    <pivotField showAll="0"/>
    <pivotField showAll="0"/>
    <pivotField showAll="0"/>
    <pivotField numFmtId="164" showAll="0"/>
    <pivotField dataField="1" numFmtId="164" showAll="0"/>
    <pivotField numFmtId="164" showAll="0"/>
    <pivotField numFmtId="10" showAll="0"/>
    <pivotField axis="axisCol" showAll="0">
      <items count="4">
        <item x="2"/>
        <item x="1"/>
        <item x="0"/>
        <item t="default"/>
      </items>
    </pivotField>
    <pivotField numFmtId="44" showAll="0"/>
    <pivotField numFmtId="166" showAll="0">
      <items count="19">
        <item x="0"/>
        <item x="1"/>
        <item x="2"/>
        <item x="3"/>
        <item x="4"/>
        <item x="5"/>
        <item x="6"/>
        <item x="7"/>
        <item x="8"/>
        <item x="9"/>
        <item x="10"/>
        <item x="11"/>
        <item x="12"/>
        <item x="17"/>
        <item x="14"/>
        <item x="15"/>
        <item x="16"/>
        <item x="13"/>
        <item t="default"/>
      </items>
    </pivotField>
  </pivotFields>
  <rowItems count="1">
    <i/>
  </rowItems>
  <colFields count="1">
    <field x="13"/>
  </colFields>
  <colItems count="4">
    <i>
      <x/>
    </i>
    <i>
      <x v="1"/>
    </i>
    <i>
      <x v="2"/>
    </i>
    <i t="grand">
      <x/>
    </i>
  </colItems>
  <dataFields count="1">
    <dataField name="Sum of Actual Amount" fld="10" baseField="0" baseItem="0"/>
  </dataFields>
  <formats count="2">
    <format dxfId="64">
      <pivotArea type="all" dataOnly="0" outline="0" fieldPosition="0"/>
    </format>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86527D-3C01-494D-A650-81E13322664C}"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9:H35" firstHeaderRow="1" firstDataRow="1" firstDataCol="1"/>
  <pivotFields count="16">
    <pivotField showAll="0"/>
    <pivotField numFmtId="165" showAll="0"/>
    <pivotField showAll="0"/>
    <pivotField showAll="0">
      <items count="9">
        <item x="1"/>
        <item x="0"/>
        <item x="5"/>
        <item x="6"/>
        <item x="4"/>
        <item x="2"/>
        <item x="3"/>
        <item x="7"/>
        <item t="default"/>
      </items>
    </pivotField>
    <pivotField showAll="0"/>
    <pivotField axis="axisRow" showAll="0">
      <items count="6">
        <item x="1"/>
        <item x="3"/>
        <item x="4"/>
        <item x="0"/>
        <item x="2"/>
        <item t="default"/>
      </items>
    </pivotField>
    <pivotField showAll="0"/>
    <pivotField showAll="0"/>
    <pivotField showAll="0"/>
    <pivotField numFmtId="164" showAll="0"/>
    <pivotField numFmtId="164" showAll="0"/>
    <pivotField numFmtId="164" showAll="0"/>
    <pivotField numFmtId="10" showAll="0"/>
    <pivotField showAll="0"/>
    <pivotField dataField="1" numFmtId="44" showAll="0"/>
    <pivotField showAll="0">
      <items count="19">
        <item x="0"/>
        <item x="1"/>
        <item x="2"/>
        <item x="3"/>
        <item x="4"/>
        <item x="5"/>
        <item x="6"/>
        <item x="7"/>
        <item x="8"/>
        <item x="9"/>
        <item x="10"/>
        <item x="11"/>
        <item x="12"/>
        <item x="17"/>
        <item x="14"/>
        <item x="15"/>
        <item x="16"/>
        <item x="13"/>
        <item t="default"/>
      </items>
    </pivotField>
  </pivotFields>
  <rowFields count="1">
    <field x="5"/>
  </rowFields>
  <rowItems count="6">
    <i>
      <x/>
    </i>
    <i>
      <x v="1"/>
    </i>
    <i>
      <x v="2"/>
    </i>
    <i>
      <x v="3"/>
    </i>
    <i>
      <x v="4"/>
    </i>
    <i t="grand">
      <x/>
    </i>
  </rowItems>
  <colItems count="1">
    <i/>
  </colItems>
  <dataFields count="1">
    <dataField name="Sum of Net Amount" fld="14"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1"/>
          </reference>
        </references>
      </pivotArea>
    </chartFormat>
    <chartFormat chart="2" format="10">
      <pivotArea type="data" outline="0" fieldPosition="0">
        <references count="2">
          <reference field="4294967294" count="1" selected="0">
            <x v="0"/>
          </reference>
          <reference field="5" count="1" selected="0">
            <x v="2"/>
          </reference>
        </references>
      </pivotArea>
    </chartFormat>
    <chartFormat chart="2" format="11">
      <pivotArea type="data" outline="0" fieldPosition="0">
        <references count="2">
          <reference field="4294967294" count="1" selected="0">
            <x v="0"/>
          </reference>
          <reference field="5" count="1" selected="0">
            <x v="3"/>
          </reference>
        </references>
      </pivotArea>
    </chartFormat>
    <chartFormat chart="2"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E07AA7-CAB6-4D13-97CD-446333C5FEAD}"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29:O36" firstHeaderRow="1" firstDataRow="1" firstDataCol="1"/>
  <pivotFields count="16">
    <pivotField showAll="0"/>
    <pivotField numFmtId="165" showAll="0"/>
    <pivotField showAll="0"/>
    <pivotField showAll="0">
      <items count="9">
        <item x="1"/>
        <item x="0"/>
        <item x="5"/>
        <item x="6"/>
        <item x="4"/>
        <item x="2"/>
        <item x="3"/>
        <item x="7"/>
        <item t="default"/>
      </items>
    </pivotField>
    <pivotField showAll="0"/>
    <pivotField showAll="0"/>
    <pivotField showAll="0"/>
    <pivotField showAll="0"/>
    <pivotField axis="axisRow" showAll="0">
      <items count="7">
        <item x="1"/>
        <item x="0"/>
        <item x="4"/>
        <item x="3"/>
        <item x="2"/>
        <item x="5"/>
        <item t="default"/>
      </items>
    </pivotField>
    <pivotField numFmtId="164" showAll="0"/>
    <pivotField dataField="1" numFmtId="164" showAll="0"/>
    <pivotField numFmtId="164" showAll="0"/>
    <pivotField numFmtId="10" showAll="0"/>
    <pivotField showAll="0"/>
    <pivotField numFmtId="44" showAll="0"/>
    <pivotField showAll="0">
      <items count="19">
        <item x="0"/>
        <item x="1"/>
        <item x="2"/>
        <item x="3"/>
        <item x="4"/>
        <item x="5"/>
        <item x="6"/>
        <item x="7"/>
        <item x="8"/>
        <item x="9"/>
        <item x="10"/>
        <item x="11"/>
        <item x="12"/>
        <item x="17"/>
        <item x="14"/>
        <item x="15"/>
        <item x="16"/>
        <item x="13"/>
        <item t="default"/>
      </items>
    </pivotField>
  </pivotFields>
  <rowFields count="1">
    <field x="8"/>
  </rowFields>
  <rowItems count="7">
    <i>
      <x/>
    </i>
    <i>
      <x v="1"/>
    </i>
    <i>
      <x v="2"/>
    </i>
    <i>
      <x v="3"/>
    </i>
    <i>
      <x v="4"/>
    </i>
    <i>
      <x v="5"/>
    </i>
    <i t="grand">
      <x/>
    </i>
  </rowItems>
  <colItems count="1">
    <i/>
  </colItems>
  <dataFields count="1">
    <dataField name="Sum of Actual Amount" fld="1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2AF362-61E6-42BC-A45D-B3923FBA6298}"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9:K33" firstHeaderRow="1" firstDataRow="1" firstDataCol="1"/>
  <pivotFields count="16">
    <pivotField showAll="0"/>
    <pivotField numFmtId="165" showAll="0"/>
    <pivotField showAll="0"/>
    <pivotField showAll="0">
      <items count="9">
        <item x="1"/>
        <item x="0"/>
        <item x="5"/>
        <item x="6"/>
        <item x="4"/>
        <item x="2"/>
        <item x="3"/>
        <item x="7"/>
        <item t="default"/>
      </items>
    </pivotField>
    <pivotField showAll="0"/>
    <pivotField showAll="0"/>
    <pivotField showAll="0"/>
    <pivotField showAll="0"/>
    <pivotField showAll="0"/>
    <pivotField numFmtId="164" showAll="0"/>
    <pivotField dataField="1" numFmtId="164" showAll="0"/>
    <pivotField numFmtId="164" showAll="0"/>
    <pivotField numFmtId="10" showAll="0"/>
    <pivotField axis="axisRow" showAll="0">
      <items count="4">
        <item x="2"/>
        <item x="1"/>
        <item x="0"/>
        <item t="default"/>
      </items>
    </pivotField>
    <pivotField numFmtId="44" showAll="0"/>
    <pivotField showAll="0">
      <items count="19">
        <item x="0"/>
        <item x="1"/>
        <item x="2"/>
        <item x="3"/>
        <item x="4"/>
        <item x="5"/>
        <item x="6"/>
        <item x="7"/>
        <item x="8"/>
        <item x="9"/>
        <item x="10"/>
        <item x="11"/>
        <item x="12"/>
        <item x="17"/>
        <item x="14"/>
        <item x="15"/>
        <item x="16"/>
        <item x="13"/>
        <item t="default"/>
      </items>
    </pivotField>
  </pivotFields>
  <rowFields count="1">
    <field x="13"/>
  </rowFields>
  <rowItems count="4">
    <i>
      <x/>
    </i>
    <i>
      <x v="1"/>
    </i>
    <i>
      <x v="2"/>
    </i>
    <i t="grand">
      <x/>
    </i>
  </rowItems>
  <colItems count="1">
    <i/>
  </colItems>
  <dataFields count="1">
    <dataField name="Sum of Actual Amoun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36EAAF-EDBF-4916-8641-38FA1B491916}"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2:O18" firstHeaderRow="1" firstDataRow="1" firstDataCol="1" rowPageCount="1" colPageCount="1"/>
  <pivotFields count="16">
    <pivotField showAll="0"/>
    <pivotField numFmtId="165" showAll="0"/>
    <pivotField axis="axisPage" showAll="0">
      <items count="3">
        <item x="0"/>
        <item x="1"/>
        <item t="default"/>
      </items>
    </pivotField>
    <pivotField showAll="0">
      <items count="9">
        <item x="1"/>
        <item x="0"/>
        <item x="5"/>
        <item x="6"/>
        <item x="4"/>
        <item x="2"/>
        <item x="3"/>
        <item x="7"/>
        <item t="default"/>
      </items>
    </pivotField>
    <pivotField axis="axisRow" showAll="0">
      <items count="16">
        <item x="0"/>
        <item x="10"/>
        <item x="9"/>
        <item x="1"/>
        <item x="13"/>
        <item x="3"/>
        <item x="8"/>
        <item x="5"/>
        <item x="6"/>
        <item x="12"/>
        <item x="7"/>
        <item x="2"/>
        <item x="4"/>
        <item x="14"/>
        <item x="11"/>
        <item t="default"/>
      </items>
    </pivotField>
    <pivotField showAll="0"/>
    <pivotField showAll="0"/>
    <pivotField showAll="0"/>
    <pivotField showAll="0"/>
    <pivotField numFmtId="164" showAll="0"/>
    <pivotField dataField="1" numFmtId="164" showAll="0"/>
    <pivotField numFmtId="164" showAll="0"/>
    <pivotField numFmtId="10" showAll="0"/>
    <pivotField showAll="0"/>
    <pivotField numFmtId="44" showAll="0"/>
    <pivotField showAll="0">
      <items count="19">
        <item x="0"/>
        <item x="1"/>
        <item x="2"/>
        <item x="3"/>
        <item x="4"/>
        <item x="5"/>
        <item x="6"/>
        <item x="7"/>
        <item x="8"/>
        <item x="9"/>
        <item x="10"/>
        <item x="11"/>
        <item x="12"/>
        <item x="17"/>
        <item x="14"/>
        <item x="15"/>
        <item x="16"/>
        <item x="13"/>
        <item t="default"/>
      </items>
    </pivotField>
  </pivotFields>
  <rowFields count="1">
    <field x="4"/>
  </rowFields>
  <rowItems count="6">
    <i>
      <x v="4"/>
    </i>
    <i>
      <x v="5"/>
    </i>
    <i>
      <x v="9"/>
    </i>
    <i>
      <x v="11"/>
    </i>
    <i>
      <x v="13"/>
    </i>
    <i t="grand">
      <x/>
    </i>
  </rowItems>
  <colItems count="1">
    <i/>
  </colItems>
  <pageFields count="1">
    <pageField fld="2" item="1" hier="-1"/>
  </pageFields>
  <dataFields count="1">
    <dataField name="Sum of Actual Amoun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1AEAA2-7FA6-406F-A8B5-789E278B2949}"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3" firstHeaderRow="0" firstDataRow="1" firstDataCol="0"/>
  <pivotFields count="16">
    <pivotField dataField="1" showAll="0"/>
    <pivotField numFmtId="165" showAll="0"/>
    <pivotField showAll="0"/>
    <pivotField showAll="0">
      <items count="9">
        <item x="1"/>
        <item x="0"/>
        <item x="5"/>
        <item x="6"/>
        <item x="4"/>
        <item x="2"/>
        <item x="3"/>
        <item x="7"/>
        <item t="default"/>
      </items>
    </pivotField>
    <pivotField showAll="0"/>
    <pivotField showAll="0"/>
    <pivotField showAll="0"/>
    <pivotField showAll="0"/>
    <pivotField showAll="0"/>
    <pivotField dataField="1" numFmtId="164" showAll="0"/>
    <pivotField dataField="1" numFmtId="164" showAll="0"/>
    <pivotField numFmtId="164" showAll="0"/>
    <pivotField numFmtId="10" showAll="0"/>
    <pivotField showAll="0"/>
    <pivotField dataField="1" numFmtId="44" showAll="0"/>
    <pivotField numFmtId="166" showAll="0">
      <items count="19">
        <item x="0"/>
        <item x="1"/>
        <item x="2"/>
        <item x="3"/>
        <item x="4"/>
        <item x="5"/>
        <item x="6"/>
        <item x="7"/>
        <item x="8"/>
        <item x="9"/>
        <item x="10"/>
        <item x="11"/>
        <item x="12"/>
        <item x="17"/>
        <item x="14"/>
        <item x="15"/>
        <item x="16"/>
        <item x="13"/>
        <item t="default"/>
      </items>
    </pivotField>
  </pivotFields>
  <rowItems count="1">
    <i/>
  </rowItems>
  <colFields count="1">
    <field x="-2"/>
  </colFields>
  <colItems count="4">
    <i>
      <x/>
    </i>
    <i i="1">
      <x v="1"/>
    </i>
    <i i="2">
      <x v="2"/>
    </i>
    <i i="3">
      <x v="3"/>
    </i>
  </colItems>
  <dataFields count="4">
    <dataField name="Sum of Budget Amount" fld="9" baseField="0" baseItem="0" numFmtId="44"/>
    <dataField name="Sum of Actual Amount" fld="10" baseField="0" baseItem="0" numFmtId="44"/>
    <dataField name="Sum of Net Amount" fld="14" baseField="0" baseItem="0" numFmtId="44"/>
    <dataField name="Count of Transaction ID" fld="0" subtotal="count" baseField="0" baseItem="0"/>
  </dataFields>
  <formats count="6">
    <format dxfId="70">
      <pivotArea type="all" dataOnly="0" outline="0" fieldPosition="0"/>
    </format>
    <format dxfId="69">
      <pivotArea outline="0" collapsedLevelsAreSubtotals="1" fieldPosition="0"/>
    </format>
    <format dxfId="68">
      <pivotArea dataOnly="0" labelOnly="1" outline="0" fieldPosition="0">
        <references count="1">
          <reference field="4294967294" count="4">
            <x v="0"/>
            <x v="1"/>
            <x v="2"/>
            <x v="3"/>
          </reference>
        </references>
      </pivotArea>
    </format>
    <format dxfId="67">
      <pivotArea outline="0" collapsedLevelsAreSubtotals="1" fieldPosition="0">
        <references count="1">
          <reference field="4294967294" count="1" selected="0">
            <x v="0"/>
          </reference>
        </references>
      </pivotArea>
    </format>
    <format dxfId="66">
      <pivotArea outline="0" collapsedLevelsAreSubtotals="1" fieldPosition="0">
        <references count="1">
          <reference field="4294967294" count="1" selected="0">
            <x v="1"/>
          </reference>
        </references>
      </pivotArea>
    </format>
    <format dxfId="6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A1556F-FD44-4937-B725-9D9722D05546}" sourceName="Department">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s>
  <data>
    <tabular pivotCacheId="117184964">
      <items count="8">
        <i x="1" s="1"/>
        <i x="0" s="1"/>
        <i x="5" s="1"/>
        <i x="6" s="1"/>
        <i x="4" s="1"/>
        <i x="2"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onth" xr10:uid="{D365EF1F-06C8-4D5B-9302-D6CC6F98CFF4}" sourceName="Transaction Month">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s>
  <data>
    <tabular pivotCacheId="117184964">
      <items count="18">
        <i x="0" s="1"/>
        <i x="1" s="1"/>
        <i x="2" s="1"/>
        <i x="3" s="1"/>
        <i x="4" s="1"/>
        <i x="5" s="1"/>
        <i x="6" s="1"/>
        <i x="7" s="1"/>
        <i x="8" s="1"/>
        <i x="9" s="1"/>
        <i x="10" s="1"/>
        <i x="11" s="1"/>
        <i x="12" s="1"/>
        <i x="17" s="1"/>
        <i x="14" s="1"/>
        <i x="15" s="1"/>
        <i x="16"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C6751B4-AD26-49D2-923C-6BA3ABB6ED11}" cache="Slicer_Department" caption="Department" columnCount="2" style="My" rowHeight="548640"/>
  <slicer name="Transaction Month" xr10:uid="{BE6C4947-17C5-4D7A-B4A6-384F35CC94E2}" cache="Slicer_Transaction_Month" caption="Transaction Month" columnCount="2" style="My 2"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01"/>
  <sheetViews>
    <sheetView zoomScale="60" zoomScaleNormal="60" workbookViewId="0">
      <pane ySplit="1" topLeftCell="A2" activePane="bottomLeft" state="frozen"/>
      <selection pane="bottomLeft" activeCell="H24" sqref="H24"/>
    </sheetView>
  </sheetViews>
  <sheetFormatPr defaultRowHeight="14.5" x14ac:dyDescent="0.35"/>
  <cols>
    <col min="1" max="1" width="17.54296875" bestFit="1" customWidth="1"/>
    <col min="2" max="2" width="19.81640625" bestFit="1" customWidth="1"/>
    <col min="3" max="3" width="19.7265625" bestFit="1" customWidth="1"/>
    <col min="4" max="4" width="15.6328125" bestFit="1" customWidth="1"/>
    <col min="5" max="5" width="23.36328125" bestFit="1" customWidth="1"/>
    <col min="6" max="6" width="20.36328125" bestFit="1" customWidth="1"/>
    <col min="7" max="7" width="12.453125" bestFit="1" customWidth="1"/>
    <col min="8" max="8" width="13.54296875" bestFit="1" customWidth="1"/>
    <col min="9" max="9" width="20.08984375" bestFit="1" customWidth="1"/>
    <col min="10" max="10" width="18.7265625" bestFit="1" customWidth="1"/>
    <col min="11" max="11" width="18.08984375" bestFit="1" customWidth="1"/>
    <col min="12" max="12" width="14.36328125" bestFit="1" customWidth="1"/>
    <col min="13" max="13" width="14.6328125" bestFit="1" customWidth="1"/>
    <col min="14" max="14" width="17" bestFit="1" customWidth="1"/>
    <col min="15" max="15" width="15.81640625" bestFit="1" customWidth="1"/>
    <col min="16" max="16" width="21.6328125" bestFit="1" customWidth="1"/>
  </cols>
  <sheetData>
    <row r="1" spans="1:16" s="41" customFormat="1" x14ac:dyDescent="0.35">
      <c r="A1" s="40" t="s">
        <v>0</v>
      </c>
      <c r="B1" s="40" t="s">
        <v>1</v>
      </c>
      <c r="C1" s="40" t="s">
        <v>2</v>
      </c>
      <c r="D1" s="40" t="s">
        <v>3</v>
      </c>
      <c r="E1" s="40" t="s">
        <v>4</v>
      </c>
      <c r="F1" s="40" t="s">
        <v>5</v>
      </c>
      <c r="G1" s="40" t="s">
        <v>6</v>
      </c>
      <c r="H1" s="40" t="s">
        <v>7</v>
      </c>
      <c r="I1" s="40" t="s">
        <v>8</v>
      </c>
      <c r="J1" s="40" t="s">
        <v>9</v>
      </c>
      <c r="K1" s="40" t="s">
        <v>10</v>
      </c>
      <c r="L1" s="2" t="s">
        <v>2599</v>
      </c>
      <c r="M1" s="2" t="s">
        <v>2600</v>
      </c>
      <c r="N1" s="2" t="s">
        <v>2601</v>
      </c>
      <c r="O1" s="2" t="s">
        <v>2602</v>
      </c>
      <c r="P1" s="2" t="s">
        <v>2603</v>
      </c>
    </row>
    <row r="2" spans="1:16" ht="15.5" x14ac:dyDescent="0.35">
      <c r="A2" s="17" t="s">
        <v>11</v>
      </c>
      <c r="B2" s="35">
        <v>45688</v>
      </c>
      <c r="C2" s="17" t="s">
        <v>12</v>
      </c>
      <c r="D2" s="17" t="s">
        <v>13</v>
      </c>
      <c r="E2" s="17" t="s">
        <v>14</v>
      </c>
      <c r="F2" s="17" t="s">
        <v>15</v>
      </c>
      <c r="G2" s="17" t="s">
        <v>16</v>
      </c>
      <c r="H2" s="17" t="s">
        <v>2586</v>
      </c>
      <c r="I2" s="17" t="s">
        <v>17</v>
      </c>
      <c r="J2" s="36">
        <v>6208</v>
      </c>
      <c r="K2" s="36">
        <v>795.11</v>
      </c>
      <c r="L2" s="36">
        <f>K2-J2</f>
        <v>-5412.89</v>
      </c>
      <c r="M2" s="37">
        <f>IF(J2=0,0,L2/J2)</f>
        <v>-0.87192171391752582</v>
      </c>
      <c r="N2" s="17" t="str">
        <f>IF(J2=0,"No Budget",IF(K2&gt;J2,"Over Budget",IF(K2&lt;J2,"Under Budget","On Budget")))</f>
        <v>Under Budget</v>
      </c>
      <c r="O2" s="38">
        <f>IF(C2="Revenue",K2,-K2)</f>
        <v>-795.11</v>
      </c>
      <c r="P2" s="39">
        <f>DATE(YEAR(B2),MONTH(B2),1)</f>
        <v>45658</v>
      </c>
    </row>
    <row r="3" spans="1:16" ht="15.5" x14ac:dyDescent="0.35">
      <c r="A3" s="17" t="s">
        <v>18</v>
      </c>
      <c r="B3" s="35">
        <v>45690</v>
      </c>
      <c r="C3" s="17" t="s">
        <v>12</v>
      </c>
      <c r="D3" s="17" t="s">
        <v>19</v>
      </c>
      <c r="E3" s="17" t="s">
        <v>20</v>
      </c>
      <c r="F3" s="17" t="s">
        <v>21</v>
      </c>
      <c r="G3" s="17" t="s">
        <v>22</v>
      </c>
      <c r="H3" s="17" t="s">
        <v>2587</v>
      </c>
      <c r="I3" s="17" t="s">
        <v>23</v>
      </c>
      <c r="J3" s="36">
        <v>3000</v>
      </c>
      <c r="K3" s="36">
        <v>1176.76</v>
      </c>
      <c r="L3" s="36">
        <f t="shared" ref="L3:L66" si="0">K3-J3</f>
        <v>-1823.24</v>
      </c>
      <c r="M3" s="37">
        <f t="shared" ref="M3:M66" si="1">IF(J3=0,0,L3/J3)</f>
        <v>-0.60774666666666666</v>
      </c>
      <c r="N3" s="17" t="str">
        <f t="shared" ref="N3:N66" si="2">IF(J3=0,"No Budget",IF(K3&gt;J3,"Over Budget",IF(K3&lt;J3,"Under Budget","On Budget")))</f>
        <v>Under Budget</v>
      </c>
      <c r="O3" s="38">
        <f t="shared" ref="O3:O66" si="3">IF(C3="Revenue",K3,-K3)</f>
        <v>-1176.76</v>
      </c>
      <c r="P3" s="39">
        <f t="shared" ref="P3:P66" si="4">DATE(YEAR(B3),MONTH(B3),1)</f>
        <v>45689</v>
      </c>
    </row>
    <row r="4" spans="1:16" ht="15.5" x14ac:dyDescent="0.35">
      <c r="A4" s="17" t="s">
        <v>24</v>
      </c>
      <c r="B4" s="35">
        <v>45731</v>
      </c>
      <c r="C4" s="17" t="s">
        <v>25</v>
      </c>
      <c r="D4" s="17" t="s">
        <v>26</v>
      </c>
      <c r="E4" s="17" t="s">
        <v>27</v>
      </c>
      <c r="F4" s="17" t="s">
        <v>28</v>
      </c>
      <c r="G4" s="17" t="s">
        <v>29</v>
      </c>
      <c r="H4" s="17" t="s">
        <v>2588</v>
      </c>
      <c r="I4" s="17" t="s">
        <v>30</v>
      </c>
      <c r="J4" s="36">
        <v>4850</v>
      </c>
      <c r="K4" s="36">
        <v>6088.89</v>
      </c>
      <c r="L4" s="36">
        <f t="shared" si="0"/>
        <v>1238.8900000000003</v>
      </c>
      <c r="M4" s="37">
        <f t="shared" si="1"/>
        <v>0.25544123711340211</v>
      </c>
      <c r="N4" s="17" t="str">
        <f t="shared" si="2"/>
        <v>Over Budget</v>
      </c>
      <c r="O4" s="38">
        <f t="shared" si="3"/>
        <v>6088.89</v>
      </c>
      <c r="P4" s="39">
        <f t="shared" si="4"/>
        <v>45717</v>
      </c>
    </row>
    <row r="5" spans="1:16" ht="15.5" x14ac:dyDescent="0.35">
      <c r="A5" s="17" t="s">
        <v>31</v>
      </c>
      <c r="B5" s="35">
        <v>45767</v>
      </c>
      <c r="C5" s="17" t="s">
        <v>25</v>
      </c>
      <c r="D5" s="17" t="s">
        <v>32</v>
      </c>
      <c r="E5" s="17" t="s">
        <v>33</v>
      </c>
      <c r="F5" s="17" t="s">
        <v>34</v>
      </c>
      <c r="G5" s="17" t="s">
        <v>16</v>
      </c>
      <c r="H5" s="17" t="s">
        <v>2586</v>
      </c>
      <c r="I5" s="17" t="s">
        <v>30</v>
      </c>
      <c r="J5" s="36">
        <v>11547.62</v>
      </c>
      <c r="K5" s="36">
        <v>4195.5200000000004</v>
      </c>
      <c r="L5" s="36">
        <f t="shared" si="0"/>
        <v>-7352.1</v>
      </c>
      <c r="M5" s="37">
        <f t="shared" si="1"/>
        <v>-0.63667664852151351</v>
      </c>
      <c r="N5" s="17" t="str">
        <f t="shared" si="2"/>
        <v>Under Budget</v>
      </c>
      <c r="O5" s="38">
        <f t="shared" si="3"/>
        <v>4195.5200000000004</v>
      </c>
      <c r="P5" s="39">
        <f t="shared" si="4"/>
        <v>45748</v>
      </c>
    </row>
    <row r="6" spans="1:16" ht="15.5" x14ac:dyDescent="0.35">
      <c r="A6" s="17" t="s">
        <v>35</v>
      </c>
      <c r="B6" s="35">
        <v>45782</v>
      </c>
      <c r="C6" s="17" t="s">
        <v>12</v>
      </c>
      <c r="D6" s="17" t="s">
        <v>36</v>
      </c>
      <c r="E6" s="17" t="s">
        <v>37</v>
      </c>
      <c r="F6" s="17" t="s">
        <v>34</v>
      </c>
      <c r="G6" s="17" t="s">
        <v>38</v>
      </c>
      <c r="H6" s="17" t="s">
        <v>2589</v>
      </c>
      <c r="I6" s="17" t="s">
        <v>39</v>
      </c>
      <c r="J6" s="36">
        <v>4666.67</v>
      </c>
      <c r="K6" s="36">
        <v>524.33000000000004</v>
      </c>
      <c r="L6" s="36">
        <f t="shared" si="0"/>
        <v>-4142.34</v>
      </c>
      <c r="M6" s="37">
        <f t="shared" si="1"/>
        <v>-0.88764365168310599</v>
      </c>
      <c r="N6" s="17" t="str">
        <f t="shared" si="2"/>
        <v>Under Budget</v>
      </c>
      <c r="O6" s="38">
        <f t="shared" si="3"/>
        <v>-524.33000000000004</v>
      </c>
      <c r="P6" s="39">
        <f t="shared" si="4"/>
        <v>45778</v>
      </c>
    </row>
    <row r="7" spans="1:16" ht="15.5" x14ac:dyDescent="0.35">
      <c r="A7" s="17" t="s">
        <v>40</v>
      </c>
      <c r="B7" s="35">
        <v>45814</v>
      </c>
      <c r="C7" s="17" t="s">
        <v>12</v>
      </c>
      <c r="D7" s="17" t="s">
        <v>26</v>
      </c>
      <c r="E7" s="17" t="s">
        <v>41</v>
      </c>
      <c r="F7" s="17" t="s">
        <v>21</v>
      </c>
      <c r="G7" s="17" t="s">
        <v>38</v>
      </c>
      <c r="H7" s="17" t="s">
        <v>2590</v>
      </c>
      <c r="I7" s="17" t="s">
        <v>23</v>
      </c>
      <c r="J7" s="36">
        <v>6500</v>
      </c>
      <c r="K7" s="36">
        <v>10406.469999999999</v>
      </c>
      <c r="L7" s="36">
        <f t="shared" si="0"/>
        <v>3906.4699999999993</v>
      </c>
      <c r="M7" s="37">
        <f t="shared" si="1"/>
        <v>0.60099538461538449</v>
      </c>
      <c r="N7" s="17" t="str">
        <f t="shared" si="2"/>
        <v>Over Budget</v>
      </c>
      <c r="O7" s="38">
        <f t="shared" si="3"/>
        <v>-10406.469999999999</v>
      </c>
      <c r="P7" s="39">
        <f t="shared" si="4"/>
        <v>45809</v>
      </c>
    </row>
    <row r="8" spans="1:16" ht="15.5" x14ac:dyDescent="0.35">
      <c r="A8" s="17" t="s">
        <v>42</v>
      </c>
      <c r="B8" s="35">
        <v>45855</v>
      </c>
      <c r="C8" s="17" t="s">
        <v>25</v>
      </c>
      <c r="D8" s="17" t="s">
        <v>32</v>
      </c>
      <c r="E8" s="17" t="s">
        <v>33</v>
      </c>
      <c r="F8" s="17" t="s">
        <v>34</v>
      </c>
      <c r="G8" s="17" t="s">
        <v>43</v>
      </c>
      <c r="H8" s="17" t="s">
        <v>2591</v>
      </c>
      <c r="I8" s="17" t="s">
        <v>17</v>
      </c>
      <c r="J8" s="36">
        <v>9615.3799999999992</v>
      </c>
      <c r="K8" s="36">
        <v>19758.34</v>
      </c>
      <c r="L8" s="36">
        <f t="shared" si="0"/>
        <v>10142.960000000001</v>
      </c>
      <c r="M8" s="37">
        <f t="shared" si="1"/>
        <v>1.0548683463368065</v>
      </c>
      <c r="N8" s="17" t="str">
        <f t="shared" si="2"/>
        <v>Over Budget</v>
      </c>
      <c r="O8" s="38">
        <f t="shared" si="3"/>
        <v>19758.34</v>
      </c>
      <c r="P8" s="39">
        <f t="shared" si="4"/>
        <v>45839</v>
      </c>
    </row>
    <row r="9" spans="1:16" ht="15.5" x14ac:dyDescent="0.35">
      <c r="A9" s="17" t="s">
        <v>44</v>
      </c>
      <c r="B9" s="35">
        <v>45887</v>
      </c>
      <c r="C9" s="17" t="s">
        <v>12</v>
      </c>
      <c r="D9" s="17" t="s">
        <v>36</v>
      </c>
      <c r="E9" s="17" t="s">
        <v>45</v>
      </c>
      <c r="F9" s="17" t="s">
        <v>34</v>
      </c>
      <c r="G9" s="17" t="s">
        <v>22</v>
      </c>
      <c r="H9" s="17" t="s">
        <v>2590</v>
      </c>
      <c r="I9" s="17" t="s">
        <v>17</v>
      </c>
      <c r="J9" s="36">
        <v>7826.09</v>
      </c>
      <c r="K9" s="36">
        <v>12296.53</v>
      </c>
      <c r="L9" s="36">
        <f t="shared" si="0"/>
        <v>4470.4400000000005</v>
      </c>
      <c r="M9" s="37">
        <f t="shared" si="1"/>
        <v>0.57122266674674071</v>
      </c>
      <c r="N9" s="17" t="str">
        <f t="shared" si="2"/>
        <v>Over Budget</v>
      </c>
      <c r="O9" s="38">
        <f t="shared" si="3"/>
        <v>-12296.53</v>
      </c>
      <c r="P9" s="39">
        <f t="shared" si="4"/>
        <v>45870</v>
      </c>
    </row>
    <row r="10" spans="1:16" ht="15.5" x14ac:dyDescent="0.35">
      <c r="A10" s="17" t="s">
        <v>46</v>
      </c>
      <c r="B10" s="35">
        <v>45909</v>
      </c>
      <c r="C10" s="17" t="s">
        <v>12</v>
      </c>
      <c r="D10" s="17" t="s">
        <v>26</v>
      </c>
      <c r="E10" s="17" t="s">
        <v>47</v>
      </c>
      <c r="F10" s="17" t="s">
        <v>28</v>
      </c>
      <c r="G10" s="17" t="s">
        <v>38</v>
      </c>
      <c r="H10" s="17" t="s">
        <v>2592</v>
      </c>
      <c r="I10" s="17" t="s">
        <v>48</v>
      </c>
      <c r="J10" s="36">
        <v>7350</v>
      </c>
      <c r="K10" s="36">
        <v>251.01</v>
      </c>
      <c r="L10" s="36">
        <f t="shared" si="0"/>
        <v>-7098.99</v>
      </c>
      <c r="M10" s="37">
        <f t="shared" si="1"/>
        <v>-0.96584897959183669</v>
      </c>
      <c r="N10" s="17" t="str">
        <f t="shared" si="2"/>
        <v>Under Budget</v>
      </c>
      <c r="O10" s="38">
        <f t="shared" si="3"/>
        <v>-251.01</v>
      </c>
      <c r="P10" s="39">
        <f t="shared" si="4"/>
        <v>45901</v>
      </c>
    </row>
    <row r="11" spans="1:16" ht="15.5" x14ac:dyDescent="0.35">
      <c r="A11" s="17" t="s">
        <v>49</v>
      </c>
      <c r="B11" s="35">
        <v>45940</v>
      </c>
      <c r="C11" s="17" t="s">
        <v>25</v>
      </c>
      <c r="D11" s="17" t="s">
        <v>32</v>
      </c>
      <c r="E11" s="17" t="s">
        <v>33</v>
      </c>
      <c r="F11" s="17" t="s">
        <v>34</v>
      </c>
      <c r="G11" s="17" t="s">
        <v>22</v>
      </c>
      <c r="H11" s="17" t="s">
        <v>2583</v>
      </c>
      <c r="I11" s="17" t="s">
        <v>17</v>
      </c>
      <c r="J11" s="36">
        <v>10000</v>
      </c>
      <c r="K11" s="36">
        <v>7622.41</v>
      </c>
      <c r="L11" s="36">
        <f t="shared" si="0"/>
        <v>-2377.59</v>
      </c>
      <c r="M11" s="37">
        <f t="shared" si="1"/>
        <v>-0.23775900000000003</v>
      </c>
      <c r="N11" s="17" t="str">
        <f t="shared" si="2"/>
        <v>Under Budget</v>
      </c>
      <c r="O11" s="38">
        <f t="shared" si="3"/>
        <v>7622.41</v>
      </c>
      <c r="P11" s="39">
        <f t="shared" si="4"/>
        <v>45931</v>
      </c>
    </row>
    <row r="12" spans="1:16" ht="15.5" x14ac:dyDescent="0.35">
      <c r="A12" s="17" t="s">
        <v>50</v>
      </c>
      <c r="B12" s="35">
        <v>45982</v>
      </c>
      <c r="C12" s="17" t="s">
        <v>12</v>
      </c>
      <c r="D12" s="17" t="s">
        <v>36</v>
      </c>
      <c r="E12" s="17" t="s">
        <v>51</v>
      </c>
      <c r="F12" s="17" t="s">
        <v>52</v>
      </c>
      <c r="G12" s="17" t="s">
        <v>43</v>
      </c>
      <c r="H12" s="17" t="s">
        <v>2592</v>
      </c>
      <c r="I12" s="17" t="s">
        <v>48</v>
      </c>
      <c r="J12" s="36">
        <v>6000</v>
      </c>
      <c r="K12" s="36">
        <v>0</v>
      </c>
      <c r="L12" s="36">
        <f t="shared" si="0"/>
        <v>-6000</v>
      </c>
      <c r="M12" s="37">
        <f t="shared" si="1"/>
        <v>-1</v>
      </c>
      <c r="N12" s="17" t="str">
        <f t="shared" si="2"/>
        <v>Under Budget</v>
      </c>
      <c r="O12" s="38">
        <f t="shared" si="3"/>
        <v>0</v>
      </c>
      <c r="P12" s="39">
        <f t="shared" si="4"/>
        <v>45962</v>
      </c>
    </row>
    <row r="13" spans="1:16" ht="15.5" x14ac:dyDescent="0.35">
      <c r="A13" s="17" t="s">
        <v>53</v>
      </c>
      <c r="B13" s="35">
        <v>46003</v>
      </c>
      <c r="C13" s="17" t="s">
        <v>12</v>
      </c>
      <c r="D13" s="17" t="s">
        <v>13</v>
      </c>
      <c r="E13" s="17" t="s">
        <v>45</v>
      </c>
      <c r="F13" s="17" t="s">
        <v>28</v>
      </c>
      <c r="G13" s="17" t="s">
        <v>38</v>
      </c>
      <c r="H13" s="17" t="s">
        <v>2593</v>
      </c>
      <c r="I13" s="17" t="s">
        <v>39</v>
      </c>
      <c r="J13" s="36">
        <v>6715.38</v>
      </c>
      <c r="K13" s="36">
        <v>8473.89</v>
      </c>
      <c r="L13" s="36">
        <f t="shared" si="0"/>
        <v>1758.5099999999993</v>
      </c>
      <c r="M13" s="37">
        <f t="shared" si="1"/>
        <v>0.26186306657255426</v>
      </c>
      <c r="N13" s="17" t="str">
        <f t="shared" si="2"/>
        <v>Over Budget</v>
      </c>
      <c r="O13" s="38">
        <f t="shared" si="3"/>
        <v>-8473.89</v>
      </c>
      <c r="P13" s="39">
        <f t="shared" si="4"/>
        <v>45992</v>
      </c>
    </row>
    <row r="14" spans="1:16" ht="15.5" x14ac:dyDescent="0.35">
      <c r="A14" s="17" t="s">
        <v>54</v>
      </c>
      <c r="B14" s="35">
        <v>45989</v>
      </c>
      <c r="C14" s="17" t="s">
        <v>25</v>
      </c>
      <c r="D14" s="17" t="s">
        <v>19</v>
      </c>
      <c r="E14" s="17" t="s">
        <v>33</v>
      </c>
      <c r="F14" s="17" t="s">
        <v>34</v>
      </c>
      <c r="G14" s="17" t="s">
        <v>38</v>
      </c>
      <c r="H14" s="17" t="s">
        <v>2594</v>
      </c>
      <c r="I14" s="17" t="s">
        <v>30</v>
      </c>
      <c r="J14" s="36">
        <v>13125</v>
      </c>
      <c r="K14" s="36">
        <v>22751.08</v>
      </c>
      <c r="L14" s="36">
        <f t="shared" si="0"/>
        <v>9626.0800000000017</v>
      </c>
      <c r="M14" s="37">
        <f t="shared" si="1"/>
        <v>0.7334156190476192</v>
      </c>
      <c r="N14" s="17" t="str">
        <f t="shared" si="2"/>
        <v>Over Budget</v>
      </c>
      <c r="O14" s="38">
        <f t="shared" si="3"/>
        <v>22751.08</v>
      </c>
      <c r="P14" s="39">
        <f t="shared" si="4"/>
        <v>45962</v>
      </c>
    </row>
    <row r="15" spans="1:16" ht="15.5" x14ac:dyDescent="0.35">
      <c r="A15" s="17" t="s">
        <v>55</v>
      </c>
      <c r="B15" s="35">
        <v>45801</v>
      </c>
      <c r="C15" s="17" t="s">
        <v>12</v>
      </c>
      <c r="D15" s="17" t="s">
        <v>26</v>
      </c>
      <c r="E15" s="17" t="s">
        <v>37</v>
      </c>
      <c r="F15" s="17" t="s">
        <v>15</v>
      </c>
      <c r="G15" s="17" t="s">
        <v>22</v>
      </c>
      <c r="H15" s="17" t="s">
        <v>2586</v>
      </c>
      <c r="I15" s="17" t="s">
        <v>23</v>
      </c>
      <c r="J15" s="36">
        <v>4000</v>
      </c>
      <c r="K15" s="36">
        <v>409.66</v>
      </c>
      <c r="L15" s="36">
        <f t="shared" si="0"/>
        <v>-3590.34</v>
      </c>
      <c r="M15" s="37">
        <f t="shared" si="1"/>
        <v>-0.89758500000000008</v>
      </c>
      <c r="N15" s="17" t="str">
        <f t="shared" si="2"/>
        <v>Under Budget</v>
      </c>
      <c r="O15" s="38">
        <f t="shared" si="3"/>
        <v>-409.66</v>
      </c>
      <c r="P15" s="39">
        <f t="shared" si="4"/>
        <v>45778</v>
      </c>
    </row>
    <row r="16" spans="1:16" ht="15.5" x14ac:dyDescent="0.35">
      <c r="A16" s="17" t="s">
        <v>56</v>
      </c>
      <c r="B16" s="35">
        <v>46052</v>
      </c>
      <c r="C16" s="17" t="s">
        <v>12</v>
      </c>
      <c r="D16" s="17" t="s">
        <v>19</v>
      </c>
      <c r="E16" s="17" t="s">
        <v>45</v>
      </c>
      <c r="F16" s="17" t="s">
        <v>21</v>
      </c>
      <c r="G16" s="17" t="s">
        <v>22</v>
      </c>
      <c r="H16" s="17" t="s">
        <v>2589</v>
      </c>
      <c r="I16" s="17" t="s">
        <v>39</v>
      </c>
      <c r="J16" s="36">
        <v>6715.38</v>
      </c>
      <c r="K16" s="36">
        <v>13846.54</v>
      </c>
      <c r="L16" s="36">
        <f t="shared" si="0"/>
        <v>7131.1600000000008</v>
      </c>
      <c r="M16" s="37">
        <f t="shared" si="1"/>
        <v>1.0619145900902109</v>
      </c>
      <c r="N16" s="17" t="str">
        <f t="shared" si="2"/>
        <v>Over Budget</v>
      </c>
      <c r="O16" s="38">
        <f t="shared" si="3"/>
        <v>-13846.54</v>
      </c>
      <c r="P16" s="39">
        <f t="shared" si="4"/>
        <v>46023</v>
      </c>
    </row>
    <row r="17" spans="1:16" ht="15.5" x14ac:dyDescent="0.35">
      <c r="A17" s="17" t="s">
        <v>57</v>
      </c>
      <c r="B17" s="35">
        <v>45734</v>
      </c>
      <c r="C17" s="17" t="s">
        <v>12</v>
      </c>
      <c r="D17" s="17" t="s">
        <v>2584</v>
      </c>
      <c r="E17" s="17" t="s">
        <v>45</v>
      </c>
      <c r="F17" s="17" t="s">
        <v>34</v>
      </c>
      <c r="G17" s="17" t="s">
        <v>38</v>
      </c>
      <c r="H17" s="17" t="s">
        <v>2588</v>
      </c>
      <c r="I17" s="17" t="s">
        <v>23</v>
      </c>
      <c r="J17" s="36">
        <v>6000</v>
      </c>
      <c r="K17" s="36">
        <v>1515.76</v>
      </c>
      <c r="L17" s="36">
        <f t="shared" si="0"/>
        <v>-4484.24</v>
      </c>
      <c r="M17" s="37">
        <f t="shared" si="1"/>
        <v>-0.74737333333333333</v>
      </c>
      <c r="N17" s="17" t="str">
        <f t="shared" si="2"/>
        <v>Under Budget</v>
      </c>
      <c r="O17" s="38">
        <f t="shared" si="3"/>
        <v>-1515.76</v>
      </c>
      <c r="P17" s="39">
        <f t="shared" si="4"/>
        <v>45717</v>
      </c>
    </row>
    <row r="18" spans="1:16" ht="15.5" x14ac:dyDescent="0.35">
      <c r="A18" s="17" t="s">
        <v>58</v>
      </c>
      <c r="B18" s="35">
        <v>46028</v>
      </c>
      <c r="C18" s="17" t="s">
        <v>12</v>
      </c>
      <c r="D18" s="17" t="s">
        <v>19</v>
      </c>
      <c r="E18" s="17" t="s">
        <v>45</v>
      </c>
      <c r="F18" s="17" t="s">
        <v>28</v>
      </c>
      <c r="G18" s="17" t="s">
        <v>22</v>
      </c>
      <c r="H18" s="17" t="s">
        <v>2587</v>
      </c>
      <c r="I18" s="17" t="s">
        <v>23</v>
      </c>
      <c r="J18" s="36">
        <v>6715.38</v>
      </c>
      <c r="K18" s="36">
        <v>10794.25</v>
      </c>
      <c r="L18" s="36">
        <f t="shared" si="0"/>
        <v>4078.87</v>
      </c>
      <c r="M18" s="37">
        <f t="shared" si="1"/>
        <v>0.60739228457659877</v>
      </c>
      <c r="N18" s="17" t="str">
        <f t="shared" si="2"/>
        <v>Over Budget</v>
      </c>
      <c r="O18" s="38">
        <f t="shared" si="3"/>
        <v>-10794.25</v>
      </c>
      <c r="P18" s="39">
        <f t="shared" si="4"/>
        <v>46023</v>
      </c>
    </row>
    <row r="19" spans="1:16" ht="15.5" x14ac:dyDescent="0.35">
      <c r="A19" s="17" t="s">
        <v>59</v>
      </c>
      <c r="B19" s="35">
        <v>45740</v>
      </c>
      <c r="C19" s="17" t="s">
        <v>12</v>
      </c>
      <c r="D19" s="17" t="s">
        <v>36</v>
      </c>
      <c r="E19" s="17" t="s">
        <v>51</v>
      </c>
      <c r="F19" s="17" t="s">
        <v>34</v>
      </c>
      <c r="G19" s="17" t="s">
        <v>29</v>
      </c>
      <c r="H19" s="17" t="s">
        <v>60</v>
      </c>
      <c r="I19" s="17" t="s">
        <v>39</v>
      </c>
      <c r="J19" s="36">
        <v>3000</v>
      </c>
      <c r="K19" s="36">
        <v>4149.9399999999996</v>
      </c>
      <c r="L19" s="36">
        <f t="shared" si="0"/>
        <v>1149.9399999999996</v>
      </c>
      <c r="M19" s="37">
        <f t="shared" si="1"/>
        <v>0.38331333333333317</v>
      </c>
      <c r="N19" s="17" t="str">
        <f t="shared" si="2"/>
        <v>Over Budget</v>
      </c>
      <c r="O19" s="38">
        <f t="shared" si="3"/>
        <v>-4149.9399999999996</v>
      </c>
      <c r="P19" s="39">
        <f t="shared" si="4"/>
        <v>45717</v>
      </c>
    </row>
    <row r="20" spans="1:16" ht="15.5" x14ac:dyDescent="0.35">
      <c r="A20" s="17" t="s">
        <v>61</v>
      </c>
      <c r="B20" s="35">
        <v>45954</v>
      </c>
      <c r="C20" s="17" t="s">
        <v>25</v>
      </c>
      <c r="D20" s="17" t="s">
        <v>36</v>
      </c>
      <c r="E20" s="17" t="s">
        <v>33</v>
      </c>
      <c r="F20" s="17" t="s">
        <v>52</v>
      </c>
      <c r="G20" s="17" t="s">
        <v>16</v>
      </c>
      <c r="H20" s="17" t="s">
        <v>2595</v>
      </c>
      <c r="I20" s="17" t="s">
        <v>30</v>
      </c>
      <c r="J20" s="36">
        <v>8928.57</v>
      </c>
      <c r="K20" s="36">
        <v>11197.22</v>
      </c>
      <c r="L20" s="36">
        <f t="shared" si="0"/>
        <v>2268.6499999999996</v>
      </c>
      <c r="M20" s="37">
        <f t="shared" si="1"/>
        <v>0.2540888406542145</v>
      </c>
      <c r="N20" s="17" t="str">
        <f t="shared" si="2"/>
        <v>Over Budget</v>
      </c>
      <c r="O20" s="38">
        <f t="shared" si="3"/>
        <v>11197.22</v>
      </c>
      <c r="P20" s="39">
        <f t="shared" si="4"/>
        <v>45931</v>
      </c>
    </row>
    <row r="21" spans="1:16" ht="15.5" x14ac:dyDescent="0.35">
      <c r="A21" s="17" t="s">
        <v>62</v>
      </c>
      <c r="B21" s="35">
        <v>45954</v>
      </c>
      <c r="C21" s="17" t="s">
        <v>12</v>
      </c>
      <c r="D21" s="17" t="s">
        <v>13</v>
      </c>
      <c r="E21" s="17" t="s">
        <v>45</v>
      </c>
      <c r="F21" s="17" t="s">
        <v>34</v>
      </c>
      <c r="G21" s="17" t="s">
        <v>43</v>
      </c>
      <c r="H21" s="17" t="s">
        <v>2593</v>
      </c>
      <c r="I21" s="17" t="s">
        <v>17</v>
      </c>
      <c r="J21" s="36">
        <v>7826.09</v>
      </c>
      <c r="K21" s="36">
        <v>5637.22</v>
      </c>
      <c r="L21" s="36">
        <f t="shared" si="0"/>
        <v>-2188.87</v>
      </c>
      <c r="M21" s="37">
        <f t="shared" si="1"/>
        <v>-0.27968883567656389</v>
      </c>
      <c r="N21" s="17" t="str">
        <f t="shared" si="2"/>
        <v>Under Budget</v>
      </c>
      <c r="O21" s="38">
        <f t="shared" si="3"/>
        <v>-5637.22</v>
      </c>
      <c r="P21" s="39">
        <f t="shared" si="4"/>
        <v>45931</v>
      </c>
    </row>
    <row r="22" spans="1:16" ht="15.5" x14ac:dyDescent="0.35">
      <c r="A22" s="17" t="s">
        <v>63</v>
      </c>
      <c r="B22" s="35">
        <v>45833</v>
      </c>
      <c r="C22" s="17" t="s">
        <v>12</v>
      </c>
      <c r="D22" s="17" t="s">
        <v>32</v>
      </c>
      <c r="E22" s="17" t="s">
        <v>45</v>
      </c>
      <c r="F22" s="17" t="s">
        <v>28</v>
      </c>
      <c r="G22" s="17" t="s">
        <v>16</v>
      </c>
      <c r="H22" s="17" t="s">
        <v>2587</v>
      </c>
      <c r="I22" s="17" t="s">
        <v>30</v>
      </c>
      <c r="J22" s="36">
        <v>6428.57</v>
      </c>
      <c r="K22" s="36">
        <v>10343.459999999999</v>
      </c>
      <c r="L22" s="36">
        <f t="shared" si="0"/>
        <v>3914.8899999999994</v>
      </c>
      <c r="M22" s="37">
        <f t="shared" si="1"/>
        <v>0.60898302421844974</v>
      </c>
      <c r="N22" s="17" t="str">
        <f t="shared" si="2"/>
        <v>Over Budget</v>
      </c>
      <c r="O22" s="38">
        <f t="shared" si="3"/>
        <v>-10343.459999999999</v>
      </c>
      <c r="P22" s="39">
        <f t="shared" si="4"/>
        <v>45809</v>
      </c>
    </row>
    <row r="23" spans="1:16" ht="15.5" x14ac:dyDescent="0.35">
      <c r="A23" s="17" t="s">
        <v>64</v>
      </c>
      <c r="B23" s="35">
        <v>46183</v>
      </c>
      <c r="C23" s="17" t="s">
        <v>12</v>
      </c>
      <c r="D23" s="17" t="s">
        <v>2584</v>
      </c>
      <c r="E23" s="17" t="s">
        <v>65</v>
      </c>
      <c r="F23" s="17" t="s">
        <v>15</v>
      </c>
      <c r="G23" s="17" t="s">
        <v>38</v>
      </c>
      <c r="H23" s="17" t="s">
        <v>2589</v>
      </c>
      <c r="I23" s="17" t="s">
        <v>23</v>
      </c>
      <c r="J23" s="36">
        <v>3666.67</v>
      </c>
      <c r="K23" s="36">
        <v>2526.9</v>
      </c>
      <c r="L23" s="36">
        <f t="shared" si="0"/>
        <v>-1139.77</v>
      </c>
      <c r="M23" s="37">
        <f t="shared" si="1"/>
        <v>-0.31084608104901723</v>
      </c>
      <c r="N23" s="17" t="str">
        <f t="shared" si="2"/>
        <v>Under Budget</v>
      </c>
      <c r="O23" s="38">
        <f t="shared" si="3"/>
        <v>-2526.9</v>
      </c>
      <c r="P23" s="39">
        <f t="shared" si="4"/>
        <v>46174</v>
      </c>
    </row>
    <row r="24" spans="1:16" ht="15.5" x14ac:dyDescent="0.35">
      <c r="A24" s="17" t="s">
        <v>66</v>
      </c>
      <c r="B24" s="35">
        <v>45821</v>
      </c>
      <c r="C24" s="17" t="s">
        <v>12</v>
      </c>
      <c r="D24" s="17" t="s">
        <v>13</v>
      </c>
      <c r="E24" s="17" t="s">
        <v>14</v>
      </c>
      <c r="F24" s="17" t="s">
        <v>15</v>
      </c>
      <c r="G24" s="17" t="s">
        <v>22</v>
      </c>
      <c r="H24" s="17" t="s">
        <v>2590</v>
      </c>
      <c r="I24" s="17" t="s">
        <v>48</v>
      </c>
      <c r="J24" s="36">
        <v>4571.43</v>
      </c>
      <c r="K24" s="36">
        <v>6251.93</v>
      </c>
      <c r="L24" s="36">
        <f t="shared" si="0"/>
        <v>1680.5</v>
      </c>
      <c r="M24" s="37">
        <f t="shared" si="1"/>
        <v>0.36760926012210621</v>
      </c>
      <c r="N24" s="17" t="str">
        <f t="shared" si="2"/>
        <v>Over Budget</v>
      </c>
      <c r="O24" s="38">
        <f t="shared" si="3"/>
        <v>-6251.93</v>
      </c>
      <c r="P24" s="39">
        <f t="shared" si="4"/>
        <v>45809</v>
      </c>
    </row>
    <row r="25" spans="1:16" ht="15.5" x14ac:dyDescent="0.35">
      <c r="A25" s="17" t="s">
        <v>67</v>
      </c>
      <c r="B25" s="35">
        <v>45670</v>
      </c>
      <c r="C25" s="17" t="s">
        <v>12</v>
      </c>
      <c r="D25" s="17" t="s">
        <v>36</v>
      </c>
      <c r="E25" s="17" t="s">
        <v>20</v>
      </c>
      <c r="F25" s="17" t="s">
        <v>52</v>
      </c>
      <c r="G25" s="17" t="s">
        <v>29</v>
      </c>
      <c r="H25" s="17" t="s">
        <v>2586</v>
      </c>
      <c r="I25" s="17" t="s">
        <v>23</v>
      </c>
      <c r="J25" s="36">
        <v>1746</v>
      </c>
      <c r="K25" s="36">
        <v>1356.88</v>
      </c>
      <c r="L25" s="36">
        <f t="shared" si="0"/>
        <v>-389.11999999999989</v>
      </c>
      <c r="M25" s="37">
        <f t="shared" si="1"/>
        <v>-0.22286368843069868</v>
      </c>
      <c r="N25" s="17" t="str">
        <f t="shared" si="2"/>
        <v>Under Budget</v>
      </c>
      <c r="O25" s="38">
        <f t="shared" si="3"/>
        <v>-1356.88</v>
      </c>
      <c r="P25" s="39">
        <f t="shared" si="4"/>
        <v>45658</v>
      </c>
    </row>
    <row r="26" spans="1:16" ht="15.5" x14ac:dyDescent="0.35">
      <c r="A26" s="17" t="s">
        <v>68</v>
      </c>
      <c r="B26" s="35">
        <v>45675</v>
      </c>
      <c r="C26" s="17" t="s">
        <v>12</v>
      </c>
      <c r="D26" s="17" t="s">
        <v>36</v>
      </c>
      <c r="E26" s="17" t="s">
        <v>45</v>
      </c>
      <c r="F26" s="17" t="s">
        <v>15</v>
      </c>
      <c r="G26" s="17" t="s">
        <v>38</v>
      </c>
      <c r="H26" s="17" t="s">
        <v>2587</v>
      </c>
      <c r="I26" s="17" t="s">
        <v>48</v>
      </c>
      <c r="J26" s="36">
        <v>7591.3</v>
      </c>
      <c r="K26" s="36">
        <v>11109.38</v>
      </c>
      <c r="L26" s="36">
        <f t="shared" si="0"/>
        <v>3518.079999999999</v>
      </c>
      <c r="M26" s="37">
        <f t="shared" si="1"/>
        <v>0.46343577516367407</v>
      </c>
      <c r="N26" s="17" t="str">
        <f t="shared" si="2"/>
        <v>Over Budget</v>
      </c>
      <c r="O26" s="38">
        <f t="shared" si="3"/>
        <v>-11109.38</v>
      </c>
      <c r="P26" s="39">
        <f t="shared" si="4"/>
        <v>45658</v>
      </c>
    </row>
    <row r="27" spans="1:16" ht="15.5" x14ac:dyDescent="0.35">
      <c r="A27" s="17" t="s">
        <v>69</v>
      </c>
      <c r="B27" s="35">
        <v>46202</v>
      </c>
      <c r="C27" s="17" t="s">
        <v>12</v>
      </c>
      <c r="D27" s="17" t="s">
        <v>36</v>
      </c>
      <c r="E27" s="17" t="s">
        <v>47</v>
      </c>
      <c r="F27" s="17" t="s">
        <v>52</v>
      </c>
      <c r="G27" s="17" t="s">
        <v>38</v>
      </c>
      <c r="H27" s="17" t="s">
        <v>2586</v>
      </c>
      <c r="I27" s="17" t="s">
        <v>39</v>
      </c>
      <c r="J27" s="36">
        <v>5000</v>
      </c>
      <c r="K27" s="36">
        <v>168.29</v>
      </c>
      <c r="L27" s="36">
        <f t="shared" si="0"/>
        <v>-4831.71</v>
      </c>
      <c r="M27" s="37">
        <f t="shared" si="1"/>
        <v>-0.96634200000000003</v>
      </c>
      <c r="N27" s="17" t="str">
        <f t="shared" si="2"/>
        <v>Under Budget</v>
      </c>
      <c r="O27" s="38">
        <f t="shared" si="3"/>
        <v>-168.29</v>
      </c>
      <c r="P27" s="39">
        <f t="shared" si="4"/>
        <v>46174</v>
      </c>
    </row>
    <row r="28" spans="1:16" ht="15.5" x14ac:dyDescent="0.35">
      <c r="A28" s="17" t="s">
        <v>70</v>
      </c>
      <c r="B28" s="35">
        <v>46187</v>
      </c>
      <c r="C28" s="17" t="s">
        <v>12</v>
      </c>
      <c r="D28" s="17" t="s">
        <v>2585</v>
      </c>
      <c r="E28" s="17" t="s">
        <v>41</v>
      </c>
      <c r="F28" s="17" t="s">
        <v>21</v>
      </c>
      <c r="G28" s="17" t="s">
        <v>43</v>
      </c>
      <c r="H28" s="17" t="s">
        <v>2587</v>
      </c>
      <c r="I28" s="17" t="s">
        <v>17</v>
      </c>
      <c r="J28" s="36">
        <v>5416.67</v>
      </c>
      <c r="K28" s="36">
        <v>4397.87</v>
      </c>
      <c r="L28" s="36">
        <f t="shared" si="0"/>
        <v>-1018.8000000000002</v>
      </c>
      <c r="M28" s="37">
        <f t="shared" si="1"/>
        <v>-0.18808603810089966</v>
      </c>
      <c r="N28" s="17" t="str">
        <f t="shared" si="2"/>
        <v>Under Budget</v>
      </c>
      <c r="O28" s="38">
        <f t="shared" si="3"/>
        <v>-4397.87</v>
      </c>
      <c r="P28" s="39">
        <f t="shared" si="4"/>
        <v>46174</v>
      </c>
    </row>
    <row r="29" spans="1:16" ht="15.5" x14ac:dyDescent="0.35">
      <c r="A29" s="17" t="s">
        <v>71</v>
      </c>
      <c r="B29" s="35">
        <v>46108</v>
      </c>
      <c r="C29" s="17" t="s">
        <v>25</v>
      </c>
      <c r="D29" s="17" t="s">
        <v>32</v>
      </c>
      <c r="E29" s="17" t="s">
        <v>27</v>
      </c>
      <c r="F29" s="17" t="s">
        <v>34</v>
      </c>
      <c r="G29" s="17" t="s">
        <v>43</v>
      </c>
      <c r="H29" s="17" t="s">
        <v>2587</v>
      </c>
      <c r="I29" s="17" t="s">
        <v>30</v>
      </c>
      <c r="J29" s="36">
        <v>10000</v>
      </c>
      <c r="K29" s="36">
        <v>2477.4899999999998</v>
      </c>
      <c r="L29" s="36">
        <f t="shared" si="0"/>
        <v>-7522.51</v>
      </c>
      <c r="M29" s="37">
        <f t="shared" si="1"/>
        <v>-0.752251</v>
      </c>
      <c r="N29" s="17" t="str">
        <f t="shared" si="2"/>
        <v>Under Budget</v>
      </c>
      <c r="O29" s="38">
        <f t="shared" si="3"/>
        <v>2477.4899999999998</v>
      </c>
      <c r="P29" s="39">
        <f t="shared" si="4"/>
        <v>46082</v>
      </c>
    </row>
    <row r="30" spans="1:16" ht="15.5" x14ac:dyDescent="0.35">
      <c r="A30" s="17" t="s">
        <v>72</v>
      </c>
      <c r="B30" s="35">
        <v>45942</v>
      </c>
      <c r="C30" s="17" t="s">
        <v>12</v>
      </c>
      <c r="D30" s="17" t="s">
        <v>2585</v>
      </c>
      <c r="E30" s="17" t="s">
        <v>45</v>
      </c>
      <c r="F30" s="17" t="s">
        <v>52</v>
      </c>
      <c r="G30" s="17" t="s">
        <v>38</v>
      </c>
      <c r="H30" s="17" t="s">
        <v>2589</v>
      </c>
      <c r="I30" s="17" t="s">
        <v>48</v>
      </c>
      <c r="J30" s="36">
        <v>7826.09</v>
      </c>
      <c r="K30" s="36">
        <v>11704.37</v>
      </c>
      <c r="L30" s="36">
        <f t="shared" si="0"/>
        <v>3878.2800000000007</v>
      </c>
      <c r="M30" s="37">
        <f t="shared" si="1"/>
        <v>0.49555780728307502</v>
      </c>
      <c r="N30" s="17" t="str">
        <f t="shared" si="2"/>
        <v>Over Budget</v>
      </c>
      <c r="O30" s="38">
        <f t="shared" si="3"/>
        <v>-11704.37</v>
      </c>
      <c r="P30" s="39">
        <f t="shared" si="4"/>
        <v>45931</v>
      </c>
    </row>
    <row r="31" spans="1:16" ht="15.5" x14ac:dyDescent="0.35">
      <c r="A31" s="17" t="s">
        <v>73</v>
      </c>
      <c r="B31" s="35">
        <v>45661</v>
      </c>
      <c r="C31" s="17" t="s">
        <v>12</v>
      </c>
      <c r="D31" s="17" t="s">
        <v>19</v>
      </c>
      <c r="E31" s="17" t="s">
        <v>74</v>
      </c>
      <c r="F31" s="17" t="s">
        <v>21</v>
      </c>
      <c r="G31" s="17" t="s">
        <v>38</v>
      </c>
      <c r="H31" s="17" t="s">
        <v>60</v>
      </c>
      <c r="I31" s="17" t="s">
        <v>23</v>
      </c>
      <c r="J31" s="36">
        <v>5542.86</v>
      </c>
      <c r="K31" s="36">
        <v>2884.18</v>
      </c>
      <c r="L31" s="36">
        <f t="shared" si="0"/>
        <v>-2658.68</v>
      </c>
      <c r="M31" s="37">
        <f t="shared" si="1"/>
        <v>-0.47965851563994039</v>
      </c>
      <c r="N31" s="17" t="str">
        <f t="shared" si="2"/>
        <v>Under Budget</v>
      </c>
      <c r="O31" s="38">
        <f t="shared" si="3"/>
        <v>-2884.18</v>
      </c>
      <c r="P31" s="39">
        <f t="shared" si="4"/>
        <v>45658</v>
      </c>
    </row>
    <row r="32" spans="1:16" ht="15.5" x14ac:dyDescent="0.35">
      <c r="A32" s="17" t="s">
        <v>75</v>
      </c>
      <c r="B32" s="35">
        <v>45815</v>
      </c>
      <c r="C32" s="17" t="s">
        <v>12</v>
      </c>
      <c r="D32" s="17" t="s">
        <v>2585</v>
      </c>
      <c r="E32" s="17" t="s">
        <v>45</v>
      </c>
      <c r="F32" s="17" t="s">
        <v>15</v>
      </c>
      <c r="G32" s="17" t="s">
        <v>43</v>
      </c>
      <c r="H32" s="17" t="s">
        <v>2596</v>
      </c>
      <c r="I32" s="17" t="s">
        <v>48</v>
      </c>
      <c r="J32" s="36">
        <v>6428.57</v>
      </c>
      <c r="K32" s="36">
        <v>11223.47</v>
      </c>
      <c r="L32" s="36">
        <f t="shared" si="0"/>
        <v>4794.8999999999996</v>
      </c>
      <c r="M32" s="37">
        <f t="shared" si="1"/>
        <v>0.74587349908299982</v>
      </c>
      <c r="N32" s="17" t="str">
        <f t="shared" si="2"/>
        <v>Over Budget</v>
      </c>
      <c r="O32" s="38">
        <f t="shared" si="3"/>
        <v>-11223.47</v>
      </c>
      <c r="P32" s="39">
        <f t="shared" si="4"/>
        <v>45809</v>
      </c>
    </row>
    <row r="33" spans="1:16" ht="15.5" x14ac:dyDescent="0.35">
      <c r="A33" s="17" t="s">
        <v>76</v>
      </c>
      <c r="B33" s="35">
        <v>45722</v>
      </c>
      <c r="C33" s="17" t="s">
        <v>12</v>
      </c>
      <c r="D33" s="17" t="s">
        <v>19</v>
      </c>
      <c r="E33" s="17" t="s">
        <v>77</v>
      </c>
      <c r="F33" s="17" t="s">
        <v>52</v>
      </c>
      <c r="G33" s="17" t="s">
        <v>38</v>
      </c>
      <c r="H33" s="17" t="s">
        <v>2583</v>
      </c>
      <c r="I33" s="17" t="s">
        <v>17</v>
      </c>
      <c r="J33" s="36">
        <v>3142.86</v>
      </c>
      <c r="K33" s="36">
        <v>1924.81</v>
      </c>
      <c r="L33" s="36">
        <f t="shared" si="0"/>
        <v>-1218.0500000000002</v>
      </c>
      <c r="M33" s="37">
        <f t="shared" si="1"/>
        <v>-0.38756101130817155</v>
      </c>
      <c r="N33" s="17" t="str">
        <f t="shared" si="2"/>
        <v>Under Budget</v>
      </c>
      <c r="O33" s="38">
        <f t="shared" si="3"/>
        <v>-1924.81</v>
      </c>
      <c r="P33" s="39">
        <f t="shared" si="4"/>
        <v>45717</v>
      </c>
    </row>
    <row r="34" spans="1:16" ht="15.5" x14ac:dyDescent="0.35">
      <c r="A34" s="17" t="s">
        <v>78</v>
      </c>
      <c r="B34" s="35">
        <v>46117</v>
      </c>
      <c r="C34" s="17" t="s">
        <v>25</v>
      </c>
      <c r="D34" s="17" t="s">
        <v>36</v>
      </c>
      <c r="E34" s="17" t="s">
        <v>33</v>
      </c>
      <c r="F34" s="17" t="s">
        <v>21</v>
      </c>
      <c r="G34" s="17" t="s">
        <v>38</v>
      </c>
      <c r="H34" s="17" t="s">
        <v>2596</v>
      </c>
      <c r="I34" s="17" t="s">
        <v>23</v>
      </c>
      <c r="J34" s="36">
        <v>8333.33</v>
      </c>
      <c r="K34" s="36">
        <v>3995.86</v>
      </c>
      <c r="L34" s="36">
        <f t="shared" si="0"/>
        <v>-4337.4699999999993</v>
      </c>
      <c r="M34" s="37">
        <f t="shared" si="1"/>
        <v>-0.52049660819864318</v>
      </c>
      <c r="N34" s="17" t="str">
        <f t="shared" si="2"/>
        <v>Under Budget</v>
      </c>
      <c r="O34" s="38">
        <f t="shared" si="3"/>
        <v>3995.86</v>
      </c>
      <c r="P34" s="39">
        <f t="shared" si="4"/>
        <v>46113</v>
      </c>
    </row>
    <row r="35" spans="1:16" ht="15.5" x14ac:dyDescent="0.35">
      <c r="A35" s="17" t="s">
        <v>79</v>
      </c>
      <c r="B35" s="35">
        <v>46157</v>
      </c>
      <c r="C35" s="17" t="s">
        <v>25</v>
      </c>
      <c r="D35" s="17" t="s">
        <v>32</v>
      </c>
      <c r="E35" s="17" t="s">
        <v>33</v>
      </c>
      <c r="F35" s="17" t="s">
        <v>52</v>
      </c>
      <c r="G35" s="17" t="s">
        <v>38</v>
      </c>
      <c r="H35" s="17" t="s">
        <v>80</v>
      </c>
      <c r="I35" s="17" t="s">
        <v>23</v>
      </c>
      <c r="J35" s="36">
        <v>10869.57</v>
      </c>
      <c r="K35" s="36">
        <v>3241.06</v>
      </c>
      <c r="L35" s="36">
        <f t="shared" si="0"/>
        <v>-7628.51</v>
      </c>
      <c r="M35" s="37">
        <f t="shared" si="1"/>
        <v>-0.70182261119805112</v>
      </c>
      <c r="N35" s="17" t="str">
        <f t="shared" si="2"/>
        <v>Under Budget</v>
      </c>
      <c r="O35" s="38">
        <f t="shared" si="3"/>
        <v>3241.06</v>
      </c>
      <c r="P35" s="39">
        <f t="shared" si="4"/>
        <v>46143</v>
      </c>
    </row>
    <row r="36" spans="1:16" ht="15.5" x14ac:dyDescent="0.35">
      <c r="A36" s="17" t="s">
        <v>81</v>
      </c>
      <c r="B36" s="35">
        <v>46111</v>
      </c>
      <c r="C36" s="17" t="s">
        <v>12</v>
      </c>
      <c r="D36" s="17" t="s">
        <v>26</v>
      </c>
      <c r="E36" s="17" t="s">
        <v>41</v>
      </c>
      <c r="F36" s="17" t="s">
        <v>34</v>
      </c>
      <c r="G36" s="17" t="s">
        <v>82</v>
      </c>
      <c r="H36" s="17" t="s">
        <v>2597</v>
      </c>
      <c r="I36" s="17" t="s">
        <v>30</v>
      </c>
      <c r="J36" s="36">
        <v>6500</v>
      </c>
      <c r="K36" s="36">
        <v>5520.92</v>
      </c>
      <c r="L36" s="36">
        <f t="shared" si="0"/>
        <v>-979.07999999999993</v>
      </c>
      <c r="M36" s="37">
        <f t="shared" si="1"/>
        <v>-0.1506276923076923</v>
      </c>
      <c r="N36" s="17" t="str">
        <f t="shared" si="2"/>
        <v>Under Budget</v>
      </c>
      <c r="O36" s="38">
        <f t="shared" si="3"/>
        <v>-5520.92</v>
      </c>
      <c r="P36" s="39">
        <f t="shared" si="4"/>
        <v>46082</v>
      </c>
    </row>
    <row r="37" spans="1:16" ht="15.5" x14ac:dyDescent="0.35">
      <c r="A37" s="17" t="s">
        <v>83</v>
      </c>
      <c r="B37" s="35">
        <v>45950</v>
      </c>
      <c r="C37" s="17" t="s">
        <v>25</v>
      </c>
      <c r="D37" s="17" t="s">
        <v>32</v>
      </c>
      <c r="E37" s="17" t="s">
        <v>33</v>
      </c>
      <c r="F37" s="17" t="s">
        <v>28</v>
      </c>
      <c r="G37" s="17" t="s">
        <v>38</v>
      </c>
      <c r="H37" s="17" t="s">
        <v>2597</v>
      </c>
      <c r="I37" s="17" t="s">
        <v>48</v>
      </c>
      <c r="J37" s="36">
        <v>8928.57</v>
      </c>
      <c r="K37" s="36">
        <v>14452.32</v>
      </c>
      <c r="L37" s="36">
        <f t="shared" si="0"/>
        <v>5523.75</v>
      </c>
      <c r="M37" s="37">
        <f t="shared" si="1"/>
        <v>0.6186600989856158</v>
      </c>
      <c r="N37" s="17" t="str">
        <f t="shared" si="2"/>
        <v>Over Budget</v>
      </c>
      <c r="O37" s="38">
        <f t="shared" si="3"/>
        <v>14452.32</v>
      </c>
      <c r="P37" s="39">
        <f t="shared" si="4"/>
        <v>45931</v>
      </c>
    </row>
    <row r="38" spans="1:16" ht="15.5" x14ac:dyDescent="0.35">
      <c r="A38" s="17" t="s">
        <v>84</v>
      </c>
      <c r="B38" s="35">
        <v>46163</v>
      </c>
      <c r="C38" s="17" t="s">
        <v>25</v>
      </c>
      <c r="D38" s="17" t="s">
        <v>32</v>
      </c>
      <c r="E38" s="17" t="s">
        <v>27</v>
      </c>
      <c r="F38" s="17" t="s">
        <v>52</v>
      </c>
      <c r="G38" s="17" t="s">
        <v>82</v>
      </c>
      <c r="H38" s="17" t="s">
        <v>2595</v>
      </c>
      <c r="I38" s="17" t="s">
        <v>30</v>
      </c>
      <c r="J38" s="36">
        <v>6153.85</v>
      </c>
      <c r="K38" s="36">
        <v>7406.25</v>
      </c>
      <c r="L38" s="36">
        <f t="shared" si="0"/>
        <v>1252.3999999999996</v>
      </c>
      <c r="M38" s="37">
        <f t="shared" si="1"/>
        <v>0.20351487280320443</v>
      </c>
      <c r="N38" s="17" t="str">
        <f t="shared" si="2"/>
        <v>Over Budget</v>
      </c>
      <c r="O38" s="38">
        <f t="shared" si="3"/>
        <v>7406.25</v>
      </c>
      <c r="P38" s="39">
        <f t="shared" si="4"/>
        <v>46143</v>
      </c>
    </row>
    <row r="39" spans="1:16" ht="15.5" x14ac:dyDescent="0.35">
      <c r="A39" s="17" t="s">
        <v>85</v>
      </c>
      <c r="B39" s="35">
        <v>45788</v>
      </c>
      <c r="C39" s="17" t="s">
        <v>12</v>
      </c>
      <c r="D39" s="17" t="s">
        <v>2585</v>
      </c>
      <c r="E39" s="17" t="s">
        <v>51</v>
      </c>
      <c r="F39" s="17" t="s">
        <v>52</v>
      </c>
      <c r="G39" s="17" t="s">
        <v>22</v>
      </c>
      <c r="H39" s="17" t="s">
        <v>60</v>
      </c>
      <c r="I39" s="17" t="s">
        <v>48</v>
      </c>
      <c r="J39" s="36">
        <v>2307.69</v>
      </c>
      <c r="K39" s="36">
        <v>6342.47</v>
      </c>
      <c r="L39" s="36">
        <f t="shared" si="0"/>
        <v>4034.78</v>
      </c>
      <c r="M39" s="37">
        <f t="shared" si="1"/>
        <v>1.7484064150730818</v>
      </c>
      <c r="N39" s="17" t="str">
        <f t="shared" si="2"/>
        <v>Over Budget</v>
      </c>
      <c r="O39" s="38">
        <f t="shared" si="3"/>
        <v>-6342.47</v>
      </c>
      <c r="P39" s="39">
        <f t="shared" si="4"/>
        <v>45778</v>
      </c>
    </row>
    <row r="40" spans="1:16" ht="15.5" x14ac:dyDescent="0.35">
      <c r="A40" s="17" t="s">
        <v>86</v>
      </c>
      <c r="B40" s="35">
        <v>46185</v>
      </c>
      <c r="C40" s="17" t="s">
        <v>12</v>
      </c>
      <c r="D40" s="17" t="s">
        <v>2585</v>
      </c>
      <c r="E40" s="17" t="s">
        <v>20</v>
      </c>
      <c r="F40" s="17" t="s">
        <v>52</v>
      </c>
      <c r="G40" s="17" t="s">
        <v>22</v>
      </c>
      <c r="H40" s="17" t="s">
        <v>2596</v>
      </c>
      <c r="I40" s="17" t="s">
        <v>48</v>
      </c>
      <c r="J40" s="36">
        <v>3000</v>
      </c>
      <c r="K40" s="36">
        <v>516.30999999999995</v>
      </c>
      <c r="L40" s="36">
        <f t="shared" si="0"/>
        <v>-2483.69</v>
      </c>
      <c r="M40" s="37">
        <f t="shared" si="1"/>
        <v>-0.82789666666666673</v>
      </c>
      <c r="N40" s="17" t="str">
        <f t="shared" si="2"/>
        <v>Under Budget</v>
      </c>
      <c r="O40" s="38">
        <f t="shared" si="3"/>
        <v>-516.30999999999995</v>
      </c>
      <c r="P40" s="39">
        <f t="shared" si="4"/>
        <v>46174</v>
      </c>
    </row>
    <row r="41" spans="1:16" ht="15.5" x14ac:dyDescent="0.35">
      <c r="A41" s="17" t="s">
        <v>87</v>
      </c>
      <c r="B41" s="35">
        <v>45987</v>
      </c>
      <c r="C41" s="17" t="s">
        <v>12</v>
      </c>
      <c r="D41" s="17" t="s">
        <v>26</v>
      </c>
      <c r="E41" s="17" t="s">
        <v>20</v>
      </c>
      <c r="F41" s="17" t="s">
        <v>34</v>
      </c>
      <c r="G41" s="17" t="s">
        <v>38</v>
      </c>
      <c r="H41" s="17" t="s">
        <v>2598</v>
      </c>
      <c r="I41" s="17" t="s">
        <v>30</v>
      </c>
      <c r="J41" s="36">
        <v>1890</v>
      </c>
      <c r="K41" s="36">
        <v>714.06</v>
      </c>
      <c r="L41" s="36">
        <f t="shared" si="0"/>
        <v>-1175.94</v>
      </c>
      <c r="M41" s="37">
        <f t="shared" si="1"/>
        <v>-0.62219047619047618</v>
      </c>
      <c r="N41" s="17" t="str">
        <f t="shared" si="2"/>
        <v>Under Budget</v>
      </c>
      <c r="O41" s="38">
        <f t="shared" si="3"/>
        <v>-714.06</v>
      </c>
      <c r="P41" s="39">
        <f t="shared" si="4"/>
        <v>45962</v>
      </c>
    </row>
    <row r="42" spans="1:16" ht="15.5" x14ac:dyDescent="0.35">
      <c r="A42" s="17" t="s">
        <v>88</v>
      </c>
      <c r="B42" s="35">
        <v>46024</v>
      </c>
      <c r="C42" s="17" t="s">
        <v>12</v>
      </c>
      <c r="D42" s="17" t="s">
        <v>2585</v>
      </c>
      <c r="E42" s="17" t="s">
        <v>65</v>
      </c>
      <c r="F42" s="17" t="s">
        <v>34</v>
      </c>
      <c r="G42" s="17" t="s">
        <v>16</v>
      </c>
      <c r="H42" s="17" t="s">
        <v>80</v>
      </c>
      <c r="I42" s="17" t="s">
        <v>39</v>
      </c>
      <c r="J42" s="36">
        <v>7621.43</v>
      </c>
      <c r="K42" s="36">
        <v>7682.48</v>
      </c>
      <c r="L42" s="36">
        <f t="shared" si="0"/>
        <v>61.049999999999272</v>
      </c>
      <c r="M42" s="37">
        <f t="shared" si="1"/>
        <v>8.0103077768869189E-3</v>
      </c>
      <c r="N42" s="17" t="str">
        <f t="shared" si="2"/>
        <v>Over Budget</v>
      </c>
      <c r="O42" s="38">
        <f t="shared" si="3"/>
        <v>-7682.48</v>
      </c>
      <c r="P42" s="39">
        <f t="shared" si="4"/>
        <v>46023</v>
      </c>
    </row>
    <row r="43" spans="1:16" ht="15.5" x14ac:dyDescent="0.35">
      <c r="A43" s="17" t="s">
        <v>89</v>
      </c>
      <c r="B43" s="35">
        <v>46076</v>
      </c>
      <c r="C43" s="17" t="s">
        <v>25</v>
      </c>
      <c r="D43" s="17" t="s">
        <v>32</v>
      </c>
      <c r="E43" s="17" t="s">
        <v>27</v>
      </c>
      <c r="F43" s="17" t="s">
        <v>15</v>
      </c>
      <c r="G43" s="17" t="s">
        <v>38</v>
      </c>
      <c r="H43" s="17" t="s">
        <v>2592</v>
      </c>
      <c r="I43" s="17" t="s">
        <v>39</v>
      </c>
      <c r="J43" s="36">
        <v>12933.33</v>
      </c>
      <c r="K43" s="36">
        <v>5588.91</v>
      </c>
      <c r="L43" s="36">
        <f t="shared" si="0"/>
        <v>-7344.42</v>
      </c>
      <c r="M43" s="37">
        <f t="shared" si="1"/>
        <v>-0.56786767213084333</v>
      </c>
      <c r="N43" s="17" t="str">
        <f t="shared" si="2"/>
        <v>Under Budget</v>
      </c>
      <c r="O43" s="38">
        <f t="shared" si="3"/>
        <v>5588.91</v>
      </c>
      <c r="P43" s="39">
        <f t="shared" si="4"/>
        <v>46054</v>
      </c>
    </row>
    <row r="44" spans="1:16" ht="15.5" x14ac:dyDescent="0.35">
      <c r="A44" s="17" t="s">
        <v>90</v>
      </c>
      <c r="B44" s="35">
        <v>46005</v>
      </c>
      <c r="C44" s="17" t="s">
        <v>12</v>
      </c>
      <c r="D44" s="17" t="s">
        <v>19</v>
      </c>
      <c r="E44" s="17" t="s">
        <v>45</v>
      </c>
      <c r="F44" s="17" t="s">
        <v>15</v>
      </c>
      <c r="G44" s="17" t="s">
        <v>16</v>
      </c>
      <c r="H44" s="17" t="s">
        <v>2587</v>
      </c>
      <c r="I44" s="17" t="s">
        <v>39</v>
      </c>
      <c r="J44" s="36">
        <v>7875</v>
      </c>
      <c r="K44" s="36">
        <v>3163.42</v>
      </c>
      <c r="L44" s="36">
        <f t="shared" si="0"/>
        <v>-4711.58</v>
      </c>
      <c r="M44" s="37">
        <f t="shared" si="1"/>
        <v>-0.59829587301587306</v>
      </c>
      <c r="N44" s="17" t="str">
        <f t="shared" si="2"/>
        <v>Under Budget</v>
      </c>
      <c r="O44" s="38">
        <f t="shared" si="3"/>
        <v>-3163.42</v>
      </c>
      <c r="P44" s="39">
        <f t="shared" si="4"/>
        <v>45992</v>
      </c>
    </row>
    <row r="45" spans="1:16" ht="15.5" x14ac:dyDescent="0.35">
      <c r="A45" s="17" t="s">
        <v>91</v>
      </c>
      <c r="B45" s="35">
        <v>45901</v>
      </c>
      <c r="C45" s="17" t="s">
        <v>12</v>
      </c>
      <c r="D45" s="17" t="s">
        <v>26</v>
      </c>
      <c r="E45" s="17" t="s">
        <v>74</v>
      </c>
      <c r="F45" s="17" t="s">
        <v>52</v>
      </c>
      <c r="G45" s="17" t="s">
        <v>43</v>
      </c>
      <c r="H45" s="17" t="s">
        <v>2586</v>
      </c>
      <c r="I45" s="17" t="s">
        <v>23</v>
      </c>
      <c r="J45" s="36">
        <v>5000</v>
      </c>
      <c r="K45" s="36">
        <v>3601.94</v>
      </c>
      <c r="L45" s="36">
        <f t="shared" si="0"/>
        <v>-1398.06</v>
      </c>
      <c r="M45" s="37">
        <f t="shared" si="1"/>
        <v>-0.27961199999999997</v>
      </c>
      <c r="N45" s="17" t="str">
        <f t="shared" si="2"/>
        <v>Under Budget</v>
      </c>
      <c r="O45" s="38">
        <f t="shared" si="3"/>
        <v>-3601.94</v>
      </c>
      <c r="P45" s="39">
        <f t="shared" si="4"/>
        <v>45901</v>
      </c>
    </row>
    <row r="46" spans="1:16" ht="15.5" x14ac:dyDescent="0.35">
      <c r="A46" s="17" t="s">
        <v>92</v>
      </c>
      <c r="B46" s="35">
        <v>45728</v>
      </c>
      <c r="C46" s="17" t="s">
        <v>12</v>
      </c>
      <c r="D46" s="17" t="s">
        <v>2585</v>
      </c>
      <c r="E46" s="17" t="s">
        <v>37</v>
      </c>
      <c r="F46" s="17" t="s">
        <v>21</v>
      </c>
      <c r="G46" s="17" t="s">
        <v>22</v>
      </c>
      <c r="H46" s="17" t="s">
        <v>2588</v>
      </c>
      <c r="I46" s="17" t="s">
        <v>39</v>
      </c>
      <c r="J46" s="36">
        <v>4666.67</v>
      </c>
      <c r="K46" s="36">
        <v>2692.62</v>
      </c>
      <c r="L46" s="36">
        <f t="shared" si="0"/>
        <v>-1974.0500000000002</v>
      </c>
      <c r="M46" s="37">
        <f t="shared" si="1"/>
        <v>-0.42301041213541996</v>
      </c>
      <c r="N46" s="17" t="str">
        <f t="shared" si="2"/>
        <v>Under Budget</v>
      </c>
      <c r="O46" s="38">
        <f t="shared" si="3"/>
        <v>-2692.62</v>
      </c>
      <c r="P46" s="39">
        <f t="shared" si="4"/>
        <v>45717</v>
      </c>
    </row>
    <row r="47" spans="1:16" ht="15.5" x14ac:dyDescent="0.35">
      <c r="A47" s="17" t="s">
        <v>93</v>
      </c>
      <c r="B47" s="35">
        <v>45733</v>
      </c>
      <c r="C47" s="17" t="s">
        <v>25</v>
      </c>
      <c r="D47" s="17" t="s">
        <v>32</v>
      </c>
      <c r="E47" s="17" t="s">
        <v>33</v>
      </c>
      <c r="F47" s="17" t="s">
        <v>28</v>
      </c>
      <c r="G47" s="17" t="s">
        <v>16</v>
      </c>
      <c r="H47" s="17" t="s">
        <v>80</v>
      </c>
      <c r="I47" s="17" t="s">
        <v>39</v>
      </c>
      <c r="J47" s="36">
        <v>8064.52</v>
      </c>
      <c r="K47" s="36">
        <v>16583.439999999999</v>
      </c>
      <c r="L47" s="36">
        <f t="shared" si="0"/>
        <v>8518.9199999999983</v>
      </c>
      <c r="M47" s="37">
        <f t="shared" si="1"/>
        <v>1.0563455729541247</v>
      </c>
      <c r="N47" s="17" t="str">
        <f t="shared" si="2"/>
        <v>Over Budget</v>
      </c>
      <c r="O47" s="38">
        <f t="shared" si="3"/>
        <v>16583.439999999999</v>
      </c>
      <c r="P47" s="39">
        <f t="shared" si="4"/>
        <v>45717</v>
      </c>
    </row>
    <row r="48" spans="1:16" ht="15.5" x14ac:dyDescent="0.35">
      <c r="A48" s="17" t="s">
        <v>94</v>
      </c>
      <c r="B48" s="35">
        <v>46056</v>
      </c>
      <c r="C48" s="17" t="s">
        <v>12</v>
      </c>
      <c r="D48" s="17" t="s">
        <v>26</v>
      </c>
      <c r="E48" s="17" t="s">
        <v>51</v>
      </c>
      <c r="F48" s="17" t="s">
        <v>28</v>
      </c>
      <c r="G48" s="17" t="s">
        <v>38</v>
      </c>
      <c r="H48" s="17" t="s">
        <v>2594</v>
      </c>
      <c r="I48" s="17" t="s">
        <v>23</v>
      </c>
      <c r="J48" s="36">
        <v>2910</v>
      </c>
      <c r="K48" s="36">
        <v>3231.44</v>
      </c>
      <c r="L48" s="36">
        <f t="shared" si="0"/>
        <v>321.44000000000005</v>
      </c>
      <c r="M48" s="37">
        <f t="shared" si="1"/>
        <v>0.11046048109965638</v>
      </c>
      <c r="N48" s="17" t="str">
        <f t="shared" si="2"/>
        <v>Over Budget</v>
      </c>
      <c r="O48" s="38">
        <f t="shared" si="3"/>
        <v>-3231.44</v>
      </c>
      <c r="P48" s="39">
        <f t="shared" si="4"/>
        <v>46054</v>
      </c>
    </row>
    <row r="49" spans="1:16" ht="15.5" x14ac:dyDescent="0.35">
      <c r="A49" s="17" t="s">
        <v>95</v>
      </c>
      <c r="B49" s="35">
        <v>45705</v>
      </c>
      <c r="C49" s="17" t="s">
        <v>12</v>
      </c>
      <c r="D49" s="17" t="s">
        <v>13</v>
      </c>
      <c r="E49" s="17" t="s">
        <v>20</v>
      </c>
      <c r="F49" s="17" t="s">
        <v>15</v>
      </c>
      <c r="G49" s="17" t="s">
        <v>16</v>
      </c>
      <c r="H49" s="17" t="s">
        <v>60</v>
      </c>
      <c r="I49" s="17" t="s">
        <v>48</v>
      </c>
      <c r="J49" s="36">
        <v>1940</v>
      </c>
      <c r="K49" s="36">
        <v>1017.74</v>
      </c>
      <c r="L49" s="36">
        <f t="shared" si="0"/>
        <v>-922.26</v>
      </c>
      <c r="M49" s="37">
        <f t="shared" si="1"/>
        <v>-0.47539175257731958</v>
      </c>
      <c r="N49" s="17" t="str">
        <f t="shared" si="2"/>
        <v>Under Budget</v>
      </c>
      <c r="O49" s="38">
        <f t="shared" si="3"/>
        <v>-1017.74</v>
      </c>
      <c r="P49" s="39">
        <f t="shared" si="4"/>
        <v>45689</v>
      </c>
    </row>
    <row r="50" spans="1:16" ht="15.5" x14ac:dyDescent="0.35">
      <c r="A50" s="17" t="s">
        <v>96</v>
      </c>
      <c r="B50" s="35">
        <v>45734</v>
      </c>
      <c r="C50" s="17" t="s">
        <v>12</v>
      </c>
      <c r="D50" s="17" t="s">
        <v>19</v>
      </c>
      <c r="E50" s="17" t="s">
        <v>41</v>
      </c>
      <c r="F50" s="17" t="s">
        <v>21</v>
      </c>
      <c r="G50" s="17" t="s">
        <v>43</v>
      </c>
      <c r="H50" s="17" t="s">
        <v>2594</v>
      </c>
      <c r="I50" s="17" t="s">
        <v>23</v>
      </c>
      <c r="J50" s="36">
        <v>5000</v>
      </c>
      <c r="K50" s="36">
        <v>3625.55</v>
      </c>
      <c r="L50" s="36">
        <f t="shared" si="0"/>
        <v>-1374.4499999999998</v>
      </c>
      <c r="M50" s="37">
        <f t="shared" si="1"/>
        <v>-0.27488999999999997</v>
      </c>
      <c r="N50" s="17" t="str">
        <f t="shared" si="2"/>
        <v>Under Budget</v>
      </c>
      <c r="O50" s="38">
        <f t="shared" si="3"/>
        <v>-3625.55</v>
      </c>
      <c r="P50" s="39">
        <f t="shared" si="4"/>
        <v>45717</v>
      </c>
    </row>
    <row r="51" spans="1:16" ht="15.5" x14ac:dyDescent="0.35">
      <c r="A51" s="17" t="s">
        <v>97</v>
      </c>
      <c r="B51" s="35">
        <v>45919</v>
      </c>
      <c r="C51" s="17" t="s">
        <v>12</v>
      </c>
      <c r="D51" s="17" t="s">
        <v>2584</v>
      </c>
      <c r="E51" s="17" t="s">
        <v>45</v>
      </c>
      <c r="F51" s="17" t="s">
        <v>28</v>
      </c>
      <c r="G51" s="17" t="s">
        <v>22</v>
      </c>
      <c r="H51" s="17" t="s">
        <v>2588</v>
      </c>
      <c r="I51" s="17" t="s">
        <v>48</v>
      </c>
      <c r="J51" s="36">
        <v>7500</v>
      </c>
      <c r="K51" s="36">
        <v>14996.87</v>
      </c>
      <c r="L51" s="36">
        <f t="shared" si="0"/>
        <v>7496.8700000000008</v>
      </c>
      <c r="M51" s="37">
        <f t="shared" si="1"/>
        <v>0.99958266666666673</v>
      </c>
      <c r="N51" s="17" t="str">
        <f t="shared" si="2"/>
        <v>Over Budget</v>
      </c>
      <c r="O51" s="38">
        <f t="shared" si="3"/>
        <v>-14996.87</v>
      </c>
      <c r="P51" s="39">
        <f t="shared" si="4"/>
        <v>45901</v>
      </c>
    </row>
    <row r="52" spans="1:16" ht="15.5" x14ac:dyDescent="0.35">
      <c r="A52" s="17" t="s">
        <v>98</v>
      </c>
      <c r="B52" s="35">
        <v>45664</v>
      </c>
      <c r="C52" s="17" t="s">
        <v>12</v>
      </c>
      <c r="D52" s="17" t="s">
        <v>36</v>
      </c>
      <c r="E52" s="17" t="s">
        <v>51</v>
      </c>
      <c r="F52" s="17" t="s">
        <v>15</v>
      </c>
      <c r="G52" s="17" t="s">
        <v>38</v>
      </c>
      <c r="H52" s="17" t="s">
        <v>2589</v>
      </c>
      <c r="I52" s="17" t="s">
        <v>30</v>
      </c>
      <c r="J52" s="36">
        <v>3637.5</v>
      </c>
      <c r="K52" s="36">
        <v>7977.76</v>
      </c>
      <c r="L52" s="36">
        <f t="shared" si="0"/>
        <v>4340.26</v>
      </c>
      <c r="M52" s="37">
        <f t="shared" si="1"/>
        <v>1.1931986254295532</v>
      </c>
      <c r="N52" s="17" t="str">
        <f t="shared" si="2"/>
        <v>Over Budget</v>
      </c>
      <c r="O52" s="38">
        <f t="shared" si="3"/>
        <v>-7977.76</v>
      </c>
      <c r="P52" s="39">
        <f t="shared" si="4"/>
        <v>45658</v>
      </c>
    </row>
    <row r="53" spans="1:16" ht="15.5" x14ac:dyDescent="0.35">
      <c r="A53" s="17" t="s">
        <v>99</v>
      </c>
      <c r="B53" s="35">
        <v>45681</v>
      </c>
      <c r="C53" s="17" t="s">
        <v>12</v>
      </c>
      <c r="D53" s="17" t="s">
        <v>13</v>
      </c>
      <c r="E53" s="17" t="s">
        <v>41</v>
      </c>
      <c r="F53" s="17" t="s">
        <v>15</v>
      </c>
      <c r="G53" s="17" t="s">
        <v>38</v>
      </c>
      <c r="H53" s="17" t="s">
        <v>2587</v>
      </c>
      <c r="I53" s="17" t="s">
        <v>23</v>
      </c>
      <c r="J53" s="36">
        <v>12610</v>
      </c>
      <c r="K53" s="36">
        <v>3359.19</v>
      </c>
      <c r="L53" s="36">
        <f t="shared" si="0"/>
        <v>-9250.81</v>
      </c>
      <c r="M53" s="37">
        <f t="shared" si="1"/>
        <v>-0.73360904044409192</v>
      </c>
      <c r="N53" s="17" t="str">
        <f t="shared" si="2"/>
        <v>Under Budget</v>
      </c>
      <c r="O53" s="38">
        <f t="shared" si="3"/>
        <v>-3359.19</v>
      </c>
      <c r="P53" s="39">
        <f t="shared" si="4"/>
        <v>45658</v>
      </c>
    </row>
    <row r="54" spans="1:16" ht="15.5" x14ac:dyDescent="0.35">
      <c r="A54" s="17" t="s">
        <v>100</v>
      </c>
      <c r="B54" s="35">
        <v>45905</v>
      </c>
      <c r="C54" s="17" t="s">
        <v>12</v>
      </c>
      <c r="D54" s="17" t="s">
        <v>19</v>
      </c>
      <c r="E54" s="17" t="s">
        <v>45</v>
      </c>
      <c r="F54" s="17" t="s">
        <v>52</v>
      </c>
      <c r="G54" s="17" t="s">
        <v>38</v>
      </c>
      <c r="H54" s="17" t="s">
        <v>2593</v>
      </c>
      <c r="I54" s="17" t="s">
        <v>23</v>
      </c>
      <c r="J54" s="36">
        <v>7500</v>
      </c>
      <c r="K54" s="36">
        <v>12087.83</v>
      </c>
      <c r="L54" s="36">
        <f t="shared" si="0"/>
        <v>4587.83</v>
      </c>
      <c r="M54" s="37">
        <f t="shared" si="1"/>
        <v>0.61171066666666662</v>
      </c>
      <c r="N54" s="17" t="str">
        <f t="shared" si="2"/>
        <v>Over Budget</v>
      </c>
      <c r="O54" s="38">
        <f t="shared" si="3"/>
        <v>-12087.83</v>
      </c>
      <c r="P54" s="39">
        <f t="shared" si="4"/>
        <v>45901</v>
      </c>
    </row>
    <row r="55" spans="1:16" ht="15.5" x14ac:dyDescent="0.35">
      <c r="A55" s="17" t="s">
        <v>101</v>
      </c>
      <c r="B55" s="35">
        <v>46105</v>
      </c>
      <c r="C55" s="17" t="s">
        <v>12</v>
      </c>
      <c r="D55" s="17" t="s">
        <v>19</v>
      </c>
      <c r="E55" s="17" t="s">
        <v>45</v>
      </c>
      <c r="F55" s="17" t="s">
        <v>21</v>
      </c>
      <c r="G55" s="17" t="s">
        <v>29</v>
      </c>
      <c r="H55" s="17" t="s">
        <v>2583</v>
      </c>
      <c r="I55" s="17" t="s">
        <v>17</v>
      </c>
      <c r="J55" s="36">
        <v>7200</v>
      </c>
      <c r="K55" s="36">
        <v>1784.39</v>
      </c>
      <c r="L55" s="36">
        <f t="shared" si="0"/>
        <v>-5415.61</v>
      </c>
      <c r="M55" s="37">
        <f t="shared" si="1"/>
        <v>-0.75216805555555555</v>
      </c>
      <c r="N55" s="17" t="str">
        <f t="shared" si="2"/>
        <v>Under Budget</v>
      </c>
      <c r="O55" s="38">
        <f t="shared" si="3"/>
        <v>-1784.39</v>
      </c>
      <c r="P55" s="39">
        <f t="shared" si="4"/>
        <v>46082</v>
      </c>
    </row>
    <row r="56" spans="1:16" ht="15.5" x14ac:dyDescent="0.35">
      <c r="A56" s="17" t="s">
        <v>102</v>
      </c>
      <c r="B56" s="35">
        <v>46119</v>
      </c>
      <c r="C56" s="17" t="s">
        <v>12</v>
      </c>
      <c r="D56" s="17" t="s">
        <v>26</v>
      </c>
      <c r="E56" s="17" t="s">
        <v>45</v>
      </c>
      <c r="F56" s="17" t="s">
        <v>34</v>
      </c>
      <c r="G56" s="17" t="s">
        <v>16</v>
      </c>
      <c r="H56" s="17" t="s">
        <v>2591</v>
      </c>
      <c r="I56" s="17" t="s">
        <v>39</v>
      </c>
      <c r="J56" s="36">
        <v>8571.43</v>
      </c>
      <c r="K56" s="36">
        <v>2948.69</v>
      </c>
      <c r="L56" s="36">
        <f t="shared" si="0"/>
        <v>-5622.74</v>
      </c>
      <c r="M56" s="37">
        <f t="shared" si="1"/>
        <v>-0.655986224002296</v>
      </c>
      <c r="N56" s="17" t="str">
        <f t="shared" si="2"/>
        <v>Under Budget</v>
      </c>
      <c r="O56" s="38">
        <f t="shared" si="3"/>
        <v>-2948.69</v>
      </c>
      <c r="P56" s="39">
        <f t="shared" si="4"/>
        <v>46113</v>
      </c>
    </row>
    <row r="57" spans="1:16" ht="15.5" x14ac:dyDescent="0.35">
      <c r="A57" s="17" t="s">
        <v>103</v>
      </c>
      <c r="B57" s="35">
        <v>45704</v>
      </c>
      <c r="C57" s="17" t="s">
        <v>25</v>
      </c>
      <c r="D57" s="17" t="s">
        <v>32</v>
      </c>
      <c r="E57" s="17" t="s">
        <v>27</v>
      </c>
      <c r="F57" s="17" t="s">
        <v>34</v>
      </c>
      <c r="G57" s="17" t="s">
        <v>29</v>
      </c>
      <c r="H57" s="17" t="s">
        <v>2596</v>
      </c>
      <c r="I57" s="17" t="s">
        <v>39</v>
      </c>
      <c r="J57" s="36">
        <v>4850</v>
      </c>
      <c r="K57" s="36">
        <v>2238.9899999999998</v>
      </c>
      <c r="L57" s="36">
        <f t="shared" si="0"/>
        <v>-2611.0100000000002</v>
      </c>
      <c r="M57" s="37">
        <f t="shared" si="1"/>
        <v>-0.53835257731958763</v>
      </c>
      <c r="N57" s="17" t="str">
        <f t="shared" si="2"/>
        <v>Under Budget</v>
      </c>
      <c r="O57" s="38">
        <f t="shared" si="3"/>
        <v>2238.9899999999998</v>
      </c>
      <c r="P57" s="39">
        <f t="shared" si="4"/>
        <v>45689</v>
      </c>
    </row>
    <row r="58" spans="1:16" ht="15.5" x14ac:dyDescent="0.35">
      <c r="A58" s="17" t="s">
        <v>104</v>
      </c>
      <c r="B58" s="35">
        <v>45936</v>
      </c>
      <c r="C58" s="17" t="s">
        <v>12</v>
      </c>
      <c r="D58" s="17" t="s">
        <v>19</v>
      </c>
      <c r="E58" s="17" t="s">
        <v>45</v>
      </c>
      <c r="F58" s="17" t="s">
        <v>52</v>
      </c>
      <c r="G58" s="17" t="s">
        <v>38</v>
      </c>
      <c r="H58" s="17" t="s">
        <v>2597</v>
      </c>
      <c r="I58" s="17" t="s">
        <v>23</v>
      </c>
      <c r="J58" s="36">
        <v>7826.09</v>
      </c>
      <c r="K58" s="36">
        <v>13004.75</v>
      </c>
      <c r="L58" s="36">
        <f t="shared" si="0"/>
        <v>5178.66</v>
      </c>
      <c r="M58" s="37">
        <f t="shared" si="1"/>
        <v>0.66171740933211853</v>
      </c>
      <c r="N58" s="17" t="str">
        <f t="shared" si="2"/>
        <v>Over Budget</v>
      </c>
      <c r="O58" s="38">
        <f t="shared" si="3"/>
        <v>-13004.75</v>
      </c>
      <c r="P58" s="39">
        <f t="shared" si="4"/>
        <v>45931</v>
      </c>
    </row>
    <row r="59" spans="1:16" ht="15.5" x14ac:dyDescent="0.35">
      <c r="A59" s="17" t="s">
        <v>105</v>
      </c>
      <c r="B59" s="35">
        <v>45863</v>
      </c>
      <c r="C59" s="17" t="s">
        <v>12</v>
      </c>
      <c r="D59" s="17" t="s">
        <v>2585</v>
      </c>
      <c r="E59" s="17" t="s">
        <v>51</v>
      </c>
      <c r="F59" s="17" t="s">
        <v>52</v>
      </c>
      <c r="G59" s="17" t="s">
        <v>29</v>
      </c>
      <c r="H59" s="17" t="s">
        <v>60</v>
      </c>
      <c r="I59" s="17" t="s">
        <v>48</v>
      </c>
      <c r="J59" s="36">
        <v>6000</v>
      </c>
      <c r="K59" s="36">
        <v>4793.1000000000004</v>
      </c>
      <c r="L59" s="36">
        <f t="shared" si="0"/>
        <v>-1206.8999999999996</v>
      </c>
      <c r="M59" s="37">
        <f t="shared" si="1"/>
        <v>-0.20114999999999994</v>
      </c>
      <c r="N59" s="17" t="str">
        <f t="shared" si="2"/>
        <v>Under Budget</v>
      </c>
      <c r="O59" s="38">
        <f t="shared" si="3"/>
        <v>-4793.1000000000004</v>
      </c>
      <c r="P59" s="39">
        <f t="shared" si="4"/>
        <v>45839</v>
      </c>
    </row>
    <row r="60" spans="1:16" ht="15.5" x14ac:dyDescent="0.35">
      <c r="A60" s="17" t="s">
        <v>106</v>
      </c>
      <c r="B60" s="35">
        <v>45886</v>
      </c>
      <c r="C60" s="17" t="s">
        <v>12</v>
      </c>
      <c r="D60" s="17" t="s">
        <v>19</v>
      </c>
      <c r="E60" s="17" t="s">
        <v>77</v>
      </c>
      <c r="F60" s="17" t="s">
        <v>34</v>
      </c>
      <c r="G60" s="17" t="s">
        <v>38</v>
      </c>
      <c r="H60" s="17" t="s">
        <v>2588</v>
      </c>
      <c r="I60" s="17" t="s">
        <v>48</v>
      </c>
      <c r="J60" s="36">
        <v>3666.67</v>
      </c>
      <c r="K60" s="36">
        <v>764.07</v>
      </c>
      <c r="L60" s="36">
        <f t="shared" si="0"/>
        <v>-2902.6</v>
      </c>
      <c r="M60" s="37">
        <f t="shared" si="1"/>
        <v>-0.79161746216594342</v>
      </c>
      <c r="N60" s="17" t="str">
        <f t="shared" si="2"/>
        <v>Under Budget</v>
      </c>
      <c r="O60" s="38">
        <f t="shared" si="3"/>
        <v>-764.07</v>
      </c>
      <c r="P60" s="39">
        <f t="shared" si="4"/>
        <v>45870</v>
      </c>
    </row>
    <row r="61" spans="1:16" ht="15.5" x14ac:dyDescent="0.35">
      <c r="A61" s="17" t="s">
        <v>107</v>
      </c>
      <c r="B61" s="35">
        <v>45728</v>
      </c>
      <c r="C61" s="17" t="s">
        <v>25</v>
      </c>
      <c r="D61" s="17" t="s">
        <v>32</v>
      </c>
      <c r="E61" s="17" t="s">
        <v>33</v>
      </c>
      <c r="F61" s="17" t="s">
        <v>34</v>
      </c>
      <c r="G61" s="17" t="s">
        <v>43</v>
      </c>
      <c r="H61" s="17" t="s">
        <v>2587</v>
      </c>
      <c r="I61" s="17" t="s">
        <v>48</v>
      </c>
      <c r="J61" s="36">
        <v>8064.52</v>
      </c>
      <c r="K61" s="36">
        <v>10926.42</v>
      </c>
      <c r="L61" s="36">
        <f t="shared" si="0"/>
        <v>2861.8999999999996</v>
      </c>
      <c r="M61" s="37">
        <f t="shared" si="1"/>
        <v>0.35487542965979368</v>
      </c>
      <c r="N61" s="17" t="str">
        <f t="shared" si="2"/>
        <v>Over Budget</v>
      </c>
      <c r="O61" s="38">
        <f t="shared" si="3"/>
        <v>10926.42</v>
      </c>
      <c r="P61" s="39">
        <f t="shared" si="4"/>
        <v>45717</v>
      </c>
    </row>
    <row r="62" spans="1:16" ht="15.5" x14ac:dyDescent="0.35">
      <c r="A62" s="17" t="s">
        <v>108</v>
      </c>
      <c r="B62" s="35">
        <v>45741</v>
      </c>
      <c r="C62" s="17" t="s">
        <v>25</v>
      </c>
      <c r="D62" s="17" t="s">
        <v>32</v>
      </c>
      <c r="E62" s="17" t="s">
        <v>109</v>
      </c>
      <c r="F62" s="17" t="s">
        <v>28</v>
      </c>
      <c r="G62" s="17" t="s">
        <v>22</v>
      </c>
      <c r="H62" s="17" t="s">
        <v>2590</v>
      </c>
      <c r="I62" s="17" t="s">
        <v>23</v>
      </c>
      <c r="J62" s="36">
        <v>9090.91</v>
      </c>
      <c r="K62" s="36">
        <v>1131.05</v>
      </c>
      <c r="L62" s="36">
        <f t="shared" si="0"/>
        <v>-7959.86</v>
      </c>
      <c r="M62" s="37">
        <f t="shared" si="1"/>
        <v>-0.87558451244154878</v>
      </c>
      <c r="N62" s="17" t="str">
        <f t="shared" si="2"/>
        <v>Under Budget</v>
      </c>
      <c r="O62" s="38">
        <f t="shared" si="3"/>
        <v>1131.05</v>
      </c>
      <c r="P62" s="39">
        <f t="shared" si="4"/>
        <v>45717</v>
      </c>
    </row>
    <row r="63" spans="1:16" ht="15.5" x14ac:dyDescent="0.35">
      <c r="A63" s="17" t="s">
        <v>110</v>
      </c>
      <c r="B63" s="35">
        <v>45710</v>
      </c>
      <c r="C63" s="17" t="s">
        <v>12</v>
      </c>
      <c r="D63" s="17" t="s">
        <v>2585</v>
      </c>
      <c r="E63" s="17" t="s">
        <v>41</v>
      </c>
      <c r="F63" s="17" t="s">
        <v>28</v>
      </c>
      <c r="G63" s="17" t="s">
        <v>16</v>
      </c>
      <c r="H63" s="17" t="s">
        <v>2588</v>
      </c>
      <c r="I63" s="17" t="s">
        <v>39</v>
      </c>
      <c r="J63" s="36">
        <v>10508.33</v>
      </c>
      <c r="K63" s="36">
        <v>8698.11</v>
      </c>
      <c r="L63" s="36">
        <f t="shared" si="0"/>
        <v>-1810.2199999999993</v>
      </c>
      <c r="M63" s="37">
        <f t="shared" si="1"/>
        <v>-0.1722652410040415</v>
      </c>
      <c r="N63" s="17" t="str">
        <f t="shared" si="2"/>
        <v>Under Budget</v>
      </c>
      <c r="O63" s="38">
        <f t="shared" si="3"/>
        <v>-8698.11</v>
      </c>
      <c r="P63" s="39">
        <f t="shared" si="4"/>
        <v>45689</v>
      </c>
    </row>
    <row r="64" spans="1:16" ht="15.5" x14ac:dyDescent="0.35">
      <c r="A64" s="17" t="s">
        <v>111</v>
      </c>
      <c r="B64" s="35">
        <v>45765</v>
      </c>
      <c r="C64" s="17" t="s">
        <v>12</v>
      </c>
      <c r="D64" s="17" t="s">
        <v>2584</v>
      </c>
      <c r="E64" s="17" t="s">
        <v>20</v>
      </c>
      <c r="F64" s="17" t="s">
        <v>15</v>
      </c>
      <c r="G64" s="17" t="s">
        <v>29</v>
      </c>
      <c r="H64" s="17" t="s">
        <v>2590</v>
      </c>
      <c r="I64" s="17" t="s">
        <v>48</v>
      </c>
      <c r="J64" s="36">
        <v>2250</v>
      </c>
      <c r="K64" s="36">
        <v>1339.23</v>
      </c>
      <c r="L64" s="36">
        <f t="shared" si="0"/>
        <v>-910.77</v>
      </c>
      <c r="M64" s="37">
        <f t="shared" si="1"/>
        <v>-0.40478666666666668</v>
      </c>
      <c r="N64" s="17" t="str">
        <f t="shared" si="2"/>
        <v>Under Budget</v>
      </c>
      <c r="O64" s="38">
        <f t="shared" si="3"/>
        <v>-1339.23</v>
      </c>
      <c r="P64" s="39">
        <f t="shared" si="4"/>
        <v>45748</v>
      </c>
    </row>
    <row r="65" spans="1:16" ht="15.5" x14ac:dyDescent="0.35">
      <c r="A65" s="17" t="s">
        <v>112</v>
      </c>
      <c r="B65" s="35">
        <v>46058</v>
      </c>
      <c r="C65" s="17" t="s">
        <v>12</v>
      </c>
      <c r="D65" s="17" t="s">
        <v>2583</v>
      </c>
      <c r="E65" s="17" t="s">
        <v>65</v>
      </c>
      <c r="F65" s="17" t="s">
        <v>52</v>
      </c>
      <c r="G65" s="17" t="s">
        <v>38</v>
      </c>
      <c r="H65" s="17" t="s">
        <v>2595</v>
      </c>
      <c r="I65" s="17" t="s">
        <v>30</v>
      </c>
      <c r="J65" s="36">
        <v>4850</v>
      </c>
      <c r="K65" s="36">
        <v>4599.03</v>
      </c>
      <c r="L65" s="36">
        <f t="shared" si="0"/>
        <v>-250.97000000000025</v>
      </c>
      <c r="M65" s="37">
        <f t="shared" si="1"/>
        <v>-5.1746391752577371E-2</v>
      </c>
      <c r="N65" s="17" t="str">
        <f t="shared" si="2"/>
        <v>Under Budget</v>
      </c>
      <c r="O65" s="38">
        <f t="shared" si="3"/>
        <v>-4599.03</v>
      </c>
      <c r="P65" s="39">
        <f t="shared" si="4"/>
        <v>46054</v>
      </c>
    </row>
    <row r="66" spans="1:16" ht="15.5" x14ac:dyDescent="0.35">
      <c r="A66" s="17" t="s">
        <v>113</v>
      </c>
      <c r="B66" s="35">
        <v>46106</v>
      </c>
      <c r="C66" s="17" t="s">
        <v>25</v>
      </c>
      <c r="D66" s="17" t="s">
        <v>32</v>
      </c>
      <c r="E66" s="17" t="s">
        <v>33</v>
      </c>
      <c r="F66" s="17" t="s">
        <v>21</v>
      </c>
      <c r="G66" s="17" t="s">
        <v>38</v>
      </c>
      <c r="H66" s="17" t="s">
        <v>2597</v>
      </c>
      <c r="I66" s="17" t="s">
        <v>30</v>
      </c>
      <c r="J66" s="36">
        <v>11363.64</v>
      </c>
      <c r="K66" s="36">
        <v>8121.78</v>
      </c>
      <c r="L66" s="36">
        <f t="shared" si="0"/>
        <v>-3241.8599999999997</v>
      </c>
      <c r="M66" s="37">
        <f t="shared" si="1"/>
        <v>-0.28528358870925158</v>
      </c>
      <c r="N66" s="17" t="str">
        <f t="shared" si="2"/>
        <v>Under Budget</v>
      </c>
      <c r="O66" s="38">
        <f t="shared" si="3"/>
        <v>8121.78</v>
      </c>
      <c r="P66" s="39">
        <f t="shared" si="4"/>
        <v>46082</v>
      </c>
    </row>
    <row r="67" spans="1:16" ht="15.5" x14ac:dyDescent="0.35">
      <c r="A67" s="17" t="s">
        <v>114</v>
      </c>
      <c r="B67" s="35">
        <v>46043</v>
      </c>
      <c r="C67" s="17" t="s">
        <v>12</v>
      </c>
      <c r="D67" s="17" t="s">
        <v>2585</v>
      </c>
      <c r="E67" s="17" t="s">
        <v>45</v>
      </c>
      <c r="F67" s="17" t="s">
        <v>28</v>
      </c>
      <c r="G67" s="17" t="s">
        <v>29</v>
      </c>
      <c r="H67" s="17" t="s">
        <v>2596</v>
      </c>
      <c r="I67" s="17" t="s">
        <v>30</v>
      </c>
      <c r="J67" s="36">
        <v>6715.38</v>
      </c>
      <c r="K67" s="36">
        <v>2858.37</v>
      </c>
      <c r="L67" s="36">
        <f t="shared" ref="L67:L130" si="5">K67-J67</f>
        <v>-3857.01</v>
      </c>
      <c r="M67" s="37">
        <f t="shared" ref="M67:M130" si="6">IF(J67=0,0,L67/J67)</f>
        <v>-0.57435469027813768</v>
      </c>
      <c r="N67" s="17" t="str">
        <f t="shared" ref="N67:N130" si="7">IF(J67=0,"No Budget",IF(K67&gt;J67,"Over Budget",IF(K67&lt;J67,"Under Budget","On Budget")))</f>
        <v>Under Budget</v>
      </c>
      <c r="O67" s="38">
        <f t="shared" ref="O67:O130" si="8">IF(C67="Revenue",K67,-K67)</f>
        <v>-2858.37</v>
      </c>
      <c r="P67" s="39">
        <f t="shared" ref="P67:P130" si="9">DATE(YEAR(B67),MONTH(B67),1)</f>
        <v>46023</v>
      </c>
    </row>
    <row r="68" spans="1:16" ht="15.5" x14ac:dyDescent="0.35">
      <c r="A68" s="17" t="s">
        <v>115</v>
      </c>
      <c r="B68" s="35">
        <v>45903</v>
      </c>
      <c r="C68" s="17" t="s">
        <v>25</v>
      </c>
      <c r="D68" s="17" t="s">
        <v>2584</v>
      </c>
      <c r="E68" s="17" t="s">
        <v>109</v>
      </c>
      <c r="F68" s="17" t="s">
        <v>34</v>
      </c>
      <c r="G68" s="17" t="s">
        <v>38</v>
      </c>
      <c r="H68" s="17" t="s">
        <v>2586</v>
      </c>
      <c r="I68" s="17" t="s">
        <v>23</v>
      </c>
      <c r="J68" s="36">
        <v>7142.86</v>
      </c>
      <c r="K68" s="36">
        <v>7287.23</v>
      </c>
      <c r="L68" s="36">
        <f t="shared" si="5"/>
        <v>144.36999999999989</v>
      </c>
      <c r="M68" s="37">
        <f t="shared" si="6"/>
        <v>2.0211791915283221E-2</v>
      </c>
      <c r="N68" s="17" t="str">
        <f t="shared" si="7"/>
        <v>Over Budget</v>
      </c>
      <c r="O68" s="38">
        <f t="shared" si="8"/>
        <v>7287.23</v>
      </c>
      <c r="P68" s="39">
        <f t="shared" si="9"/>
        <v>45901</v>
      </c>
    </row>
    <row r="69" spans="1:16" ht="15.5" x14ac:dyDescent="0.35">
      <c r="A69" s="17" t="s">
        <v>116</v>
      </c>
      <c r="B69" s="35">
        <v>46071</v>
      </c>
      <c r="C69" s="17" t="s">
        <v>25</v>
      </c>
      <c r="D69" s="17" t="s">
        <v>13</v>
      </c>
      <c r="E69" s="17" t="s">
        <v>33</v>
      </c>
      <c r="F69" s="17" t="s">
        <v>34</v>
      </c>
      <c r="G69" s="17" t="s">
        <v>16</v>
      </c>
      <c r="H69" s="17" t="s">
        <v>2595</v>
      </c>
      <c r="I69" s="17" t="s">
        <v>30</v>
      </c>
      <c r="J69" s="36">
        <v>12125</v>
      </c>
      <c r="K69" s="36">
        <v>24732.67</v>
      </c>
      <c r="L69" s="36">
        <f t="shared" si="5"/>
        <v>12607.669999999998</v>
      </c>
      <c r="M69" s="37">
        <f t="shared" si="6"/>
        <v>1.0398078350515463</v>
      </c>
      <c r="N69" s="17" t="str">
        <f t="shared" si="7"/>
        <v>Over Budget</v>
      </c>
      <c r="O69" s="38">
        <f t="shared" si="8"/>
        <v>24732.67</v>
      </c>
      <c r="P69" s="39">
        <f t="shared" si="9"/>
        <v>46054</v>
      </c>
    </row>
    <row r="70" spans="1:16" ht="15.5" x14ac:dyDescent="0.35">
      <c r="A70" s="17" t="s">
        <v>117</v>
      </c>
      <c r="B70" s="35">
        <v>46013</v>
      </c>
      <c r="C70" s="17" t="s">
        <v>12</v>
      </c>
      <c r="D70" s="17" t="s">
        <v>36</v>
      </c>
      <c r="E70" s="17" t="s">
        <v>20</v>
      </c>
      <c r="F70" s="17" t="s">
        <v>28</v>
      </c>
      <c r="G70" s="17" t="s">
        <v>22</v>
      </c>
      <c r="H70" s="17" t="s">
        <v>2593</v>
      </c>
      <c r="I70" s="17" t="s">
        <v>23</v>
      </c>
      <c r="J70" s="36">
        <v>2100</v>
      </c>
      <c r="K70" s="36">
        <v>1371.83</v>
      </c>
      <c r="L70" s="36">
        <f t="shared" si="5"/>
        <v>-728.17000000000007</v>
      </c>
      <c r="M70" s="37">
        <f t="shared" si="6"/>
        <v>-0.34674761904761908</v>
      </c>
      <c r="N70" s="17" t="str">
        <f t="shared" si="7"/>
        <v>Under Budget</v>
      </c>
      <c r="O70" s="38">
        <f t="shared" si="8"/>
        <v>-1371.83</v>
      </c>
      <c r="P70" s="39">
        <f t="shared" si="9"/>
        <v>45992</v>
      </c>
    </row>
    <row r="71" spans="1:16" ht="15.5" x14ac:dyDescent="0.35">
      <c r="A71" s="17" t="s">
        <v>118</v>
      </c>
      <c r="B71" s="35">
        <v>45825</v>
      </c>
      <c r="C71" s="17" t="s">
        <v>12</v>
      </c>
      <c r="D71" s="17" t="s">
        <v>26</v>
      </c>
      <c r="E71" s="17" t="s">
        <v>45</v>
      </c>
      <c r="F71" s="17" t="s">
        <v>34</v>
      </c>
      <c r="G71" s="17" t="s">
        <v>22</v>
      </c>
      <c r="H71" s="17" t="s">
        <v>2593</v>
      </c>
      <c r="I71" s="17" t="s">
        <v>48</v>
      </c>
      <c r="J71" s="36">
        <v>6428.57</v>
      </c>
      <c r="K71" s="36">
        <v>5823.42</v>
      </c>
      <c r="L71" s="36">
        <f t="shared" si="5"/>
        <v>-605.14999999999964</v>
      </c>
      <c r="M71" s="37">
        <f t="shared" si="6"/>
        <v>-9.4134465363214473E-2</v>
      </c>
      <c r="N71" s="17" t="str">
        <f t="shared" si="7"/>
        <v>Under Budget</v>
      </c>
      <c r="O71" s="38">
        <f t="shared" si="8"/>
        <v>-5823.42</v>
      </c>
      <c r="P71" s="39">
        <f t="shared" si="9"/>
        <v>45809</v>
      </c>
    </row>
    <row r="72" spans="1:16" ht="15.5" x14ac:dyDescent="0.35">
      <c r="A72" s="17" t="s">
        <v>119</v>
      </c>
      <c r="B72" s="35">
        <v>45665</v>
      </c>
      <c r="C72" s="17" t="s">
        <v>25</v>
      </c>
      <c r="D72" s="17" t="s">
        <v>26</v>
      </c>
      <c r="E72" s="17" t="s">
        <v>27</v>
      </c>
      <c r="F72" s="17" t="s">
        <v>34</v>
      </c>
      <c r="G72" s="17" t="s">
        <v>16</v>
      </c>
      <c r="H72" s="17" t="s">
        <v>2587</v>
      </c>
      <c r="I72" s="17" t="s">
        <v>23</v>
      </c>
      <c r="J72" s="36">
        <v>11085.71</v>
      </c>
      <c r="K72" s="36">
        <v>5228.28</v>
      </c>
      <c r="L72" s="36">
        <f t="shared" si="5"/>
        <v>-5857.4299999999994</v>
      </c>
      <c r="M72" s="37">
        <f t="shared" si="6"/>
        <v>-0.52837662179508571</v>
      </c>
      <c r="N72" s="17" t="str">
        <f t="shared" si="7"/>
        <v>Under Budget</v>
      </c>
      <c r="O72" s="38">
        <f t="shared" si="8"/>
        <v>5228.28</v>
      </c>
      <c r="P72" s="39">
        <f t="shared" si="9"/>
        <v>45658</v>
      </c>
    </row>
    <row r="73" spans="1:16" ht="15.5" x14ac:dyDescent="0.35">
      <c r="A73" s="17" t="s">
        <v>120</v>
      </c>
      <c r="B73" s="35">
        <v>46053</v>
      </c>
      <c r="C73" s="17" t="s">
        <v>12</v>
      </c>
      <c r="D73" s="17" t="s">
        <v>19</v>
      </c>
      <c r="E73" s="17" t="s">
        <v>65</v>
      </c>
      <c r="F73" s="17" t="s">
        <v>21</v>
      </c>
      <c r="G73" s="17" t="s">
        <v>82</v>
      </c>
      <c r="H73" s="17" t="s">
        <v>2594</v>
      </c>
      <c r="I73" s="17" t="s">
        <v>48</v>
      </c>
      <c r="J73" s="36">
        <v>7621.43</v>
      </c>
      <c r="K73" s="36">
        <v>4498.38</v>
      </c>
      <c r="L73" s="36">
        <f t="shared" si="5"/>
        <v>-3123.05</v>
      </c>
      <c r="M73" s="37">
        <f t="shared" si="6"/>
        <v>-0.40977218186088438</v>
      </c>
      <c r="N73" s="17" t="str">
        <f t="shared" si="7"/>
        <v>Under Budget</v>
      </c>
      <c r="O73" s="38">
        <f t="shared" si="8"/>
        <v>-4498.38</v>
      </c>
      <c r="P73" s="39">
        <f t="shared" si="9"/>
        <v>46023</v>
      </c>
    </row>
    <row r="74" spans="1:16" ht="15.5" x14ac:dyDescent="0.35">
      <c r="A74" s="17" t="s">
        <v>121</v>
      </c>
      <c r="B74" s="35">
        <v>45893</v>
      </c>
      <c r="C74" s="17" t="s">
        <v>12</v>
      </c>
      <c r="D74" s="17" t="s">
        <v>26</v>
      </c>
      <c r="E74" s="17" t="s">
        <v>14</v>
      </c>
      <c r="F74" s="17" t="s">
        <v>34</v>
      </c>
      <c r="G74" s="17" t="s">
        <v>38</v>
      </c>
      <c r="H74" s="17" t="s">
        <v>80</v>
      </c>
      <c r="I74" s="17" t="s">
        <v>48</v>
      </c>
      <c r="J74" s="36">
        <v>2285.71</v>
      </c>
      <c r="K74" s="36">
        <v>3566.9</v>
      </c>
      <c r="L74" s="36">
        <f t="shared" si="5"/>
        <v>1281.19</v>
      </c>
      <c r="M74" s="37">
        <f t="shared" si="6"/>
        <v>0.56052167597814251</v>
      </c>
      <c r="N74" s="17" t="str">
        <f t="shared" si="7"/>
        <v>Over Budget</v>
      </c>
      <c r="O74" s="38">
        <f t="shared" si="8"/>
        <v>-3566.9</v>
      </c>
      <c r="P74" s="39">
        <f t="shared" si="9"/>
        <v>45870</v>
      </c>
    </row>
    <row r="75" spans="1:16" ht="15.5" x14ac:dyDescent="0.35">
      <c r="A75" s="17" t="s">
        <v>122</v>
      </c>
      <c r="B75" s="35">
        <v>46203</v>
      </c>
      <c r="C75" s="17" t="s">
        <v>12</v>
      </c>
      <c r="D75" s="17" t="s">
        <v>26</v>
      </c>
      <c r="E75" s="17" t="s">
        <v>45</v>
      </c>
      <c r="F75" s="17" t="s">
        <v>52</v>
      </c>
      <c r="G75" s="17" t="s">
        <v>29</v>
      </c>
      <c r="H75" s="17" t="s">
        <v>80</v>
      </c>
      <c r="I75" s="17" t="s">
        <v>48</v>
      </c>
      <c r="J75" s="36">
        <v>8571.43</v>
      </c>
      <c r="K75" s="36">
        <v>4095.57</v>
      </c>
      <c r="L75" s="36">
        <f t="shared" si="5"/>
        <v>-4475.8600000000006</v>
      </c>
      <c r="M75" s="37">
        <f t="shared" si="6"/>
        <v>-0.52218357963607009</v>
      </c>
      <c r="N75" s="17" t="str">
        <f t="shared" si="7"/>
        <v>Under Budget</v>
      </c>
      <c r="O75" s="38">
        <f t="shared" si="8"/>
        <v>-4095.57</v>
      </c>
      <c r="P75" s="39">
        <f t="shared" si="9"/>
        <v>46174</v>
      </c>
    </row>
    <row r="76" spans="1:16" ht="15.5" x14ac:dyDescent="0.35">
      <c r="A76" s="17" t="s">
        <v>123</v>
      </c>
      <c r="B76" s="35">
        <v>45887</v>
      </c>
      <c r="C76" s="17" t="s">
        <v>12</v>
      </c>
      <c r="D76" s="17" t="s">
        <v>26</v>
      </c>
      <c r="E76" s="17" t="s">
        <v>45</v>
      </c>
      <c r="F76" s="17" t="s">
        <v>34</v>
      </c>
      <c r="G76" s="17" t="s">
        <v>29</v>
      </c>
      <c r="H76" s="17" t="s">
        <v>2589</v>
      </c>
      <c r="I76" s="17" t="s">
        <v>39</v>
      </c>
      <c r="J76" s="36">
        <v>8181.82</v>
      </c>
      <c r="K76" s="36">
        <v>12892.18</v>
      </c>
      <c r="L76" s="36">
        <f t="shared" si="5"/>
        <v>4710.3600000000006</v>
      </c>
      <c r="M76" s="37">
        <f t="shared" si="6"/>
        <v>0.57571053873099154</v>
      </c>
      <c r="N76" s="17" t="str">
        <f t="shared" si="7"/>
        <v>Over Budget</v>
      </c>
      <c r="O76" s="38">
        <f t="shared" si="8"/>
        <v>-12892.18</v>
      </c>
      <c r="P76" s="39">
        <f t="shared" si="9"/>
        <v>45870</v>
      </c>
    </row>
    <row r="77" spans="1:16" ht="15.5" x14ac:dyDescent="0.35">
      <c r="A77" s="17" t="s">
        <v>124</v>
      </c>
      <c r="B77" s="35">
        <v>46137</v>
      </c>
      <c r="C77" s="17" t="s">
        <v>12</v>
      </c>
      <c r="D77" s="17" t="s">
        <v>13</v>
      </c>
      <c r="E77" s="17" t="s">
        <v>14</v>
      </c>
      <c r="F77" s="17" t="s">
        <v>21</v>
      </c>
      <c r="G77" s="17" t="s">
        <v>82</v>
      </c>
      <c r="H77" s="17" t="s">
        <v>2595</v>
      </c>
      <c r="I77" s="17" t="s">
        <v>23</v>
      </c>
      <c r="J77" s="36">
        <v>5333.33</v>
      </c>
      <c r="K77" s="36">
        <v>6748</v>
      </c>
      <c r="L77" s="36">
        <f t="shared" si="5"/>
        <v>1414.67</v>
      </c>
      <c r="M77" s="37">
        <f t="shared" si="6"/>
        <v>0.26525079078174424</v>
      </c>
      <c r="N77" s="17" t="str">
        <f t="shared" si="7"/>
        <v>Over Budget</v>
      </c>
      <c r="O77" s="38">
        <f t="shared" si="8"/>
        <v>-6748</v>
      </c>
      <c r="P77" s="39">
        <f t="shared" si="9"/>
        <v>46113</v>
      </c>
    </row>
    <row r="78" spans="1:16" ht="15.5" x14ac:dyDescent="0.35">
      <c r="A78" s="17" t="s">
        <v>125</v>
      </c>
      <c r="B78" s="35">
        <v>45934</v>
      </c>
      <c r="C78" s="17" t="s">
        <v>12</v>
      </c>
      <c r="D78" s="17" t="s">
        <v>13</v>
      </c>
      <c r="E78" s="17" t="s">
        <v>47</v>
      </c>
      <c r="F78" s="17" t="s">
        <v>15</v>
      </c>
      <c r="G78" s="17" t="s">
        <v>38</v>
      </c>
      <c r="H78" s="17" t="s">
        <v>2591</v>
      </c>
      <c r="I78" s="17" t="s">
        <v>17</v>
      </c>
      <c r="J78" s="36">
        <v>3500</v>
      </c>
      <c r="K78" s="36">
        <v>4852.09</v>
      </c>
      <c r="L78" s="36">
        <f t="shared" si="5"/>
        <v>1352.0900000000001</v>
      </c>
      <c r="M78" s="37">
        <f t="shared" si="6"/>
        <v>0.38631142857142864</v>
      </c>
      <c r="N78" s="17" t="str">
        <f t="shared" si="7"/>
        <v>Over Budget</v>
      </c>
      <c r="O78" s="38">
        <f t="shared" si="8"/>
        <v>-4852.09</v>
      </c>
      <c r="P78" s="39">
        <f t="shared" si="9"/>
        <v>45931</v>
      </c>
    </row>
    <row r="79" spans="1:16" ht="15.5" x14ac:dyDescent="0.35">
      <c r="A79" s="17" t="s">
        <v>126</v>
      </c>
      <c r="B79" s="35">
        <v>46187</v>
      </c>
      <c r="C79" s="17" t="s">
        <v>25</v>
      </c>
      <c r="D79" s="17" t="s">
        <v>32</v>
      </c>
      <c r="E79" s="17" t="s">
        <v>33</v>
      </c>
      <c r="F79" s="17" t="s">
        <v>34</v>
      </c>
      <c r="G79" s="17" t="s">
        <v>29</v>
      </c>
      <c r="H79" s="17" t="s">
        <v>2586</v>
      </c>
      <c r="I79" s="17" t="s">
        <v>48</v>
      </c>
      <c r="J79" s="36">
        <v>10000</v>
      </c>
      <c r="K79" s="36">
        <v>19522.64</v>
      </c>
      <c r="L79" s="36">
        <f t="shared" si="5"/>
        <v>9522.64</v>
      </c>
      <c r="M79" s="37">
        <f t="shared" si="6"/>
        <v>0.95226399999999989</v>
      </c>
      <c r="N79" s="17" t="str">
        <f t="shared" si="7"/>
        <v>Over Budget</v>
      </c>
      <c r="O79" s="38">
        <f t="shared" si="8"/>
        <v>19522.64</v>
      </c>
      <c r="P79" s="39">
        <f t="shared" si="9"/>
        <v>46174</v>
      </c>
    </row>
    <row r="80" spans="1:16" ht="15.5" x14ac:dyDescent="0.35">
      <c r="A80" s="17" t="s">
        <v>127</v>
      </c>
      <c r="B80" s="35">
        <v>45835</v>
      </c>
      <c r="C80" s="17" t="s">
        <v>12</v>
      </c>
      <c r="D80" s="17" t="s">
        <v>36</v>
      </c>
      <c r="E80" s="17" t="s">
        <v>51</v>
      </c>
      <c r="F80" s="17" t="s">
        <v>21</v>
      </c>
      <c r="G80" s="17" t="s">
        <v>29</v>
      </c>
      <c r="H80" s="17" t="s">
        <v>60</v>
      </c>
      <c r="I80" s="17" t="s">
        <v>30</v>
      </c>
      <c r="J80" s="36">
        <v>5000</v>
      </c>
      <c r="K80" s="36">
        <v>4665.96</v>
      </c>
      <c r="L80" s="36">
        <f t="shared" si="5"/>
        <v>-334.03999999999996</v>
      </c>
      <c r="M80" s="37">
        <f t="shared" si="6"/>
        <v>-6.6807999999999992E-2</v>
      </c>
      <c r="N80" s="17" t="str">
        <f t="shared" si="7"/>
        <v>Under Budget</v>
      </c>
      <c r="O80" s="38">
        <f t="shared" si="8"/>
        <v>-4665.96</v>
      </c>
      <c r="P80" s="39">
        <f t="shared" si="9"/>
        <v>45809</v>
      </c>
    </row>
    <row r="81" spans="1:16" ht="15.5" x14ac:dyDescent="0.35">
      <c r="A81" s="17" t="s">
        <v>128</v>
      </c>
      <c r="B81" s="35">
        <v>45788</v>
      </c>
      <c r="C81" s="17" t="s">
        <v>12</v>
      </c>
      <c r="D81" s="17" t="s">
        <v>36</v>
      </c>
      <c r="E81" s="17" t="s">
        <v>45</v>
      </c>
      <c r="F81" s="17" t="s">
        <v>21</v>
      </c>
      <c r="G81" s="17" t="s">
        <v>16</v>
      </c>
      <c r="H81" s="17" t="s">
        <v>2597</v>
      </c>
      <c r="I81" s="17" t="s">
        <v>30</v>
      </c>
      <c r="J81" s="36">
        <v>7200</v>
      </c>
      <c r="K81" s="36">
        <v>12415.26</v>
      </c>
      <c r="L81" s="36">
        <f t="shared" si="5"/>
        <v>5215.26</v>
      </c>
      <c r="M81" s="37">
        <f t="shared" si="6"/>
        <v>0.72434166666666666</v>
      </c>
      <c r="N81" s="17" t="str">
        <f t="shared" si="7"/>
        <v>Over Budget</v>
      </c>
      <c r="O81" s="38">
        <f t="shared" si="8"/>
        <v>-12415.26</v>
      </c>
      <c r="P81" s="39">
        <f t="shared" si="9"/>
        <v>45778</v>
      </c>
    </row>
    <row r="82" spans="1:16" ht="15.5" x14ac:dyDescent="0.35">
      <c r="A82" s="17" t="s">
        <v>129</v>
      </c>
      <c r="B82" s="35">
        <v>46061</v>
      </c>
      <c r="C82" s="17" t="s">
        <v>12</v>
      </c>
      <c r="D82" s="17" t="s">
        <v>26</v>
      </c>
      <c r="E82" s="17" t="s">
        <v>45</v>
      </c>
      <c r="F82" s="17" t="s">
        <v>21</v>
      </c>
      <c r="G82" s="17" t="s">
        <v>38</v>
      </c>
      <c r="H82" s="17" t="s">
        <v>2586</v>
      </c>
      <c r="I82" s="17" t="s">
        <v>48</v>
      </c>
      <c r="J82" s="36">
        <v>9189.4699999999993</v>
      </c>
      <c r="K82" s="36">
        <v>11496.64</v>
      </c>
      <c r="L82" s="36">
        <f t="shared" si="5"/>
        <v>2307.17</v>
      </c>
      <c r="M82" s="37">
        <f t="shared" si="6"/>
        <v>0.2510667100496547</v>
      </c>
      <c r="N82" s="17" t="str">
        <f t="shared" si="7"/>
        <v>Over Budget</v>
      </c>
      <c r="O82" s="38">
        <f t="shared" si="8"/>
        <v>-11496.64</v>
      </c>
      <c r="P82" s="39">
        <f t="shared" si="9"/>
        <v>46054</v>
      </c>
    </row>
    <row r="83" spans="1:16" ht="15.5" x14ac:dyDescent="0.35">
      <c r="A83" s="17" t="s">
        <v>130</v>
      </c>
      <c r="B83" s="35">
        <v>45801</v>
      </c>
      <c r="C83" s="17" t="s">
        <v>25</v>
      </c>
      <c r="D83" s="17" t="s">
        <v>19</v>
      </c>
      <c r="E83" s="17" t="s">
        <v>33</v>
      </c>
      <c r="F83" s="17" t="s">
        <v>52</v>
      </c>
      <c r="G83" s="17" t="s">
        <v>82</v>
      </c>
      <c r="H83" s="17" t="s">
        <v>2591</v>
      </c>
      <c r="I83" s="17" t="s">
        <v>48</v>
      </c>
      <c r="J83" s="36">
        <v>9615.3799999999992</v>
      </c>
      <c r="K83" s="36">
        <v>16921.68</v>
      </c>
      <c r="L83" s="36">
        <f t="shared" si="5"/>
        <v>7306.3000000000011</v>
      </c>
      <c r="M83" s="37">
        <f t="shared" si="6"/>
        <v>0.75985556473067128</v>
      </c>
      <c r="N83" s="17" t="str">
        <f t="shared" si="7"/>
        <v>Over Budget</v>
      </c>
      <c r="O83" s="38">
        <f t="shared" si="8"/>
        <v>16921.68</v>
      </c>
      <c r="P83" s="39">
        <f t="shared" si="9"/>
        <v>45778</v>
      </c>
    </row>
    <row r="84" spans="1:16" ht="15.5" x14ac:dyDescent="0.35">
      <c r="A84" s="17" t="s">
        <v>131</v>
      </c>
      <c r="B84" s="35">
        <v>46083</v>
      </c>
      <c r="C84" s="17" t="s">
        <v>25</v>
      </c>
      <c r="D84" s="17" t="s">
        <v>32</v>
      </c>
      <c r="E84" s="17" t="s">
        <v>109</v>
      </c>
      <c r="F84" s="17" t="s">
        <v>15</v>
      </c>
      <c r="G84" s="17" t="s">
        <v>38</v>
      </c>
      <c r="H84" s="17" t="s">
        <v>2596</v>
      </c>
      <c r="I84" s="17" t="s">
        <v>23</v>
      </c>
      <c r="J84" s="36">
        <v>10000</v>
      </c>
      <c r="K84" s="36">
        <v>5309.44</v>
      </c>
      <c r="L84" s="36">
        <f t="shared" si="5"/>
        <v>-4690.5600000000004</v>
      </c>
      <c r="M84" s="37">
        <f t="shared" si="6"/>
        <v>-0.46905600000000003</v>
      </c>
      <c r="N84" s="17" t="str">
        <f t="shared" si="7"/>
        <v>Under Budget</v>
      </c>
      <c r="O84" s="38">
        <f t="shared" si="8"/>
        <v>5309.44</v>
      </c>
      <c r="P84" s="39">
        <f t="shared" si="9"/>
        <v>46082</v>
      </c>
    </row>
    <row r="85" spans="1:16" ht="15.5" x14ac:dyDescent="0.35">
      <c r="A85" s="17" t="s">
        <v>132</v>
      </c>
      <c r="B85" s="35">
        <v>46026</v>
      </c>
      <c r="C85" s="17" t="s">
        <v>12</v>
      </c>
      <c r="D85" s="17" t="s">
        <v>19</v>
      </c>
      <c r="E85" s="17" t="s">
        <v>51</v>
      </c>
      <c r="F85" s="17" t="s">
        <v>28</v>
      </c>
      <c r="G85" s="17" t="s">
        <v>38</v>
      </c>
      <c r="H85" s="17" t="s">
        <v>2594</v>
      </c>
      <c r="I85" s="17" t="s">
        <v>39</v>
      </c>
      <c r="J85" s="36">
        <v>3637.5</v>
      </c>
      <c r="K85" s="36">
        <v>2722.72</v>
      </c>
      <c r="L85" s="36">
        <f t="shared" si="5"/>
        <v>-914.7800000000002</v>
      </c>
      <c r="M85" s="37">
        <f t="shared" si="6"/>
        <v>-0.25148591065292103</v>
      </c>
      <c r="N85" s="17" t="str">
        <f t="shared" si="7"/>
        <v>Under Budget</v>
      </c>
      <c r="O85" s="38">
        <f t="shared" si="8"/>
        <v>-2722.72</v>
      </c>
      <c r="P85" s="39">
        <f t="shared" si="9"/>
        <v>46023</v>
      </c>
    </row>
    <row r="86" spans="1:16" ht="15.5" x14ac:dyDescent="0.35">
      <c r="A86" s="17" t="s">
        <v>133</v>
      </c>
      <c r="B86" s="35">
        <v>45759</v>
      </c>
      <c r="C86" s="17" t="s">
        <v>12</v>
      </c>
      <c r="D86" s="17" t="s">
        <v>26</v>
      </c>
      <c r="E86" s="17" t="s">
        <v>77</v>
      </c>
      <c r="F86" s="17" t="s">
        <v>34</v>
      </c>
      <c r="G86" s="17" t="s">
        <v>38</v>
      </c>
      <c r="H86" s="17" t="s">
        <v>60</v>
      </c>
      <c r="I86" s="17" t="s">
        <v>48</v>
      </c>
      <c r="J86" s="36">
        <v>2750</v>
      </c>
      <c r="K86" s="36">
        <v>3678.14</v>
      </c>
      <c r="L86" s="36">
        <f t="shared" si="5"/>
        <v>928.13999999999987</v>
      </c>
      <c r="M86" s="37">
        <f t="shared" si="6"/>
        <v>0.3375054545454545</v>
      </c>
      <c r="N86" s="17" t="str">
        <f t="shared" si="7"/>
        <v>Over Budget</v>
      </c>
      <c r="O86" s="38">
        <f t="shared" si="8"/>
        <v>-3678.14</v>
      </c>
      <c r="P86" s="39">
        <f t="shared" si="9"/>
        <v>45748</v>
      </c>
    </row>
    <row r="87" spans="1:16" ht="15.5" x14ac:dyDescent="0.35">
      <c r="A87" s="17" t="s">
        <v>134</v>
      </c>
      <c r="B87" s="35">
        <v>45703</v>
      </c>
      <c r="C87" s="17" t="s">
        <v>25</v>
      </c>
      <c r="D87" s="17" t="s">
        <v>32</v>
      </c>
      <c r="E87" s="17" t="s">
        <v>33</v>
      </c>
      <c r="F87" s="17" t="s">
        <v>28</v>
      </c>
      <c r="G87" s="17" t="s">
        <v>22</v>
      </c>
      <c r="H87" s="17" t="s">
        <v>2587</v>
      </c>
      <c r="I87" s="17" t="s">
        <v>30</v>
      </c>
      <c r="J87" s="36">
        <v>13472.22</v>
      </c>
      <c r="K87" s="36">
        <v>16009.69</v>
      </c>
      <c r="L87" s="36">
        <f t="shared" si="5"/>
        <v>2537.4700000000012</v>
      </c>
      <c r="M87" s="37">
        <f t="shared" si="6"/>
        <v>0.188348319727558</v>
      </c>
      <c r="N87" s="17" t="str">
        <f t="shared" si="7"/>
        <v>Over Budget</v>
      </c>
      <c r="O87" s="38">
        <f t="shared" si="8"/>
        <v>16009.69</v>
      </c>
      <c r="P87" s="39">
        <f t="shared" si="9"/>
        <v>45689</v>
      </c>
    </row>
    <row r="88" spans="1:16" ht="15.5" x14ac:dyDescent="0.35">
      <c r="A88" s="17" t="s">
        <v>135</v>
      </c>
      <c r="B88" s="35">
        <v>46183</v>
      </c>
      <c r="C88" s="17" t="s">
        <v>12</v>
      </c>
      <c r="D88" s="17" t="s">
        <v>19</v>
      </c>
      <c r="E88" s="17" t="s">
        <v>65</v>
      </c>
      <c r="F88" s="17" t="s">
        <v>28</v>
      </c>
      <c r="G88" s="17" t="s">
        <v>82</v>
      </c>
      <c r="H88" s="17" t="s">
        <v>2586</v>
      </c>
      <c r="I88" s="17" t="s">
        <v>48</v>
      </c>
      <c r="J88" s="36">
        <v>3666.67</v>
      </c>
      <c r="K88" s="36">
        <v>2345.34</v>
      </c>
      <c r="L88" s="36">
        <f t="shared" si="5"/>
        <v>-1321.33</v>
      </c>
      <c r="M88" s="37">
        <f t="shared" si="6"/>
        <v>-0.36036239967054573</v>
      </c>
      <c r="N88" s="17" t="str">
        <f t="shared" si="7"/>
        <v>Under Budget</v>
      </c>
      <c r="O88" s="38">
        <f t="shared" si="8"/>
        <v>-2345.34</v>
      </c>
      <c r="P88" s="39">
        <f t="shared" si="9"/>
        <v>46174</v>
      </c>
    </row>
    <row r="89" spans="1:16" ht="15.5" x14ac:dyDescent="0.35">
      <c r="A89" s="17" t="s">
        <v>136</v>
      </c>
      <c r="B89" s="35">
        <v>46195</v>
      </c>
      <c r="C89" s="17" t="s">
        <v>12</v>
      </c>
      <c r="D89" s="17" t="s">
        <v>26</v>
      </c>
      <c r="E89" s="17" t="s">
        <v>77</v>
      </c>
      <c r="F89" s="17" t="s">
        <v>28</v>
      </c>
      <c r="G89" s="17" t="s">
        <v>38</v>
      </c>
      <c r="H89" s="17" t="s">
        <v>2586</v>
      </c>
      <c r="I89" s="17" t="s">
        <v>30</v>
      </c>
      <c r="J89" s="36">
        <v>3142.86</v>
      </c>
      <c r="K89" s="36">
        <v>1117.21</v>
      </c>
      <c r="L89" s="36">
        <f t="shared" si="5"/>
        <v>-2025.65</v>
      </c>
      <c r="M89" s="37">
        <f t="shared" si="6"/>
        <v>-0.64452441406871452</v>
      </c>
      <c r="N89" s="17" t="str">
        <f t="shared" si="7"/>
        <v>Under Budget</v>
      </c>
      <c r="O89" s="38">
        <f t="shared" si="8"/>
        <v>-1117.21</v>
      </c>
      <c r="P89" s="39">
        <f t="shared" si="9"/>
        <v>46174</v>
      </c>
    </row>
    <row r="90" spans="1:16" ht="15.5" x14ac:dyDescent="0.35">
      <c r="A90" s="17" t="s">
        <v>137</v>
      </c>
      <c r="B90" s="35">
        <v>45658</v>
      </c>
      <c r="C90" s="17" t="s">
        <v>12</v>
      </c>
      <c r="D90" s="17" t="s">
        <v>19</v>
      </c>
      <c r="E90" s="17" t="s">
        <v>51</v>
      </c>
      <c r="F90" s="17" t="s">
        <v>34</v>
      </c>
      <c r="G90" s="17" t="s">
        <v>29</v>
      </c>
      <c r="H90" s="17" t="s">
        <v>2589</v>
      </c>
      <c r="I90" s="17" t="s">
        <v>39</v>
      </c>
      <c r="J90" s="36">
        <v>3637.5</v>
      </c>
      <c r="K90" s="36">
        <v>3787.9</v>
      </c>
      <c r="L90" s="36">
        <f t="shared" si="5"/>
        <v>150.40000000000009</v>
      </c>
      <c r="M90" s="37">
        <f t="shared" si="6"/>
        <v>4.1347079037800709E-2</v>
      </c>
      <c r="N90" s="17" t="str">
        <f t="shared" si="7"/>
        <v>Over Budget</v>
      </c>
      <c r="O90" s="38">
        <f t="shared" si="8"/>
        <v>-3787.9</v>
      </c>
      <c r="P90" s="39">
        <f t="shared" si="9"/>
        <v>45658</v>
      </c>
    </row>
    <row r="91" spans="1:16" ht="15.5" x14ac:dyDescent="0.35">
      <c r="A91" s="17" t="s">
        <v>138</v>
      </c>
      <c r="B91" s="35">
        <v>45797</v>
      </c>
      <c r="C91" s="17" t="s">
        <v>12</v>
      </c>
      <c r="D91" s="17" t="s">
        <v>36</v>
      </c>
      <c r="E91" s="17" t="s">
        <v>51</v>
      </c>
      <c r="F91" s="17" t="s">
        <v>52</v>
      </c>
      <c r="G91" s="17" t="s">
        <v>43</v>
      </c>
      <c r="H91" s="17" t="s">
        <v>2596</v>
      </c>
      <c r="I91" s="17" t="s">
        <v>30</v>
      </c>
      <c r="J91" s="36">
        <v>2307.69</v>
      </c>
      <c r="K91" s="36">
        <v>4716.28</v>
      </c>
      <c r="L91" s="36">
        <f t="shared" si="5"/>
        <v>2408.5899999999997</v>
      </c>
      <c r="M91" s="37">
        <f t="shared" si="6"/>
        <v>1.0437233770567103</v>
      </c>
      <c r="N91" s="17" t="str">
        <f t="shared" si="7"/>
        <v>Over Budget</v>
      </c>
      <c r="O91" s="38">
        <f t="shared" si="8"/>
        <v>-4716.28</v>
      </c>
      <c r="P91" s="39">
        <f t="shared" si="9"/>
        <v>45778</v>
      </c>
    </row>
    <row r="92" spans="1:16" ht="15.5" x14ac:dyDescent="0.35">
      <c r="A92" s="17" t="s">
        <v>139</v>
      </c>
      <c r="B92" s="35">
        <v>46083</v>
      </c>
      <c r="C92" s="17" t="s">
        <v>12</v>
      </c>
      <c r="D92" s="17" t="s">
        <v>19</v>
      </c>
      <c r="E92" s="17" t="s">
        <v>45</v>
      </c>
      <c r="F92" s="17" t="s">
        <v>52</v>
      </c>
      <c r="G92" s="17" t="s">
        <v>38</v>
      </c>
      <c r="H92" s="17" t="s">
        <v>2595</v>
      </c>
      <c r="I92" s="17" t="s">
        <v>23</v>
      </c>
      <c r="J92" s="36">
        <v>7200</v>
      </c>
      <c r="K92" s="36">
        <v>2571.65</v>
      </c>
      <c r="L92" s="36">
        <f t="shared" si="5"/>
        <v>-4628.3500000000004</v>
      </c>
      <c r="M92" s="37">
        <f t="shared" si="6"/>
        <v>-0.64282638888888899</v>
      </c>
      <c r="N92" s="17" t="str">
        <f t="shared" si="7"/>
        <v>Under Budget</v>
      </c>
      <c r="O92" s="38">
        <f t="shared" si="8"/>
        <v>-2571.65</v>
      </c>
      <c r="P92" s="39">
        <f t="shared" si="9"/>
        <v>46082</v>
      </c>
    </row>
    <row r="93" spans="1:16" ht="15.5" x14ac:dyDescent="0.35">
      <c r="A93" s="17" t="s">
        <v>140</v>
      </c>
      <c r="B93" s="35">
        <v>46195</v>
      </c>
      <c r="C93" s="17" t="s">
        <v>12</v>
      </c>
      <c r="D93" s="17" t="s">
        <v>32</v>
      </c>
      <c r="E93" s="17" t="s">
        <v>65</v>
      </c>
      <c r="F93" s="17" t="s">
        <v>28</v>
      </c>
      <c r="G93" s="17" t="s">
        <v>38</v>
      </c>
      <c r="H93" s="17" t="s">
        <v>2590</v>
      </c>
      <c r="I93" s="17" t="s">
        <v>39</v>
      </c>
      <c r="J93" s="36">
        <v>3666.67</v>
      </c>
      <c r="K93" s="36">
        <v>1270.92</v>
      </c>
      <c r="L93" s="36">
        <f t="shared" si="5"/>
        <v>-2395.75</v>
      </c>
      <c r="M93" s="37">
        <f t="shared" si="6"/>
        <v>-0.65338576964930029</v>
      </c>
      <c r="N93" s="17" t="str">
        <f t="shared" si="7"/>
        <v>Under Budget</v>
      </c>
      <c r="O93" s="38">
        <f t="shared" si="8"/>
        <v>-1270.92</v>
      </c>
      <c r="P93" s="39">
        <f t="shared" si="9"/>
        <v>46174</v>
      </c>
    </row>
    <row r="94" spans="1:16" ht="15.5" x14ac:dyDescent="0.35">
      <c r="A94" s="17" t="s">
        <v>141</v>
      </c>
      <c r="B94" s="35">
        <v>45903</v>
      </c>
      <c r="C94" s="17" t="s">
        <v>25</v>
      </c>
      <c r="D94" s="17" t="s">
        <v>32</v>
      </c>
      <c r="E94" s="17" t="s">
        <v>33</v>
      </c>
      <c r="F94" s="17" t="s">
        <v>52</v>
      </c>
      <c r="G94" s="17" t="s">
        <v>82</v>
      </c>
      <c r="H94" s="17" t="s">
        <v>2598</v>
      </c>
      <c r="I94" s="17" t="s">
        <v>23</v>
      </c>
      <c r="J94" s="36">
        <v>11904.76</v>
      </c>
      <c r="K94" s="36">
        <v>440.85</v>
      </c>
      <c r="L94" s="36">
        <f t="shared" si="5"/>
        <v>-11463.91</v>
      </c>
      <c r="M94" s="37">
        <f t="shared" si="6"/>
        <v>-0.96296859407497504</v>
      </c>
      <c r="N94" s="17" t="str">
        <f t="shared" si="7"/>
        <v>Under Budget</v>
      </c>
      <c r="O94" s="38">
        <f t="shared" si="8"/>
        <v>440.85</v>
      </c>
      <c r="P94" s="39">
        <f t="shared" si="9"/>
        <v>45901</v>
      </c>
    </row>
    <row r="95" spans="1:16" ht="15.5" x14ac:dyDescent="0.35">
      <c r="A95" s="17" t="s">
        <v>142</v>
      </c>
      <c r="B95" s="35">
        <v>45718</v>
      </c>
      <c r="C95" s="17" t="s">
        <v>12</v>
      </c>
      <c r="D95" s="17" t="s">
        <v>2584</v>
      </c>
      <c r="E95" s="17" t="s">
        <v>65</v>
      </c>
      <c r="F95" s="17" t="s">
        <v>21</v>
      </c>
      <c r="G95" s="17" t="s">
        <v>38</v>
      </c>
      <c r="H95" s="17" t="s">
        <v>2595</v>
      </c>
      <c r="I95" s="17" t="s">
        <v>48</v>
      </c>
      <c r="J95" s="36">
        <v>3928.57</v>
      </c>
      <c r="K95" s="36">
        <v>7091.06</v>
      </c>
      <c r="L95" s="36">
        <f t="shared" si="5"/>
        <v>3162.4900000000002</v>
      </c>
      <c r="M95" s="37">
        <f t="shared" si="6"/>
        <v>0.80499774727190809</v>
      </c>
      <c r="N95" s="17" t="str">
        <f t="shared" si="7"/>
        <v>Over Budget</v>
      </c>
      <c r="O95" s="38">
        <f t="shared" si="8"/>
        <v>-7091.06</v>
      </c>
      <c r="P95" s="39">
        <f t="shared" si="9"/>
        <v>45717</v>
      </c>
    </row>
    <row r="96" spans="1:16" ht="15.5" x14ac:dyDescent="0.35">
      <c r="A96" s="17" t="s">
        <v>143</v>
      </c>
      <c r="B96" s="35">
        <v>45984</v>
      </c>
      <c r="C96" s="17" t="s">
        <v>12</v>
      </c>
      <c r="D96" s="17" t="s">
        <v>26</v>
      </c>
      <c r="E96" s="17" t="s">
        <v>41</v>
      </c>
      <c r="F96" s="17" t="s">
        <v>15</v>
      </c>
      <c r="G96" s="17" t="s">
        <v>38</v>
      </c>
      <c r="H96" s="17" t="s">
        <v>2598</v>
      </c>
      <c r="I96" s="17" t="s">
        <v>48</v>
      </c>
      <c r="J96" s="36">
        <v>17062.5</v>
      </c>
      <c r="K96" s="36">
        <v>5641.99</v>
      </c>
      <c r="L96" s="36">
        <f t="shared" si="5"/>
        <v>-11420.51</v>
      </c>
      <c r="M96" s="37">
        <f t="shared" si="6"/>
        <v>-0.6693339194139194</v>
      </c>
      <c r="N96" s="17" t="str">
        <f t="shared" si="7"/>
        <v>Under Budget</v>
      </c>
      <c r="O96" s="38">
        <f t="shared" si="8"/>
        <v>-5641.99</v>
      </c>
      <c r="P96" s="39">
        <f t="shared" si="9"/>
        <v>45962</v>
      </c>
    </row>
    <row r="97" spans="1:16" ht="15.5" x14ac:dyDescent="0.35">
      <c r="A97" s="17" t="s">
        <v>144</v>
      </c>
      <c r="B97" s="35">
        <v>46129</v>
      </c>
      <c r="C97" s="17" t="s">
        <v>25</v>
      </c>
      <c r="D97" s="17" t="s">
        <v>32</v>
      </c>
      <c r="E97" s="17" t="s">
        <v>33</v>
      </c>
      <c r="F97" s="17" t="s">
        <v>52</v>
      </c>
      <c r="G97" s="17" t="s">
        <v>38</v>
      </c>
      <c r="H97" s="17" t="s">
        <v>2591</v>
      </c>
      <c r="I97" s="17" t="s">
        <v>23</v>
      </c>
      <c r="J97" s="36">
        <v>0</v>
      </c>
      <c r="K97" s="36">
        <v>23003.05</v>
      </c>
      <c r="L97" s="36">
        <f t="shared" si="5"/>
        <v>23003.05</v>
      </c>
      <c r="M97" s="37">
        <f t="shared" si="6"/>
        <v>0</v>
      </c>
      <c r="N97" s="17" t="str">
        <f t="shared" si="7"/>
        <v>No Budget</v>
      </c>
      <c r="O97" s="38">
        <f t="shared" si="8"/>
        <v>23003.05</v>
      </c>
      <c r="P97" s="39">
        <f t="shared" si="9"/>
        <v>46113</v>
      </c>
    </row>
    <row r="98" spans="1:16" ht="15.5" x14ac:dyDescent="0.35">
      <c r="A98" s="17" t="s">
        <v>145</v>
      </c>
      <c r="B98" s="35">
        <v>45741</v>
      </c>
      <c r="C98" s="17" t="s">
        <v>12</v>
      </c>
      <c r="D98" s="17" t="s">
        <v>2585</v>
      </c>
      <c r="E98" s="17" t="s">
        <v>45</v>
      </c>
      <c r="F98" s="17" t="s">
        <v>21</v>
      </c>
      <c r="G98" s="17" t="s">
        <v>38</v>
      </c>
      <c r="H98" s="17" t="s">
        <v>2587</v>
      </c>
      <c r="I98" s="17" t="s">
        <v>30</v>
      </c>
      <c r="J98" s="36">
        <v>6000</v>
      </c>
      <c r="K98" s="36">
        <v>10951.36</v>
      </c>
      <c r="L98" s="36">
        <f t="shared" si="5"/>
        <v>4951.3600000000006</v>
      </c>
      <c r="M98" s="37">
        <f t="shared" si="6"/>
        <v>0.82522666666666677</v>
      </c>
      <c r="N98" s="17" t="str">
        <f t="shared" si="7"/>
        <v>Over Budget</v>
      </c>
      <c r="O98" s="38">
        <f t="shared" si="8"/>
        <v>-10951.36</v>
      </c>
      <c r="P98" s="39">
        <f t="shared" si="9"/>
        <v>45717</v>
      </c>
    </row>
    <row r="99" spans="1:16" ht="15.5" x14ac:dyDescent="0.35">
      <c r="A99" s="17" t="s">
        <v>146</v>
      </c>
      <c r="B99" s="35">
        <v>45949</v>
      </c>
      <c r="C99" s="17" t="s">
        <v>25</v>
      </c>
      <c r="D99" s="17" t="s">
        <v>13</v>
      </c>
      <c r="E99" s="17" t="s">
        <v>27</v>
      </c>
      <c r="F99" s="17" t="s">
        <v>15</v>
      </c>
      <c r="G99" s="17" t="s">
        <v>22</v>
      </c>
      <c r="H99" s="17" t="s">
        <v>2592</v>
      </c>
      <c r="I99" s="17" t="s">
        <v>39</v>
      </c>
      <c r="J99" s="36">
        <v>4705.88</v>
      </c>
      <c r="K99" s="36">
        <v>2108.6799999999998</v>
      </c>
      <c r="L99" s="36">
        <f t="shared" si="5"/>
        <v>-2597.2000000000003</v>
      </c>
      <c r="M99" s="37">
        <f t="shared" si="6"/>
        <v>-0.55190527595263805</v>
      </c>
      <c r="N99" s="17" t="str">
        <f t="shared" si="7"/>
        <v>Under Budget</v>
      </c>
      <c r="O99" s="38">
        <f t="shared" si="8"/>
        <v>2108.6799999999998</v>
      </c>
      <c r="P99" s="39">
        <f t="shared" si="9"/>
        <v>45931</v>
      </c>
    </row>
    <row r="100" spans="1:16" ht="15.5" x14ac:dyDescent="0.35">
      <c r="A100" s="17" t="s">
        <v>147</v>
      </c>
      <c r="B100" s="35">
        <v>46154</v>
      </c>
      <c r="C100" s="17" t="s">
        <v>12</v>
      </c>
      <c r="D100" s="17" t="s">
        <v>26</v>
      </c>
      <c r="E100" s="17" t="s">
        <v>51</v>
      </c>
      <c r="F100" s="17" t="s">
        <v>34</v>
      </c>
      <c r="G100" s="17" t="s">
        <v>38</v>
      </c>
      <c r="H100" s="17" t="s">
        <v>60</v>
      </c>
      <c r="I100" s="17" t="s">
        <v>48</v>
      </c>
      <c r="J100" s="36">
        <v>2727.27</v>
      </c>
      <c r="K100" s="36">
        <v>6494.1</v>
      </c>
      <c r="L100" s="36">
        <f t="shared" si="5"/>
        <v>3766.8300000000004</v>
      </c>
      <c r="M100" s="37">
        <f t="shared" si="6"/>
        <v>1.3811723811723813</v>
      </c>
      <c r="N100" s="17" t="str">
        <f t="shared" si="7"/>
        <v>Over Budget</v>
      </c>
      <c r="O100" s="38">
        <f t="shared" si="8"/>
        <v>-6494.1</v>
      </c>
      <c r="P100" s="39">
        <f t="shared" si="9"/>
        <v>46143</v>
      </c>
    </row>
    <row r="101" spans="1:16" ht="15.5" x14ac:dyDescent="0.35">
      <c r="A101" s="17" t="s">
        <v>148</v>
      </c>
      <c r="B101" s="35">
        <v>46005</v>
      </c>
      <c r="C101" s="17" t="s">
        <v>25</v>
      </c>
      <c r="D101" s="17" t="s">
        <v>32</v>
      </c>
      <c r="E101" s="17" t="s">
        <v>33</v>
      </c>
      <c r="F101" s="17" t="s">
        <v>52</v>
      </c>
      <c r="G101" s="17" t="s">
        <v>43</v>
      </c>
      <c r="H101" s="17" t="s">
        <v>2589</v>
      </c>
      <c r="I101" s="17" t="s">
        <v>39</v>
      </c>
      <c r="J101" s="36">
        <v>15441.18</v>
      </c>
      <c r="K101" s="36">
        <v>868.24</v>
      </c>
      <c r="L101" s="36">
        <f t="shared" si="5"/>
        <v>-14572.94</v>
      </c>
      <c r="M101" s="37">
        <f t="shared" si="6"/>
        <v>-0.94377113666183543</v>
      </c>
      <c r="N101" s="17" t="str">
        <f t="shared" si="7"/>
        <v>Under Budget</v>
      </c>
      <c r="O101" s="38">
        <f t="shared" si="8"/>
        <v>868.24</v>
      </c>
      <c r="P101" s="39">
        <f t="shared" si="9"/>
        <v>45992</v>
      </c>
    </row>
    <row r="102" spans="1:16" ht="15.5" x14ac:dyDescent="0.35">
      <c r="A102" s="17" t="s">
        <v>149</v>
      </c>
      <c r="B102" s="35">
        <v>45822</v>
      </c>
      <c r="C102" s="17" t="s">
        <v>25</v>
      </c>
      <c r="D102" s="17" t="s">
        <v>36</v>
      </c>
      <c r="E102" s="17" t="s">
        <v>27</v>
      </c>
      <c r="F102" s="17" t="s">
        <v>52</v>
      </c>
      <c r="G102" s="17" t="s">
        <v>43</v>
      </c>
      <c r="H102" s="17" t="s">
        <v>2586</v>
      </c>
      <c r="I102" s="17" t="s">
        <v>23</v>
      </c>
      <c r="J102" s="36">
        <v>5333.33</v>
      </c>
      <c r="K102" s="36">
        <v>1095.6099999999999</v>
      </c>
      <c r="L102" s="36">
        <f t="shared" si="5"/>
        <v>-4237.72</v>
      </c>
      <c r="M102" s="37">
        <f t="shared" si="6"/>
        <v>-0.79457299660812297</v>
      </c>
      <c r="N102" s="17" t="str">
        <f t="shared" si="7"/>
        <v>Under Budget</v>
      </c>
      <c r="O102" s="38">
        <f t="shared" si="8"/>
        <v>1095.6099999999999</v>
      </c>
      <c r="P102" s="39">
        <f t="shared" si="9"/>
        <v>45809</v>
      </c>
    </row>
    <row r="103" spans="1:16" ht="15.5" x14ac:dyDescent="0.35">
      <c r="A103" s="17" t="s">
        <v>150</v>
      </c>
      <c r="B103" s="35">
        <v>46091</v>
      </c>
      <c r="C103" s="17" t="s">
        <v>12</v>
      </c>
      <c r="D103" s="17" t="s">
        <v>32</v>
      </c>
      <c r="E103" s="17" t="s">
        <v>45</v>
      </c>
      <c r="F103" s="17" t="s">
        <v>34</v>
      </c>
      <c r="G103" s="17" t="s">
        <v>38</v>
      </c>
      <c r="H103" s="17" t="s">
        <v>2595</v>
      </c>
      <c r="I103" s="17" t="s">
        <v>30</v>
      </c>
      <c r="J103" s="36">
        <v>7200</v>
      </c>
      <c r="K103" s="36">
        <v>17881.05</v>
      </c>
      <c r="L103" s="36">
        <f t="shared" si="5"/>
        <v>10681.05</v>
      </c>
      <c r="M103" s="37">
        <f t="shared" si="6"/>
        <v>1.4834791666666665</v>
      </c>
      <c r="N103" s="17" t="str">
        <f t="shared" si="7"/>
        <v>Over Budget</v>
      </c>
      <c r="O103" s="38">
        <f t="shared" si="8"/>
        <v>-17881.05</v>
      </c>
      <c r="P103" s="39">
        <f t="shared" si="9"/>
        <v>46082</v>
      </c>
    </row>
    <row r="104" spans="1:16" ht="15.5" x14ac:dyDescent="0.35">
      <c r="A104" s="17" t="s">
        <v>151</v>
      </c>
      <c r="B104" s="35">
        <v>45707</v>
      </c>
      <c r="C104" s="17" t="s">
        <v>12</v>
      </c>
      <c r="D104" s="17" t="s">
        <v>2583</v>
      </c>
      <c r="E104" s="17" t="s">
        <v>77</v>
      </c>
      <c r="F104" s="17" t="s">
        <v>34</v>
      </c>
      <c r="G104" s="17" t="s">
        <v>38</v>
      </c>
      <c r="H104" s="17" t="s">
        <v>80</v>
      </c>
      <c r="I104" s="17" t="s">
        <v>39</v>
      </c>
      <c r="J104" s="36">
        <v>5335</v>
      </c>
      <c r="K104" s="36">
        <v>391.97</v>
      </c>
      <c r="L104" s="36">
        <f t="shared" si="5"/>
        <v>-4943.03</v>
      </c>
      <c r="M104" s="37">
        <f t="shared" si="6"/>
        <v>-0.92652858481724454</v>
      </c>
      <c r="N104" s="17" t="str">
        <f t="shared" si="7"/>
        <v>Under Budget</v>
      </c>
      <c r="O104" s="38">
        <f t="shared" si="8"/>
        <v>-391.97</v>
      </c>
      <c r="P104" s="39">
        <f t="shared" si="9"/>
        <v>45689</v>
      </c>
    </row>
    <row r="105" spans="1:16" ht="15.5" x14ac:dyDescent="0.35">
      <c r="A105" s="17" t="s">
        <v>152</v>
      </c>
      <c r="B105" s="35">
        <v>46191</v>
      </c>
      <c r="C105" s="17" t="s">
        <v>25</v>
      </c>
      <c r="D105" s="17" t="s">
        <v>32</v>
      </c>
      <c r="E105" s="17" t="s">
        <v>109</v>
      </c>
      <c r="F105" s="17" t="s">
        <v>52</v>
      </c>
      <c r="G105" s="17" t="s">
        <v>43</v>
      </c>
      <c r="H105" s="17" t="s">
        <v>2596</v>
      </c>
      <c r="I105" s="17" t="s">
        <v>39</v>
      </c>
      <c r="J105" s="36">
        <v>4761.8999999999996</v>
      </c>
      <c r="K105" s="36">
        <v>15793.05</v>
      </c>
      <c r="L105" s="36">
        <f t="shared" si="5"/>
        <v>11031.15</v>
      </c>
      <c r="M105" s="37">
        <f t="shared" si="6"/>
        <v>2.3165438165438168</v>
      </c>
      <c r="N105" s="17" t="str">
        <f t="shared" si="7"/>
        <v>Over Budget</v>
      </c>
      <c r="O105" s="38">
        <f t="shared" si="8"/>
        <v>15793.05</v>
      </c>
      <c r="P105" s="39">
        <f t="shared" si="9"/>
        <v>46174</v>
      </c>
    </row>
    <row r="106" spans="1:16" ht="15.5" x14ac:dyDescent="0.35">
      <c r="A106" s="17" t="s">
        <v>153</v>
      </c>
      <c r="B106" s="35">
        <v>45944</v>
      </c>
      <c r="C106" s="17" t="s">
        <v>12</v>
      </c>
      <c r="D106" s="17" t="s">
        <v>2585</v>
      </c>
      <c r="E106" s="17" t="s">
        <v>41</v>
      </c>
      <c r="F106" s="17" t="s">
        <v>15</v>
      </c>
      <c r="G106" s="17" t="s">
        <v>38</v>
      </c>
      <c r="H106" s="17" t="s">
        <v>2594</v>
      </c>
      <c r="I106" s="17" t="s">
        <v>48</v>
      </c>
      <c r="J106" s="36">
        <v>9285.7099999999991</v>
      </c>
      <c r="K106" s="36">
        <v>9705.01</v>
      </c>
      <c r="L106" s="36">
        <f t="shared" si="5"/>
        <v>419.30000000000109</v>
      </c>
      <c r="M106" s="37">
        <f t="shared" si="6"/>
        <v>4.5155405456341099E-2</v>
      </c>
      <c r="N106" s="17" t="str">
        <f t="shared" si="7"/>
        <v>Over Budget</v>
      </c>
      <c r="O106" s="38">
        <f t="shared" si="8"/>
        <v>-9705.01</v>
      </c>
      <c r="P106" s="39">
        <f t="shared" si="9"/>
        <v>45931</v>
      </c>
    </row>
    <row r="107" spans="1:16" ht="15.5" x14ac:dyDescent="0.35">
      <c r="A107" s="17" t="s">
        <v>154</v>
      </c>
      <c r="B107" s="35">
        <v>46172</v>
      </c>
      <c r="C107" s="17" t="s">
        <v>12</v>
      </c>
      <c r="D107" s="17" t="s">
        <v>2584</v>
      </c>
      <c r="E107" s="17" t="s">
        <v>47</v>
      </c>
      <c r="F107" s="17" t="s">
        <v>15</v>
      </c>
      <c r="G107" s="17" t="s">
        <v>38</v>
      </c>
      <c r="H107" s="17" t="s">
        <v>2597</v>
      </c>
      <c r="I107" s="17" t="s">
        <v>39</v>
      </c>
      <c r="J107" s="36">
        <v>2692.31</v>
      </c>
      <c r="K107" s="36">
        <v>560.95000000000005</v>
      </c>
      <c r="L107" s="36">
        <f t="shared" si="5"/>
        <v>-2131.3599999999997</v>
      </c>
      <c r="M107" s="37">
        <f t="shared" si="6"/>
        <v>-0.79164732144515293</v>
      </c>
      <c r="N107" s="17" t="str">
        <f t="shared" si="7"/>
        <v>Under Budget</v>
      </c>
      <c r="O107" s="38">
        <f t="shared" si="8"/>
        <v>-560.95000000000005</v>
      </c>
      <c r="P107" s="39">
        <f t="shared" si="9"/>
        <v>46143</v>
      </c>
    </row>
    <row r="108" spans="1:16" ht="15.5" x14ac:dyDescent="0.35">
      <c r="A108" s="17" t="s">
        <v>155</v>
      </c>
      <c r="B108" s="35">
        <v>45913</v>
      </c>
      <c r="C108" s="17" t="s">
        <v>12</v>
      </c>
      <c r="D108" s="17" t="s">
        <v>36</v>
      </c>
      <c r="E108" s="17" t="s">
        <v>45</v>
      </c>
      <c r="F108" s="17" t="s">
        <v>15</v>
      </c>
      <c r="G108" s="17" t="s">
        <v>38</v>
      </c>
      <c r="H108" s="17" t="s">
        <v>2593</v>
      </c>
      <c r="I108" s="17" t="s">
        <v>48</v>
      </c>
      <c r="J108" s="36">
        <v>7500</v>
      </c>
      <c r="K108" s="36">
        <v>15574.51</v>
      </c>
      <c r="L108" s="36">
        <f t="shared" si="5"/>
        <v>8074.51</v>
      </c>
      <c r="M108" s="37">
        <f t="shared" si="6"/>
        <v>1.0766013333333333</v>
      </c>
      <c r="N108" s="17" t="str">
        <f t="shared" si="7"/>
        <v>Over Budget</v>
      </c>
      <c r="O108" s="38">
        <f t="shared" si="8"/>
        <v>-15574.51</v>
      </c>
      <c r="P108" s="39">
        <f t="shared" si="9"/>
        <v>45901</v>
      </c>
    </row>
    <row r="109" spans="1:16" ht="15.5" x14ac:dyDescent="0.35">
      <c r="A109" s="17" t="s">
        <v>156</v>
      </c>
      <c r="B109" s="35">
        <v>46138</v>
      </c>
      <c r="C109" s="17" t="s">
        <v>12</v>
      </c>
      <c r="D109" s="17" t="s">
        <v>2584</v>
      </c>
      <c r="E109" s="17" t="s">
        <v>20</v>
      </c>
      <c r="F109" s="17" t="s">
        <v>21</v>
      </c>
      <c r="G109" s="17" t="s">
        <v>16</v>
      </c>
      <c r="H109" s="17" t="s">
        <v>2586</v>
      </c>
      <c r="I109" s="17" t="s">
        <v>39</v>
      </c>
      <c r="J109" s="36">
        <v>2250</v>
      </c>
      <c r="K109" s="36">
        <v>1348</v>
      </c>
      <c r="L109" s="36">
        <f t="shared" si="5"/>
        <v>-902</v>
      </c>
      <c r="M109" s="37">
        <f t="shared" si="6"/>
        <v>-0.40088888888888891</v>
      </c>
      <c r="N109" s="17" t="str">
        <f t="shared" si="7"/>
        <v>Under Budget</v>
      </c>
      <c r="O109" s="38">
        <f t="shared" si="8"/>
        <v>-1348</v>
      </c>
      <c r="P109" s="39">
        <f t="shared" si="9"/>
        <v>46113</v>
      </c>
    </row>
    <row r="110" spans="1:16" ht="15.5" x14ac:dyDescent="0.35">
      <c r="A110" s="17" t="s">
        <v>157</v>
      </c>
      <c r="B110" s="35">
        <v>45900</v>
      </c>
      <c r="C110" s="17" t="s">
        <v>12</v>
      </c>
      <c r="D110" s="17" t="s">
        <v>19</v>
      </c>
      <c r="E110" s="17" t="s">
        <v>14</v>
      </c>
      <c r="F110" s="17" t="s">
        <v>52</v>
      </c>
      <c r="G110" s="17" t="s">
        <v>16</v>
      </c>
      <c r="H110" s="17" t="s">
        <v>2587</v>
      </c>
      <c r="I110" s="17" t="s">
        <v>23</v>
      </c>
      <c r="J110" s="36">
        <v>2285.71</v>
      </c>
      <c r="K110" s="36">
        <v>834.06</v>
      </c>
      <c r="L110" s="36">
        <f t="shared" si="5"/>
        <v>-1451.65</v>
      </c>
      <c r="M110" s="37">
        <f t="shared" si="6"/>
        <v>-0.6350980658088734</v>
      </c>
      <c r="N110" s="17" t="str">
        <f t="shared" si="7"/>
        <v>Under Budget</v>
      </c>
      <c r="O110" s="38">
        <f t="shared" si="8"/>
        <v>-834.06</v>
      </c>
      <c r="P110" s="39">
        <f t="shared" si="9"/>
        <v>45870</v>
      </c>
    </row>
    <row r="111" spans="1:16" ht="15.5" x14ac:dyDescent="0.35">
      <c r="A111" s="17" t="s">
        <v>158</v>
      </c>
      <c r="B111" s="35">
        <v>45772</v>
      </c>
      <c r="C111" s="17" t="s">
        <v>12</v>
      </c>
      <c r="D111" s="17" t="s">
        <v>19</v>
      </c>
      <c r="E111" s="17" t="s">
        <v>41</v>
      </c>
      <c r="F111" s="17" t="s">
        <v>28</v>
      </c>
      <c r="G111" s="17" t="s">
        <v>43</v>
      </c>
      <c r="H111" s="17" t="s">
        <v>60</v>
      </c>
      <c r="I111" s="17" t="s">
        <v>39</v>
      </c>
      <c r="J111" s="36">
        <v>5416.67</v>
      </c>
      <c r="K111" s="36">
        <v>6248.98</v>
      </c>
      <c r="L111" s="36">
        <f t="shared" si="5"/>
        <v>832.30999999999949</v>
      </c>
      <c r="M111" s="37">
        <f t="shared" si="6"/>
        <v>0.153657136210993</v>
      </c>
      <c r="N111" s="17" t="str">
        <f t="shared" si="7"/>
        <v>Over Budget</v>
      </c>
      <c r="O111" s="38">
        <f t="shared" si="8"/>
        <v>-6248.98</v>
      </c>
      <c r="P111" s="39">
        <f t="shared" si="9"/>
        <v>45748</v>
      </c>
    </row>
    <row r="112" spans="1:16" ht="15.5" x14ac:dyDescent="0.35">
      <c r="A112" s="17" t="s">
        <v>159</v>
      </c>
      <c r="B112" s="35">
        <v>45868</v>
      </c>
      <c r="C112" s="17" t="s">
        <v>12</v>
      </c>
      <c r="D112" s="17" t="s">
        <v>2584</v>
      </c>
      <c r="E112" s="17" t="s">
        <v>74</v>
      </c>
      <c r="F112" s="17" t="s">
        <v>28</v>
      </c>
      <c r="G112" s="17" t="s">
        <v>38</v>
      </c>
      <c r="H112" s="17" t="s">
        <v>2590</v>
      </c>
      <c r="I112" s="17" t="s">
        <v>23</v>
      </c>
      <c r="J112" s="36">
        <v>3333.33</v>
      </c>
      <c r="K112" s="36">
        <v>1300.94</v>
      </c>
      <c r="L112" s="36">
        <f t="shared" si="5"/>
        <v>-2032.3899999999999</v>
      </c>
      <c r="M112" s="37">
        <f t="shared" si="6"/>
        <v>-0.60971760971760969</v>
      </c>
      <c r="N112" s="17" t="str">
        <f t="shared" si="7"/>
        <v>Under Budget</v>
      </c>
      <c r="O112" s="38">
        <f t="shared" si="8"/>
        <v>-1300.94</v>
      </c>
      <c r="P112" s="39">
        <f t="shared" si="9"/>
        <v>45839</v>
      </c>
    </row>
    <row r="113" spans="1:16" ht="15.5" x14ac:dyDescent="0.35">
      <c r="A113" s="17" t="s">
        <v>160</v>
      </c>
      <c r="B113" s="35">
        <v>45839</v>
      </c>
      <c r="C113" s="17" t="s">
        <v>12</v>
      </c>
      <c r="D113" s="17" t="s">
        <v>19</v>
      </c>
      <c r="E113" s="17" t="s">
        <v>65</v>
      </c>
      <c r="F113" s="17" t="s">
        <v>52</v>
      </c>
      <c r="G113" s="17" t="s">
        <v>16</v>
      </c>
      <c r="H113" s="17" t="s">
        <v>2593</v>
      </c>
      <c r="I113" s="17" t="s">
        <v>30</v>
      </c>
      <c r="J113" s="36">
        <v>3437.5</v>
      </c>
      <c r="K113" s="36">
        <v>2419.29</v>
      </c>
      <c r="L113" s="36">
        <f t="shared" si="5"/>
        <v>-1018.21</v>
      </c>
      <c r="M113" s="37">
        <f t="shared" si="6"/>
        <v>-0.29620654545454544</v>
      </c>
      <c r="N113" s="17" t="str">
        <f t="shared" si="7"/>
        <v>Under Budget</v>
      </c>
      <c r="O113" s="38">
        <f t="shared" si="8"/>
        <v>-2419.29</v>
      </c>
      <c r="P113" s="39">
        <f t="shared" si="9"/>
        <v>45839</v>
      </c>
    </row>
    <row r="114" spans="1:16" ht="15.5" x14ac:dyDescent="0.35">
      <c r="A114" s="17" t="s">
        <v>161</v>
      </c>
      <c r="B114" s="35">
        <v>45845</v>
      </c>
      <c r="C114" s="17" t="s">
        <v>25</v>
      </c>
      <c r="D114" s="17" t="s">
        <v>36</v>
      </c>
      <c r="E114" s="17" t="s">
        <v>33</v>
      </c>
      <c r="F114" s="17" t="s">
        <v>52</v>
      </c>
      <c r="G114" s="17" t="s">
        <v>38</v>
      </c>
      <c r="H114" s="17" t="s">
        <v>2589</v>
      </c>
      <c r="I114" s="17" t="s">
        <v>48</v>
      </c>
      <c r="J114" s="36">
        <v>12500</v>
      </c>
      <c r="K114" s="36">
        <v>11923.05</v>
      </c>
      <c r="L114" s="36">
        <f t="shared" si="5"/>
        <v>-576.95000000000073</v>
      </c>
      <c r="M114" s="37">
        <f t="shared" si="6"/>
        <v>-4.6156000000000058E-2</v>
      </c>
      <c r="N114" s="17" t="str">
        <f t="shared" si="7"/>
        <v>Under Budget</v>
      </c>
      <c r="O114" s="38">
        <f t="shared" si="8"/>
        <v>11923.05</v>
      </c>
      <c r="P114" s="39">
        <f t="shared" si="9"/>
        <v>45839</v>
      </c>
    </row>
    <row r="115" spans="1:16" ht="15.5" x14ac:dyDescent="0.35">
      <c r="A115" s="17" t="s">
        <v>162</v>
      </c>
      <c r="B115" s="35">
        <v>45707</v>
      </c>
      <c r="C115" s="17" t="s">
        <v>12</v>
      </c>
      <c r="D115" s="17" t="s">
        <v>36</v>
      </c>
      <c r="E115" s="17" t="s">
        <v>37</v>
      </c>
      <c r="F115" s="17" t="s">
        <v>28</v>
      </c>
      <c r="G115" s="17" t="s">
        <v>16</v>
      </c>
      <c r="H115" s="17" t="s">
        <v>60</v>
      </c>
      <c r="I115" s="17" t="s">
        <v>30</v>
      </c>
      <c r="J115" s="36">
        <v>6790</v>
      </c>
      <c r="K115" s="36">
        <v>0</v>
      </c>
      <c r="L115" s="36">
        <f t="shared" si="5"/>
        <v>-6790</v>
      </c>
      <c r="M115" s="37">
        <f t="shared" si="6"/>
        <v>-1</v>
      </c>
      <c r="N115" s="17" t="str">
        <f t="shared" si="7"/>
        <v>Under Budget</v>
      </c>
      <c r="O115" s="38">
        <f t="shared" si="8"/>
        <v>0</v>
      </c>
      <c r="P115" s="39">
        <f t="shared" si="9"/>
        <v>45689</v>
      </c>
    </row>
    <row r="116" spans="1:16" ht="15.5" x14ac:dyDescent="0.35">
      <c r="A116" s="17" t="s">
        <v>163</v>
      </c>
      <c r="B116" s="35">
        <v>46079</v>
      </c>
      <c r="C116" s="17" t="s">
        <v>12</v>
      </c>
      <c r="D116" s="17" t="s">
        <v>19</v>
      </c>
      <c r="E116" s="17" t="s">
        <v>74</v>
      </c>
      <c r="F116" s="17" t="s">
        <v>52</v>
      </c>
      <c r="G116" s="17" t="s">
        <v>38</v>
      </c>
      <c r="H116" s="17" t="s">
        <v>80</v>
      </c>
      <c r="I116" s="17" t="s">
        <v>39</v>
      </c>
      <c r="J116" s="36">
        <v>9700</v>
      </c>
      <c r="K116" s="36">
        <v>570.16</v>
      </c>
      <c r="L116" s="36">
        <f t="shared" si="5"/>
        <v>-9129.84</v>
      </c>
      <c r="M116" s="37">
        <f t="shared" si="6"/>
        <v>-0.94122061855670103</v>
      </c>
      <c r="N116" s="17" t="str">
        <f t="shared" si="7"/>
        <v>Under Budget</v>
      </c>
      <c r="O116" s="38">
        <f t="shared" si="8"/>
        <v>-570.16</v>
      </c>
      <c r="P116" s="39">
        <f t="shared" si="9"/>
        <v>46054</v>
      </c>
    </row>
    <row r="117" spans="1:16" ht="15.5" x14ac:dyDescent="0.35">
      <c r="A117" s="17" t="s">
        <v>164</v>
      </c>
      <c r="B117" s="35">
        <v>45890</v>
      </c>
      <c r="C117" s="17" t="s">
        <v>12</v>
      </c>
      <c r="D117" s="17" t="s">
        <v>2585</v>
      </c>
      <c r="E117" s="17" t="s">
        <v>77</v>
      </c>
      <c r="F117" s="17" t="s">
        <v>52</v>
      </c>
      <c r="G117" s="17" t="s">
        <v>38</v>
      </c>
      <c r="H117" s="17" t="s">
        <v>2587</v>
      </c>
      <c r="I117" s="17" t="s">
        <v>30</v>
      </c>
      <c r="J117" s="36">
        <v>3666.67</v>
      </c>
      <c r="K117" s="36">
        <v>828.18</v>
      </c>
      <c r="L117" s="36">
        <f t="shared" si="5"/>
        <v>-2838.4900000000002</v>
      </c>
      <c r="M117" s="37">
        <f t="shared" si="6"/>
        <v>-0.77413293260642491</v>
      </c>
      <c r="N117" s="17" t="str">
        <f t="shared" si="7"/>
        <v>Under Budget</v>
      </c>
      <c r="O117" s="38">
        <f t="shared" si="8"/>
        <v>-828.18</v>
      </c>
      <c r="P117" s="39">
        <f t="shared" si="9"/>
        <v>45870</v>
      </c>
    </row>
    <row r="118" spans="1:16" ht="15.5" x14ac:dyDescent="0.35">
      <c r="A118" s="17" t="s">
        <v>165</v>
      </c>
      <c r="B118" s="35">
        <v>45862</v>
      </c>
      <c r="C118" s="17" t="s">
        <v>12</v>
      </c>
      <c r="D118" s="17" t="s">
        <v>26</v>
      </c>
      <c r="E118" s="17" t="s">
        <v>65</v>
      </c>
      <c r="F118" s="17" t="s">
        <v>21</v>
      </c>
      <c r="G118" s="17" t="s">
        <v>16</v>
      </c>
      <c r="H118" s="17" t="s">
        <v>2588</v>
      </c>
      <c r="I118" s="17" t="s">
        <v>23</v>
      </c>
      <c r="J118" s="36">
        <v>3437.5</v>
      </c>
      <c r="K118" s="36">
        <v>3822.24</v>
      </c>
      <c r="L118" s="36">
        <f t="shared" si="5"/>
        <v>384.73999999999978</v>
      </c>
      <c r="M118" s="37">
        <f t="shared" si="6"/>
        <v>0.11192436363636357</v>
      </c>
      <c r="N118" s="17" t="str">
        <f t="shared" si="7"/>
        <v>Over Budget</v>
      </c>
      <c r="O118" s="38">
        <f t="shared" si="8"/>
        <v>-3822.24</v>
      </c>
      <c r="P118" s="39">
        <f t="shared" si="9"/>
        <v>45839</v>
      </c>
    </row>
    <row r="119" spans="1:16" ht="15.5" x14ac:dyDescent="0.35">
      <c r="A119" s="17" t="s">
        <v>166</v>
      </c>
      <c r="B119" s="35">
        <v>45987</v>
      </c>
      <c r="C119" s="17" t="s">
        <v>25</v>
      </c>
      <c r="D119" s="17" t="s">
        <v>32</v>
      </c>
      <c r="E119" s="17" t="s">
        <v>27</v>
      </c>
      <c r="F119" s="17" t="s">
        <v>21</v>
      </c>
      <c r="G119" s="17" t="s">
        <v>38</v>
      </c>
      <c r="H119" s="17" t="s">
        <v>60</v>
      </c>
      <c r="I119" s="17" t="s">
        <v>48</v>
      </c>
      <c r="J119" s="36">
        <v>8400</v>
      </c>
      <c r="K119" s="36">
        <v>2189.86</v>
      </c>
      <c r="L119" s="36">
        <f t="shared" si="5"/>
        <v>-6210.1399999999994</v>
      </c>
      <c r="M119" s="37">
        <f t="shared" si="6"/>
        <v>-0.73930238095238088</v>
      </c>
      <c r="N119" s="17" t="str">
        <f t="shared" si="7"/>
        <v>Under Budget</v>
      </c>
      <c r="O119" s="38">
        <f t="shared" si="8"/>
        <v>2189.86</v>
      </c>
      <c r="P119" s="39">
        <f t="shared" si="9"/>
        <v>45962</v>
      </c>
    </row>
    <row r="120" spans="1:16" ht="15.5" x14ac:dyDescent="0.35">
      <c r="A120" s="17" t="s">
        <v>167</v>
      </c>
      <c r="B120" s="35">
        <v>45691</v>
      </c>
      <c r="C120" s="17" t="s">
        <v>25</v>
      </c>
      <c r="D120" s="17" t="s">
        <v>13</v>
      </c>
      <c r="E120" s="17" t="s">
        <v>109</v>
      </c>
      <c r="F120" s="17" t="s">
        <v>28</v>
      </c>
      <c r="G120" s="17" t="s">
        <v>22</v>
      </c>
      <c r="H120" s="17" t="s">
        <v>2590</v>
      </c>
      <c r="I120" s="17" t="s">
        <v>23</v>
      </c>
      <c r="J120" s="36">
        <v>13857.14</v>
      </c>
      <c r="K120" s="36">
        <v>15805.06</v>
      </c>
      <c r="L120" s="36">
        <f t="shared" si="5"/>
        <v>1947.92</v>
      </c>
      <c r="M120" s="37">
        <f t="shared" si="6"/>
        <v>0.14057157537558257</v>
      </c>
      <c r="N120" s="17" t="str">
        <f t="shared" si="7"/>
        <v>Over Budget</v>
      </c>
      <c r="O120" s="38">
        <f t="shared" si="8"/>
        <v>15805.06</v>
      </c>
      <c r="P120" s="39">
        <f t="shared" si="9"/>
        <v>45689</v>
      </c>
    </row>
    <row r="121" spans="1:16" ht="15.5" x14ac:dyDescent="0.35">
      <c r="A121" s="17" t="s">
        <v>168</v>
      </c>
      <c r="B121" s="35">
        <v>45839</v>
      </c>
      <c r="C121" s="17" t="s">
        <v>25</v>
      </c>
      <c r="D121" s="17" t="s">
        <v>13</v>
      </c>
      <c r="E121" s="17" t="s">
        <v>169</v>
      </c>
      <c r="F121" s="17" t="s">
        <v>34</v>
      </c>
      <c r="G121" s="17" t="s">
        <v>22</v>
      </c>
      <c r="H121" s="17" t="s">
        <v>2598</v>
      </c>
      <c r="I121" s="17" t="s">
        <v>48</v>
      </c>
      <c r="J121" s="36">
        <v>4000</v>
      </c>
      <c r="K121" s="36">
        <v>3909.06</v>
      </c>
      <c r="L121" s="36">
        <f t="shared" si="5"/>
        <v>-90.940000000000055</v>
      </c>
      <c r="M121" s="37">
        <f t="shared" si="6"/>
        <v>-2.2735000000000012E-2</v>
      </c>
      <c r="N121" s="17" t="str">
        <f t="shared" si="7"/>
        <v>Under Budget</v>
      </c>
      <c r="O121" s="38">
        <f t="shared" si="8"/>
        <v>3909.06</v>
      </c>
      <c r="P121" s="39">
        <f t="shared" si="9"/>
        <v>45839</v>
      </c>
    </row>
    <row r="122" spans="1:16" ht="15.5" x14ac:dyDescent="0.35">
      <c r="A122" s="17" t="s">
        <v>170</v>
      </c>
      <c r="B122" s="35">
        <v>45872</v>
      </c>
      <c r="C122" s="17" t="s">
        <v>12</v>
      </c>
      <c r="D122" s="17" t="s">
        <v>36</v>
      </c>
      <c r="E122" s="17" t="s">
        <v>45</v>
      </c>
      <c r="F122" s="17" t="s">
        <v>34</v>
      </c>
      <c r="G122" s="17" t="s">
        <v>29</v>
      </c>
      <c r="H122" s="17" t="s">
        <v>2588</v>
      </c>
      <c r="I122" s="17" t="s">
        <v>23</v>
      </c>
      <c r="J122" s="36">
        <v>8181.82</v>
      </c>
      <c r="K122" s="36">
        <v>17178.7</v>
      </c>
      <c r="L122" s="36">
        <f t="shared" si="5"/>
        <v>8996.880000000001</v>
      </c>
      <c r="M122" s="37">
        <f t="shared" si="6"/>
        <v>1.0996184223070173</v>
      </c>
      <c r="N122" s="17" t="str">
        <f t="shared" si="7"/>
        <v>Over Budget</v>
      </c>
      <c r="O122" s="38">
        <f t="shared" si="8"/>
        <v>-17178.7</v>
      </c>
      <c r="P122" s="39">
        <f t="shared" si="9"/>
        <v>45870</v>
      </c>
    </row>
    <row r="123" spans="1:16" ht="15.5" x14ac:dyDescent="0.35">
      <c r="A123" s="17" t="s">
        <v>171</v>
      </c>
      <c r="B123" s="35">
        <v>45861</v>
      </c>
      <c r="C123" s="17" t="s">
        <v>25</v>
      </c>
      <c r="D123" s="17" t="s">
        <v>32</v>
      </c>
      <c r="E123" s="17" t="s">
        <v>33</v>
      </c>
      <c r="F123" s="17" t="s">
        <v>15</v>
      </c>
      <c r="G123" s="17" t="s">
        <v>38</v>
      </c>
      <c r="H123" s="17" t="s">
        <v>2588</v>
      </c>
      <c r="I123" s="17" t="s">
        <v>39</v>
      </c>
      <c r="J123" s="36">
        <v>12500</v>
      </c>
      <c r="K123" s="36">
        <v>3326.25</v>
      </c>
      <c r="L123" s="36">
        <f t="shared" si="5"/>
        <v>-9173.75</v>
      </c>
      <c r="M123" s="37">
        <f t="shared" si="6"/>
        <v>-0.7339</v>
      </c>
      <c r="N123" s="17" t="str">
        <f t="shared" si="7"/>
        <v>Under Budget</v>
      </c>
      <c r="O123" s="38">
        <f t="shared" si="8"/>
        <v>3326.25</v>
      </c>
      <c r="P123" s="39">
        <f t="shared" si="9"/>
        <v>45839</v>
      </c>
    </row>
    <row r="124" spans="1:16" ht="15.5" x14ac:dyDescent="0.35">
      <c r="A124" s="17" t="s">
        <v>172</v>
      </c>
      <c r="B124" s="35">
        <v>45697</v>
      </c>
      <c r="C124" s="17" t="s">
        <v>12</v>
      </c>
      <c r="D124" s="17" t="s">
        <v>36</v>
      </c>
      <c r="E124" s="17" t="s">
        <v>47</v>
      </c>
      <c r="F124" s="17" t="s">
        <v>21</v>
      </c>
      <c r="G124" s="17" t="s">
        <v>16</v>
      </c>
      <c r="H124" s="17" t="s">
        <v>2590</v>
      </c>
      <c r="I124" s="17" t="s">
        <v>48</v>
      </c>
      <c r="J124" s="36">
        <v>11316.67</v>
      </c>
      <c r="K124" s="36">
        <v>4944.16</v>
      </c>
      <c r="L124" s="36">
        <f t="shared" si="5"/>
        <v>-6372.51</v>
      </c>
      <c r="M124" s="37">
        <f t="shared" si="6"/>
        <v>-0.5631082288341005</v>
      </c>
      <c r="N124" s="17" t="str">
        <f t="shared" si="7"/>
        <v>Under Budget</v>
      </c>
      <c r="O124" s="38">
        <f t="shared" si="8"/>
        <v>-4944.16</v>
      </c>
      <c r="P124" s="39">
        <f t="shared" si="9"/>
        <v>45689</v>
      </c>
    </row>
    <row r="125" spans="1:16" ht="15.5" x14ac:dyDescent="0.35">
      <c r="A125" s="17" t="s">
        <v>173</v>
      </c>
      <c r="B125" s="35">
        <v>46116</v>
      </c>
      <c r="C125" s="17" t="s">
        <v>12</v>
      </c>
      <c r="D125" s="17" t="s">
        <v>32</v>
      </c>
      <c r="E125" s="17" t="s">
        <v>65</v>
      </c>
      <c r="F125" s="17" t="s">
        <v>21</v>
      </c>
      <c r="G125" s="17" t="s">
        <v>43</v>
      </c>
      <c r="H125" s="17" t="s">
        <v>2593</v>
      </c>
      <c r="I125" s="17" t="s">
        <v>17</v>
      </c>
      <c r="J125" s="36">
        <v>9166.67</v>
      </c>
      <c r="K125" s="36">
        <v>3278.91</v>
      </c>
      <c r="L125" s="36">
        <f t="shared" si="5"/>
        <v>-5887.76</v>
      </c>
      <c r="M125" s="37">
        <f t="shared" si="6"/>
        <v>-0.64230085734514275</v>
      </c>
      <c r="N125" s="17" t="str">
        <f t="shared" si="7"/>
        <v>Under Budget</v>
      </c>
      <c r="O125" s="38">
        <f t="shared" si="8"/>
        <v>-3278.91</v>
      </c>
      <c r="P125" s="39">
        <f t="shared" si="9"/>
        <v>46113</v>
      </c>
    </row>
    <row r="126" spans="1:16" ht="15.5" x14ac:dyDescent="0.35">
      <c r="A126" s="17" t="s">
        <v>174</v>
      </c>
      <c r="B126" s="35">
        <v>46005</v>
      </c>
      <c r="C126" s="17" t="s">
        <v>25</v>
      </c>
      <c r="D126" s="17" t="s">
        <v>32</v>
      </c>
      <c r="E126" s="17" t="s">
        <v>27</v>
      </c>
      <c r="F126" s="17" t="s">
        <v>52</v>
      </c>
      <c r="G126" s="17" t="s">
        <v>29</v>
      </c>
      <c r="H126" s="17" t="s">
        <v>2586</v>
      </c>
      <c r="I126" s="17" t="s">
        <v>23</v>
      </c>
      <c r="J126" s="36">
        <v>9333.33</v>
      </c>
      <c r="K126" s="36">
        <v>5148.21</v>
      </c>
      <c r="L126" s="36">
        <f t="shared" si="5"/>
        <v>-4185.12</v>
      </c>
      <c r="M126" s="37">
        <f t="shared" si="6"/>
        <v>-0.44840587443066943</v>
      </c>
      <c r="N126" s="17" t="str">
        <f t="shared" si="7"/>
        <v>Under Budget</v>
      </c>
      <c r="O126" s="38">
        <f t="shared" si="8"/>
        <v>5148.21</v>
      </c>
      <c r="P126" s="39">
        <f t="shared" si="9"/>
        <v>45992</v>
      </c>
    </row>
    <row r="127" spans="1:16" ht="15.5" x14ac:dyDescent="0.35">
      <c r="A127" s="17" t="s">
        <v>175</v>
      </c>
      <c r="B127" s="35">
        <v>46137</v>
      </c>
      <c r="C127" s="17" t="s">
        <v>12</v>
      </c>
      <c r="D127" s="17" t="s">
        <v>36</v>
      </c>
      <c r="E127" s="17" t="s">
        <v>45</v>
      </c>
      <c r="F127" s="17" t="s">
        <v>28</v>
      </c>
      <c r="G127" s="17" t="s">
        <v>29</v>
      </c>
      <c r="H127" s="17" t="s">
        <v>2597</v>
      </c>
      <c r="I127" s="17" t="s">
        <v>48</v>
      </c>
      <c r="J127" s="36">
        <v>8571.43</v>
      </c>
      <c r="K127" s="36">
        <v>11675.26</v>
      </c>
      <c r="L127" s="36">
        <f t="shared" si="5"/>
        <v>3103.83</v>
      </c>
      <c r="M127" s="37">
        <f t="shared" si="6"/>
        <v>0.36211343964776005</v>
      </c>
      <c r="N127" s="17" t="str">
        <f t="shared" si="7"/>
        <v>Over Budget</v>
      </c>
      <c r="O127" s="38">
        <f t="shared" si="8"/>
        <v>-11675.26</v>
      </c>
      <c r="P127" s="39">
        <f t="shared" si="9"/>
        <v>46113</v>
      </c>
    </row>
    <row r="128" spans="1:16" ht="15.5" x14ac:dyDescent="0.35">
      <c r="A128" s="17" t="s">
        <v>176</v>
      </c>
      <c r="B128" s="35">
        <v>45884</v>
      </c>
      <c r="C128" s="17" t="s">
        <v>12</v>
      </c>
      <c r="D128" s="17" t="s">
        <v>2585</v>
      </c>
      <c r="E128" s="17" t="s">
        <v>77</v>
      </c>
      <c r="F128" s="17" t="s">
        <v>15</v>
      </c>
      <c r="G128" s="17" t="s">
        <v>38</v>
      </c>
      <c r="H128" s="17" t="s">
        <v>2591</v>
      </c>
      <c r="I128" s="17" t="s">
        <v>23</v>
      </c>
      <c r="J128" s="36">
        <v>3666.67</v>
      </c>
      <c r="K128" s="36">
        <v>1996.58</v>
      </c>
      <c r="L128" s="36">
        <f t="shared" si="5"/>
        <v>-1670.0900000000001</v>
      </c>
      <c r="M128" s="37">
        <f t="shared" si="6"/>
        <v>-0.45547867683756654</v>
      </c>
      <c r="N128" s="17" t="str">
        <f t="shared" si="7"/>
        <v>Under Budget</v>
      </c>
      <c r="O128" s="38">
        <f t="shared" si="8"/>
        <v>-1996.58</v>
      </c>
      <c r="P128" s="39">
        <f t="shared" si="9"/>
        <v>45870</v>
      </c>
    </row>
    <row r="129" spans="1:16" ht="15.5" x14ac:dyDescent="0.35">
      <c r="A129" s="17" t="s">
        <v>177</v>
      </c>
      <c r="B129" s="35">
        <v>45707</v>
      </c>
      <c r="C129" s="17" t="s">
        <v>12</v>
      </c>
      <c r="D129" s="17" t="s">
        <v>2584</v>
      </c>
      <c r="E129" s="17" t="s">
        <v>45</v>
      </c>
      <c r="F129" s="17" t="s">
        <v>21</v>
      </c>
      <c r="G129" s="17" t="s">
        <v>29</v>
      </c>
      <c r="H129" s="17" t="s">
        <v>2591</v>
      </c>
      <c r="I129" s="17" t="s">
        <v>39</v>
      </c>
      <c r="J129" s="36">
        <v>11640</v>
      </c>
      <c r="K129" s="36">
        <v>16150.79</v>
      </c>
      <c r="L129" s="36">
        <f t="shared" si="5"/>
        <v>4510.7900000000009</v>
      </c>
      <c r="M129" s="37">
        <f t="shared" si="6"/>
        <v>0.38752491408934714</v>
      </c>
      <c r="N129" s="17" t="str">
        <f t="shared" si="7"/>
        <v>Over Budget</v>
      </c>
      <c r="O129" s="38">
        <f t="shared" si="8"/>
        <v>-16150.79</v>
      </c>
      <c r="P129" s="39">
        <f t="shared" si="9"/>
        <v>45689</v>
      </c>
    </row>
    <row r="130" spans="1:16" ht="15.5" x14ac:dyDescent="0.35">
      <c r="A130" s="17" t="s">
        <v>178</v>
      </c>
      <c r="B130" s="35">
        <v>46068</v>
      </c>
      <c r="C130" s="17" t="s">
        <v>25</v>
      </c>
      <c r="D130" s="17" t="s">
        <v>32</v>
      </c>
      <c r="E130" s="17" t="s">
        <v>169</v>
      </c>
      <c r="F130" s="17" t="s">
        <v>28</v>
      </c>
      <c r="G130" s="17" t="s">
        <v>22</v>
      </c>
      <c r="H130" s="17" t="s">
        <v>2592</v>
      </c>
      <c r="I130" s="17" t="s">
        <v>17</v>
      </c>
      <c r="J130" s="36">
        <v>3880</v>
      </c>
      <c r="K130" s="36">
        <v>3718.7</v>
      </c>
      <c r="L130" s="36">
        <f t="shared" si="5"/>
        <v>-161.30000000000018</v>
      </c>
      <c r="M130" s="37">
        <f t="shared" si="6"/>
        <v>-4.1572164948453658E-2</v>
      </c>
      <c r="N130" s="17" t="str">
        <f t="shared" si="7"/>
        <v>Under Budget</v>
      </c>
      <c r="O130" s="38">
        <f t="shared" si="8"/>
        <v>3718.7</v>
      </c>
      <c r="P130" s="39">
        <f t="shared" si="9"/>
        <v>46054</v>
      </c>
    </row>
    <row r="131" spans="1:16" ht="15.5" x14ac:dyDescent="0.35">
      <c r="A131" s="17" t="s">
        <v>179</v>
      </c>
      <c r="B131" s="35">
        <v>45979</v>
      </c>
      <c r="C131" s="17" t="s">
        <v>12</v>
      </c>
      <c r="D131" s="17" t="s">
        <v>2585</v>
      </c>
      <c r="E131" s="17" t="s">
        <v>20</v>
      </c>
      <c r="F131" s="17" t="s">
        <v>28</v>
      </c>
      <c r="G131" s="17" t="s">
        <v>22</v>
      </c>
      <c r="H131" s="17" t="s">
        <v>2595</v>
      </c>
      <c r="I131" s="17" t="s">
        <v>23</v>
      </c>
      <c r="J131" s="36">
        <v>1890</v>
      </c>
      <c r="K131" s="36">
        <v>649.13</v>
      </c>
      <c r="L131" s="36">
        <f t="shared" ref="L131:L194" si="10">K131-J131</f>
        <v>-1240.8699999999999</v>
      </c>
      <c r="M131" s="37">
        <f t="shared" ref="M131:M194" si="11">IF(J131=0,0,L131/J131)</f>
        <v>-0.65654497354497354</v>
      </c>
      <c r="N131" s="17" t="str">
        <f t="shared" ref="N131:N194" si="12">IF(J131=0,"No Budget",IF(K131&gt;J131,"Over Budget",IF(K131&lt;J131,"Under Budget","On Budget")))</f>
        <v>Under Budget</v>
      </c>
      <c r="O131" s="38">
        <f t="shared" ref="O131:O194" si="13">IF(C131="Revenue",K131,-K131)</f>
        <v>-649.13</v>
      </c>
      <c r="P131" s="39">
        <f t="shared" ref="P131:P194" si="14">DATE(YEAR(B131),MONTH(B131),1)</f>
        <v>45962</v>
      </c>
    </row>
    <row r="132" spans="1:16" ht="15.5" x14ac:dyDescent="0.35">
      <c r="A132" s="17" t="s">
        <v>180</v>
      </c>
      <c r="B132" s="35">
        <v>46109</v>
      </c>
      <c r="C132" s="17" t="s">
        <v>12</v>
      </c>
      <c r="D132" s="17" t="s">
        <v>13</v>
      </c>
      <c r="E132" s="17" t="s">
        <v>77</v>
      </c>
      <c r="F132" s="17" t="s">
        <v>28</v>
      </c>
      <c r="G132" s="17" t="s">
        <v>38</v>
      </c>
      <c r="H132" s="17" t="s">
        <v>2587</v>
      </c>
      <c r="I132" s="17" t="s">
        <v>17</v>
      </c>
      <c r="J132" s="36">
        <v>1833.33</v>
      </c>
      <c r="K132" s="36">
        <v>275.11</v>
      </c>
      <c r="L132" s="36">
        <f t="shared" si="10"/>
        <v>-1558.2199999999998</v>
      </c>
      <c r="M132" s="37">
        <f t="shared" si="11"/>
        <v>-0.84993972716314026</v>
      </c>
      <c r="N132" s="17" t="str">
        <f t="shared" si="12"/>
        <v>Under Budget</v>
      </c>
      <c r="O132" s="38">
        <f t="shared" si="13"/>
        <v>-275.11</v>
      </c>
      <c r="P132" s="39">
        <f t="shared" si="14"/>
        <v>46082</v>
      </c>
    </row>
    <row r="133" spans="1:16" ht="15.5" x14ac:dyDescent="0.35">
      <c r="A133" s="17" t="s">
        <v>181</v>
      </c>
      <c r="B133" s="35">
        <v>46171</v>
      </c>
      <c r="C133" s="17" t="s">
        <v>25</v>
      </c>
      <c r="D133" s="17" t="s">
        <v>32</v>
      </c>
      <c r="E133" s="17" t="s">
        <v>109</v>
      </c>
      <c r="F133" s="17" t="s">
        <v>52</v>
      </c>
      <c r="G133" s="17" t="s">
        <v>38</v>
      </c>
      <c r="H133" s="17" t="s">
        <v>2596</v>
      </c>
      <c r="I133" s="17" t="s">
        <v>39</v>
      </c>
      <c r="J133" s="36">
        <v>5882.35</v>
      </c>
      <c r="K133" s="36">
        <v>5315.17</v>
      </c>
      <c r="L133" s="36">
        <f t="shared" si="10"/>
        <v>-567.18000000000029</v>
      </c>
      <c r="M133" s="37">
        <f t="shared" si="11"/>
        <v>-9.6420648210324145E-2</v>
      </c>
      <c r="N133" s="17" t="str">
        <f t="shared" si="12"/>
        <v>Under Budget</v>
      </c>
      <c r="O133" s="38">
        <f t="shared" si="13"/>
        <v>5315.17</v>
      </c>
      <c r="P133" s="39">
        <f t="shared" si="14"/>
        <v>46143</v>
      </c>
    </row>
    <row r="134" spans="1:16" ht="15.5" x14ac:dyDescent="0.35">
      <c r="A134" s="17" t="s">
        <v>182</v>
      </c>
      <c r="B134" s="35">
        <v>46157</v>
      </c>
      <c r="C134" s="17" t="s">
        <v>25</v>
      </c>
      <c r="D134" s="17" t="s">
        <v>2584</v>
      </c>
      <c r="E134" s="17" t="s">
        <v>109</v>
      </c>
      <c r="F134" s="17" t="s">
        <v>34</v>
      </c>
      <c r="G134" s="17" t="s">
        <v>38</v>
      </c>
      <c r="H134" s="17" t="s">
        <v>80</v>
      </c>
      <c r="I134" s="17" t="s">
        <v>39</v>
      </c>
      <c r="J134" s="36">
        <v>5882.35</v>
      </c>
      <c r="K134" s="36">
        <v>17176.14</v>
      </c>
      <c r="L134" s="36">
        <f t="shared" si="10"/>
        <v>11293.789999999999</v>
      </c>
      <c r="M134" s="37">
        <f t="shared" si="11"/>
        <v>1.9199452599726297</v>
      </c>
      <c r="N134" s="17" t="str">
        <f t="shared" si="12"/>
        <v>Over Budget</v>
      </c>
      <c r="O134" s="38">
        <f t="shared" si="13"/>
        <v>17176.14</v>
      </c>
      <c r="P134" s="39">
        <f t="shared" si="14"/>
        <v>46143</v>
      </c>
    </row>
    <row r="135" spans="1:16" ht="15.5" x14ac:dyDescent="0.35">
      <c r="A135" s="17" t="s">
        <v>183</v>
      </c>
      <c r="B135" s="35">
        <v>45693</v>
      </c>
      <c r="C135" s="17" t="s">
        <v>12</v>
      </c>
      <c r="D135" s="17" t="s">
        <v>13</v>
      </c>
      <c r="E135" s="17" t="s">
        <v>20</v>
      </c>
      <c r="F135" s="17" t="s">
        <v>28</v>
      </c>
      <c r="G135" s="17" t="s">
        <v>82</v>
      </c>
      <c r="H135" s="17" t="s">
        <v>2589</v>
      </c>
      <c r="I135" s="17" t="s">
        <v>39</v>
      </c>
      <c r="J135" s="36">
        <v>1940</v>
      </c>
      <c r="K135" s="36">
        <v>90.65</v>
      </c>
      <c r="L135" s="36">
        <f t="shared" si="10"/>
        <v>-1849.35</v>
      </c>
      <c r="M135" s="37">
        <f t="shared" si="11"/>
        <v>-0.95327319587628856</v>
      </c>
      <c r="N135" s="17" t="str">
        <f t="shared" si="12"/>
        <v>Under Budget</v>
      </c>
      <c r="O135" s="38">
        <f t="shared" si="13"/>
        <v>-90.65</v>
      </c>
      <c r="P135" s="39">
        <f t="shared" si="14"/>
        <v>45689</v>
      </c>
    </row>
    <row r="136" spans="1:16" ht="15.5" x14ac:dyDescent="0.35">
      <c r="A136" s="17" t="s">
        <v>184</v>
      </c>
      <c r="B136" s="35">
        <v>45855</v>
      </c>
      <c r="C136" s="17" t="s">
        <v>12</v>
      </c>
      <c r="D136" s="17" t="s">
        <v>26</v>
      </c>
      <c r="E136" s="17" t="s">
        <v>14</v>
      </c>
      <c r="F136" s="17" t="s">
        <v>34</v>
      </c>
      <c r="G136" s="17" t="s">
        <v>43</v>
      </c>
      <c r="H136" s="17" t="s">
        <v>2590</v>
      </c>
      <c r="I136" s="17" t="s">
        <v>48</v>
      </c>
      <c r="J136" s="36">
        <v>4000</v>
      </c>
      <c r="K136" s="36">
        <v>3880.16</v>
      </c>
      <c r="L136" s="36">
        <f t="shared" si="10"/>
        <v>-119.84000000000015</v>
      </c>
      <c r="M136" s="37">
        <f t="shared" si="11"/>
        <v>-2.9960000000000035E-2</v>
      </c>
      <c r="N136" s="17" t="str">
        <f t="shared" si="12"/>
        <v>Under Budget</v>
      </c>
      <c r="O136" s="38">
        <f t="shared" si="13"/>
        <v>-3880.16</v>
      </c>
      <c r="P136" s="39">
        <f t="shared" si="14"/>
        <v>45839</v>
      </c>
    </row>
    <row r="137" spans="1:16" ht="15.5" x14ac:dyDescent="0.35">
      <c r="A137" s="17" t="s">
        <v>185</v>
      </c>
      <c r="B137" s="35">
        <v>46099</v>
      </c>
      <c r="C137" s="17" t="s">
        <v>12</v>
      </c>
      <c r="D137" s="17" t="s">
        <v>19</v>
      </c>
      <c r="E137" s="17" t="s">
        <v>74</v>
      </c>
      <c r="F137" s="17" t="s">
        <v>21</v>
      </c>
      <c r="G137" s="17" t="s">
        <v>16</v>
      </c>
      <c r="H137" s="17" t="s">
        <v>2598</v>
      </c>
      <c r="I137" s="17" t="s">
        <v>17</v>
      </c>
      <c r="J137" s="36">
        <v>5000</v>
      </c>
      <c r="K137" s="36">
        <v>5872.5</v>
      </c>
      <c r="L137" s="36">
        <f t="shared" si="10"/>
        <v>872.5</v>
      </c>
      <c r="M137" s="37">
        <f t="shared" si="11"/>
        <v>0.17449999999999999</v>
      </c>
      <c r="N137" s="17" t="str">
        <f t="shared" si="12"/>
        <v>Over Budget</v>
      </c>
      <c r="O137" s="38">
        <f t="shared" si="13"/>
        <v>-5872.5</v>
      </c>
      <c r="P137" s="39">
        <f t="shared" si="14"/>
        <v>46082</v>
      </c>
    </row>
    <row r="138" spans="1:16" ht="15.5" x14ac:dyDescent="0.35">
      <c r="A138" s="17" t="s">
        <v>186</v>
      </c>
      <c r="B138" s="35">
        <v>45715</v>
      </c>
      <c r="C138" s="17" t="s">
        <v>12</v>
      </c>
      <c r="D138" s="17" t="s">
        <v>2585</v>
      </c>
      <c r="E138" s="17" t="s">
        <v>45</v>
      </c>
      <c r="F138" s="17" t="s">
        <v>52</v>
      </c>
      <c r="G138" s="17" t="s">
        <v>22</v>
      </c>
      <c r="H138" s="17" t="s">
        <v>2595</v>
      </c>
      <c r="I138" s="17" t="s">
        <v>48</v>
      </c>
      <c r="J138" s="36">
        <v>11640</v>
      </c>
      <c r="K138" s="36">
        <v>5776.31</v>
      </c>
      <c r="L138" s="36">
        <f t="shared" si="10"/>
        <v>-5863.69</v>
      </c>
      <c r="M138" s="37">
        <f t="shared" si="11"/>
        <v>-0.50375343642611681</v>
      </c>
      <c r="N138" s="17" t="str">
        <f t="shared" si="12"/>
        <v>Under Budget</v>
      </c>
      <c r="O138" s="38">
        <f t="shared" si="13"/>
        <v>-5776.31</v>
      </c>
      <c r="P138" s="39">
        <f t="shared" si="14"/>
        <v>45689</v>
      </c>
    </row>
    <row r="139" spans="1:16" ht="15.5" x14ac:dyDescent="0.35">
      <c r="A139" s="17" t="s">
        <v>187</v>
      </c>
      <c r="B139" s="35">
        <v>45814</v>
      </c>
      <c r="C139" s="17" t="s">
        <v>12</v>
      </c>
      <c r="D139" s="17" t="s">
        <v>36</v>
      </c>
      <c r="E139" s="17" t="s">
        <v>14</v>
      </c>
      <c r="F139" s="17" t="s">
        <v>28</v>
      </c>
      <c r="G139" s="17" t="s">
        <v>16</v>
      </c>
      <c r="H139" s="17" t="s">
        <v>2598</v>
      </c>
      <c r="I139" s="17" t="s">
        <v>30</v>
      </c>
      <c r="J139" s="36">
        <v>4571.43</v>
      </c>
      <c r="K139" s="36">
        <v>201.42</v>
      </c>
      <c r="L139" s="36">
        <f t="shared" si="10"/>
        <v>-4370.01</v>
      </c>
      <c r="M139" s="37">
        <f t="shared" si="11"/>
        <v>-0.95593938876894102</v>
      </c>
      <c r="N139" s="17" t="str">
        <f t="shared" si="12"/>
        <v>Under Budget</v>
      </c>
      <c r="O139" s="38">
        <f t="shared" si="13"/>
        <v>-201.42</v>
      </c>
      <c r="P139" s="39">
        <f t="shared" si="14"/>
        <v>45809</v>
      </c>
    </row>
    <row r="140" spans="1:16" ht="15.5" x14ac:dyDescent="0.35">
      <c r="A140" s="17" t="s">
        <v>188</v>
      </c>
      <c r="B140" s="35">
        <v>45786</v>
      </c>
      <c r="C140" s="17" t="s">
        <v>12</v>
      </c>
      <c r="D140" s="17" t="s">
        <v>26</v>
      </c>
      <c r="E140" s="17" t="s">
        <v>45</v>
      </c>
      <c r="F140" s="17" t="s">
        <v>52</v>
      </c>
      <c r="G140" s="17" t="s">
        <v>38</v>
      </c>
      <c r="H140" s="17" t="s">
        <v>2593</v>
      </c>
      <c r="I140" s="17" t="s">
        <v>48</v>
      </c>
      <c r="J140" s="36">
        <v>7200</v>
      </c>
      <c r="K140" s="36">
        <v>17976.080000000002</v>
      </c>
      <c r="L140" s="36">
        <f t="shared" si="10"/>
        <v>10776.080000000002</v>
      </c>
      <c r="M140" s="37">
        <f t="shared" si="11"/>
        <v>1.496677777777778</v>
      </c>
      <c r="N140" s="17" t="str">
        <f t="shared" si="12"/>
        <v>Over Budget</v>
      </c>
      <c r="O140" s="38">
        <f t="shared" si="13"/>
        <v>-17976.080000000002</v>
      </c>
      <c r="P140" s="39">
        <f t="shared" si="14"/>
        <v>45778</v>
      </c>
    </row>
    <row r="141" spans="1:16" ht="15.5" x14ac:dyDescent="0.35">
      <c r="A141" s="17" t="s">
        <v>189</v>
      </c>
      <c r="B141" s="35">
        <v>45876</v>
      </c>
      <c r="C141" s="17" t="s">
        <v>12</v>
      </c>
      <c r="D141" s="17" t="s">
        <v>36</v>
      </c>
      <c r="E141" s="17" t="s">
        <v>74</v>
      </c>
      <c r="F141" s="17" t="s">
        <v>21</v>
      </c>
      <c r="G141" s="17" t="s">
        <v>38</v>
      </c>
      <c r="H141" s="17" t="s">
        <v>2592</v>
      </c>
      <c r="I141" s="17" t="s">
        <v>30</v>
      </c>
      <c r="J141" s="36">
        <v>5714.29</v>
      </c>
      <c r="K141" s="36">
        <v>957.29</v>
      </c>
      <c r="L141" s="36">
        <f t="shared" si="10"/>
        <v>-4757</v>
      </c>
      <c r="M141" s="37">
        <f t="shared" si="11"/>
        <v>-0.83247437564421822</v>
      </c>
      <c r="N141" s="17" t="str">
        <f t="shared" si="12"/>
        <v>Under Budget</v>
      </c>
      <c r="O141" s="38">
        <f t="shared" si="13"/>
        <v>-957.29</v>
      </c>
      <c r="P141" s="39">
        <f t="shared" si="14"/>
        <v>45870</v>
      </c>
    </row>
    <row r="142" spans="1:16" ht="15.5" x14ac:dyDescent="0.35">
      <c r="A142" s="17" t="s">
        <v>190</v>
      </c>
      <c r="B142" s="35">
        <v>45780</v>
      </c>
      <c r="C142" s="17" t="s">
        <v>25</v>
      </c>
      <c r="D142" s="17" t="s">
        <v>32</v>
      </c>
      <c r="E142" s="17" t="s">
        <v>27</v>
      </c>
      <c r="F142" s="17" t="s">
        <v>34</v>
      </c>
      <c r="G142" s="17" t="s">
        <v>22</v>
      </c>
      <c r="H142" s="17" t="s">
        <v>2592</v>
      </c>
      <c r="I142" s="17" t="s">
        <v>39</v>
      </c>
      <c r="J142" s="36">
        <v>10000</v>
      </c>
      <c r="K142" s="36">
        <v>3445.61</v>
      </c>
      <c r="L142" s="36">
        <f t="shared" si="10"/>
        <v>-6554.3899999999994</v>
      </c>
      <c r="M142" s="37">
        <f t="shared" si="11"/>
        <v>-0.65543899999999999</v>
      </c>
      <c r="N142" s="17" t="str">
        <f t="shared" si="12"/>
        <v>Under Budget</v>
      </c>
      <c r="O142" s="38">
        <f t="shared" si="13"/>
        <v>3445.61</v>
      </c>
      <c r="P142" s="39">
        <f t="shared" si="14"/>
        <v>45778</v>
      </c>
    </row>
    <row r="143" spans="1:16" ht="15.5" x14ac:dyDescent="0.35">
      <c r="A143" s="17" t="s">
        <v>191</v>
      </c>
      <c r="B143" s="35">
        <v>46092</v>
      </c>
      <c r="C143" s="17" t="s">
        <v>12</v>
      </c>
      <c r="D143" s="17" t="s">
        <v>2584</v>
      </c>
      <c r="E143" s="17" t="s">
        <v>74</v>
      </c>
      <c r="F143" s="17" t="s">
        <v>21</v>
      </c>
      <c r="G143" s="17" t="s">
        <v>29</v>
      </c>
      <c r="H143" s="17" t="s">
        <v>2592</v>
      </c>
      <c r="I143" s="17" t="s">
        <v>48</v>
      </c>
      <c r="J143" s="36">
        <v>5000</v>
      </c>
      <c r="K143" s="36">
        <v>706.91</v>
      </c>
      <c r="L143" s="36">
        <f t="shared" si="10"/>
        <v>-4293.09</v>
      </c>
      <c r="M143" s="37">
        <f t="shared" si="11"/>
        <v>-0.85861799999999999</v>
      </c>
      <c r="N143" s="17" t="str">
        <f t="shared" si="12"/>
        <v>Under Budget</v>
      </c>
      <c r="O143" s="38">
        <f t="shared" si="13"/>
        <v>-706.91</v>
      </c>
      <c r="P143" s="39">
        <f t="shared" si="14"/>
        <v>46082</v>
      </c>
    </row>
    <row r="144" spans="1:16" ht="15.5" x14ac:dyDescent="0.35">
      <c r="A144" s="17" t="s">
        <v>192</v>
      </c>
      <c r="B144" s="35">
        <v>45820</v>
      </c>
      <c r="C144" s="17" t="s">
        <v>12</v>
      </c>
      <c r="D144" s="17" t="s">
        <v>13</v>
      </c>
      <c r="E144" s="17" t="s">
        <v>45</v>
      </c>
      <c r="F144" s="17" t="s">
        <v>21</v>
      </c>
      <c r="G144" s="17" t="s">
        <v>16</v>
      </c>
      <c r="H144" s="17" t="s">
        <v>2590</v>
      </c>
      <c r="I144" s="17" t="s">
        <v>30</v>
      </c>
      <c r="J144" s="36">
        <v>6428.57</v>
      </c>
      <c r="K144" s="36">
        <v>6877.41</v>
      </c>
      <c r="L144" s="36">
        <f t="shared" si="10"/>
        <v>448.84000000000015</v>
      </c>
      <c r="M144" s="37">
        <f t="shared" si="11"/>
        <v>6.9819571071015815E-2</v>
      </c>
      <c r="N144" s="17" t="str">
        <f t="shared" si="12"/>
        <v>Over Budget</v>
      </c>
      <c r="O144" s="38">
        <f t="shared" si="13"/>
        <v>-6877.41</v>
      </c>
      <c r="P144" s="39">
        <f t="shared" si="14"/>
        <v>45809</v>
      </c>
    </row>
    <row r="145" spans="1:16" ht="15.5" x14ac:dyDescent="0.35">
      <c r="A145" s="17" t="s">
        <v>193</v>
      </c>
      <c r="B145" s="35">
        <v>46169</v>
      </c>
      <c r="C145" s="17" t="s">
        <v>25</v>
      </c>
      <c r="D145" s="17" t="s">
        <v>2585</v>
      </c>
      <c r="E145" s="17" t="s">
        <v>27</v>
      </c>
      <c r="F145" s="17" t="s">
        <v>15</v>
      </c>
      <c r="G145" s="17" t="s">
        <v>38</v>
      </c>
      <c r="H145" s="17" t="s">
        <v>2590</v>
      </c>
      <c r="I145" s="17" t="s">
        <v>30</v>
      </c>
      <c r="J145" s="36">
        <v>6153.85</v>
      </c>
      <c r="K145" s="36">
        <v>3980.93</v>
      </c>
      <c r="L145" s="36">
        <f t="shared" si="10"/>
        <v>-2172.9200000000005</v>
      </c>
      <c r="M145" s="37">
        <f t="shared" si="11"/>
        <v>-0.35309927931295049</v>
      </c>
      <c r="N145" s="17" t="str">
        <f t="shared" si="12"/>
        <v>Under Budget</v>
      </c>
      <c r="O145" s="38">
        <f t="shared" si="13"/>
        <v>3980.93</v>
      </c>
      <c r="P145" s="39">
        <f t="shared" si="14"/>
        <v>46143</v>
      </c>
    </row>
    <row r="146" spans="1:16" ht="15.5" x14ac:dyDescent="0.35">
      <c r="A146" s="17" t="s">
        <v>194</v>
      </c>
      <c r="B146" s="35">
        <v>46157</v>
      </c>
      <c r="C146" s="17" t="s">
        <v>25</v>
      </c>
      <c r="D146" s="17" t="s">
        <v>32</v>
      </c>
      <c r="E146" s="17" t="s">
        <v>109</v>
      </c>
      <c r="F146" s="17" t="s">
        <v>52</v>
      </c>
      <c r="G146" s="17" t="s">
        <v>22</v>
      </c>
      <c r="H146" s="17" t="s">
        <v>2587</v>
      </c>
      <c r="I146" s="17" t="s">
        <v>17</v>
      </c>
      <c r="J146" s="36">
        <v>5882.35</v>
      </c>
      <c r="K146" s="36">
        <v>1424.12</v>
      </c>
      <c r="L146" s="36">
        <f t="shared" si="10"/>
        <v>-4458.2300000000005</v>
      </c>
      <c r="M146" s="37">
        <f t="shared" si="11"/>
        <v>-0.75789947894973952</v>
      </c>
      <c r="N146" s="17" t="str">
        <f t="shared" si="12"/>
        <v>Under Budget</v>
      </c>
      <c r="O146" s="38">
        <f t="shared" si="13"/>
        <v>1424.12</v>
      </c>
      <c r="P146" s="39">
        <f t="shared" si="14"/>
        <v>46143</v>
      </c>
    </row>
    <row r="147" spans="1:16" ht="15.5" x14ac:dyDescent="0.35">
      <c r="A147" s="17" t="s">
        <v>195</v>
      </c>
      <c r="B147" s="35">
        <v>45711</v>
      </c>
      <c r="C147" s="17" t="s">
        <v>12</v>
      </c>
      <c r="D147" s="17" t="s">
        <v>36</v>
      </c>
      <c r="E147" s="17" t="s">
        <v>51</v>
      </c>
      <c r="F147" s="17" t="s">
        <v>15</v>
      </c>
      <c r="G147" s="17" t="s">
        <v>16</v>
      </c>
      <c r="H147" s="17" t="s">
        <v>2597</v>
      </c>
      <c r="I147" s="17" t="s">
        <v>39</v>
      </c>
      <c r="J147" s="36">
        <v>7275</v>
      </c>
      <c r="K147" s="36">
        <v>1601.48</v>
      </c>
      <c r="L147" s="36">
        <f t="shared" si="10"/>
        <v>-5673.52</v>
      </c>
      <c r="M147" s="37">
        <f t="shared" si="11"/>
        <v>-0.77986529209622002</v>
      </c>
      <c r="N147" s="17" t="str">
        <f t="shared" si="12"/>
        <v>Under Budget</v>
      </c>
      <c r="O147" s="38">
        <f t="shared" si="13"/>
        <v>-1601.48</v>
      </c>
      <c r="P147" s="39">
        <f t="shared" si="14"/>
        <v>45689</v>
      </c>
    </row>
    <row r="148" spans="1:16" ht="15.5" x14ac:dyDescent="0.35">
      <c r="A148" s="17" t="s">
        <v>196</v>
      </c>
      <c r="B148" s="35">
        <v>45906</v>
      </c>
      <c r="C148" s="17" t="s">
        <v>25</v>
      </c>
      <c r="D148" s="17" t="s">
        <v>2585</v>
      </c>
      <c r="E148" s="17" t="s">
        <v>33</v>
      </c>
      <c r="F148" s="17" t="s">
        <v>21</v>
      </c>
      <c r="G148" s="17" t="s">
        <v>22</v>
      </c>
      <c r="H148" s="17" t="s">
        <v>2596</v>
      </c>
      <c r="I148" s="17" t="s">
        <v>17</v>
      </c>
      <c r="J148" s="36">
        <v>11904.76</v>
      </c>
      <c r="K148" s="36">
        <v>6733.32</v>
      </c>
      <c r="L148" s="36">
        <f t="shared" si="10"/>
        <v>-5171.4400000000005</v>
      </c>
      <c r="M148" s="37">
        <f t="shared" si="11"/>
        <v>-0.43440102950416476</v>
      </c>
      <c r="N148" s="17" t="str">
        <f t="shared" si="12"/>
        <v>Under Budget</v>
      </c>
      <c r="O148" s="38">
        <f t="shared" si="13"/>
        <v>6733.32</v>
      </c>
      <c r="P148" s="39">
        <f t="shared" si="14"/>
        <v>45901</v>
      </c>
    </row>
    <row r="149" spans="1:16" ht="15.5" x14ac:dyDescent="0.35">
      <c r="A149" s="17" t="s">
        <v>197</v>
      </c>
      <c r="B149" s="35">
        <v>46048</v>
      </c>
      <c r="C149" s="17" t="s">
        <v>12</v>
      </c>
      <c r="D149" s="17" t="s">
        <v>26</v>
      </c>
      <c r="E149" s="17" t="s">
        <v>45</v>
      </c>
      <c r="F149" s="17" t="s">
        <v>52</v>
      </c>
      <c r="G149" s="17" t="s">
        <v>38</v>
      </c>
      <c r="H149" s="17" t="s">
        <v>2590</v>
      </c>
      <c r="I149" s="17" t="s">
        <v>23</v>
      </c>
      <c r="J149" s="36">
        <v>6715.38</v>
      </c>
      <c r="K149" s="36">
        <v>13725.64</v>
      </c>
      <c r="L149" s="36">
        <f t="shared" si="10"/>
        <v>7010.2599999999993</v>
      </c>
      <c r="M149" s="37">
        <f t="shared" si="11"/>
        <v>1.0439111412905895</v>
      </c>
      <c r="N149" s="17" t="str">
        <f t="shared" si="12"/>
        <v>Over Budget</v>
      </c>
      <c r="O149" s="38">
        <f t="shared" si="13"/>
        <v>-13725.64</v>
      </c>
      <c r="P149" s="39">
        <f t="shared" si="14"/>
        <v>46023</v>
      </c>
    </row>
    <row r="150" spans="1:16" ht="15.5" x14ac:dyDescent="0.35">
      <c r="A150" s="17" t="s">
        <v>198</v>
      </c>
      <c r="B150" s="35">
        <v>45746</v>
      </c>
      <c r="C150" s="17" t="s">
        <v>12</v>
      </c>
      <c r="D150" s="17" t="s">
        <v>19</v>
      </c>
      <c r="E150" s="17" t="s">
        <v>20</v>
      </c>
      <c r="F150" s="17" t="s">
        <v>34</v>
      </c>
      <c r="G150" s="17" t="s">
        <v>22</v>
      </c>
      <c r="H150" s="17" t="s">
        <v>2593</v>
      </c>
      <c r="I150" s="17" t="s">
        <v>48</v>
      </c>
      <c r="J150" s="36">
        <v>3000</v>
      </c>
      <c r="K150" s="36">
        <v>290.12</v>
      </c>
      <c r="L150" s="36">
        <f t="shared" si="10"/>
        <v>-2709.88</v>
      </c>
      <c r="M150" s="37">
        <f t="shared" si="11"/>
        <v>-0.90329333333333339</v>
      </c>
      <c r="N150" s="17" t="str">
        <f t="shared" si="12"/>
        <v>Under Budget</v>
      </c>
      <c r="O150" s="38">
        <f t="shared" si="13"/>
        <v>-290.12</v>
      </c>
      <c r="P150" s="39">
        <f t="shared" si="14"/>
        <v>45717</v>
      </c>
    </row>
    <row r="151" spans="1:16" ht="15.5" x14ac:dyDescent="0.35">
      <c r="A151" s="17" t="s">
        <v>199</v>
      </c>
      <c r="B151" s="35">
        <v>45758</v>
      </c>
      <c r="C151" s="17" t="s">
        <v>12</v>
      </c>
      <c r="D151" s="17" t="s">
        <v>36</v>
      </c>
      <c r="E151" s="17" t="s">
        <v>14</v>
      </c>
      <c r="F151" s="17" t="s">
        <v>34</v>
      </c>
      <c r="G151" s="17" t="s">
        <v>38</v>
      </c>
      <c r="H151" s="17" t="s">
        <v>80</v>
      </c>
      <c r="I151" s="17" t="s">
        <v>17</v>
      </c>
      <c r="J151" s="36">
        <v>5333.33</v>
      </c>
      <c r="K151" s="36">
        <v>1662.47</v>
      </c>
      <c r="L151" s="36">
        <f t="shared" si="10"/>
        <v>-3670.8599999999997</v>
      </c>
      <c r="M151" s="37">
        <f t="shared" si="11"/>
        <v>-0.68828668017917505</v>
      </c>
      <c r="N151" s="17" t="str">
        <f t="shared" si="12"/>
        <v>Under Budget</v>
      </c>
      <c r="O151" s="38">
        <f t="shared" si="13"/>
        <v>-1662.47</v>
      </c>
      <c r="P151" s="39">
        <f t="shared" si="14"/>
        <v>45748</v>
      </c>
    </row>
    <row r="152" spans="1:16" ht="15.5" x14ac:dyDescent="0.35">
      <c r="A152" s="17" t="s">
        <v>200</v>
      </c>
      <c r="B152" s="35">
        <v>45661</v>
      </c>
      <c r="C152" s="17" t="s">
        <v>12</v>
      </c>
      <c r="D152" s="17" t="s">
        <v>13</v>
      </c>
      <c r="E152" s="17" t="s">
        <v>51</v>
      </c>
      <c r="F152" s="17" t="s">
        <v>52</v>
      </c>
      <c r="G152" s="17" t="s">
        <v>43</v>
      </c>
      <c r="H152" s="17" t="s">
        <v>2588</v>
      </c>
      <c r="I152" s="17" t="s">
        <v>48</v>
      </c>
      <c r="J152" s="36">
        <v>3637.5</v>
      </c>
      <c r="K152" s="36">
        <v>699.33</v>
      </c>
      <c r="L152" s="36">
        <f t="shared" si="10"/>
        <v>-2938.17</v>
      </c>
      <c r="M152" s="37">
        <f t="shared" si="11"/>
        <v>-0.80774432989690725</v>
      </c>
      <c r="N152" s="17" t="str">
        <f t="shared" si="12"/>
        <v>Under Budget</v>
      </c>
      <c r="O152" s="38">
        <f t="shared" si="13"/>
        <v>-699.33</v>
      </c>
      <c r="P152" s="39">
        <f t="shared" si="14"/>
        <v>45658</v>
      </c>
    </row>
    <row r="153" spans="1:16" ht="15.5" x14ac:dyDescent="0.35">
      <c r="A153" s="17" t="s">
        <v>201</v>
      </c>
      <c r="B153" s="35">
        <v>45996</v>
      </c>
      <c r="C153" s="17" t="s">
        <v>12</v>
      </c>
      <c r="D153" s="17" t="s">
        <v>19</v>
      </c>
      <c r="E153" s="17" t="s">
        <v>41</v>
      </c>
      <c r="F153" s="17" t="s">
        <v>28</v>
      </c>
      <c r="G153" s="17" t="s">
        <v>38</v>
      </c>
      <c r="H153" s="17" t="s">
        <v>2598</v>
      </c>
      <c r="I153" s="17" t="s">
        <v>48</v>
      </c>
      <c r="J153" s="36">
        <v>5250</v>
      </c>
      <c r="K153" s="36">
        <v>7831.62</v>
      </c>
      <c r="L153" s="36">
        <f t="shared" si="10"/>
        <v>2581.62</v>
      </c>
      <c r="M153" s="37">
        <f t="shared" si="11"/>
        <v>0.49173714285714282</v>
      </c>
      <c r="N153" s="17" t="str">
        <f t="shared" si="12"/>
        <v>Over Budget</v>
      </c>
      <c r="O153" s="38">
        <f t="shared" si="13"/>
        <v>-7831.62</v>
      </c>
      <c r="P153" s="39">
        <f t="shared" si="14"/>
        <v>45992</v>
      </c>
    </row>
    <row r="154" spans="1:16" ht="15.5" x14ac:dyDescent="0.35">
      <c r="A154" s="17" t="s">
        <v>202</v>
      </c>
      <c r="B154" s="35">
        <v>45746</v>
      </c>
      <c r="C154" s="17" t="s">
        <v>12</v>
      </c>
      <c r="D154" s="17" t="s">
        <v>36</v>
      </c>
      <c r="E154" s="17" t="s">
        <v>41</v>
      </c>
      <c r="F154" s="17" t="s">
        <v>52</v>
      </c>
      <c r="G154" s="17" t="s">
        <v>82</v>
      </c>
      <c r="H154" s="17" t="s">
        <v>2589</v>
      </c>
      <c r="I154" s="17" t="s">
        <v>39</v>
      </c>
      <c r="J154" s="36">
        <v>5000</v>
      </c>
      <c r="K154" s="36">
        <v>2510.14</v>
      </c>
      <c r="L154" s="36">
        <f t="shared" si="10"/>
        <v>-2489.86</v>
      </c>
      <c r="M154" s="37">
        <f t="shared" si="11"/>
        <v>-0.49797200000000003</v>
      </c>
      <c r="N154" s="17" t="str">
        <f t="shared" si="12"/>
        <v>Under Budget</v>
      </c>
      <c r="O154" s="38">
        <f t="shared" si="13"/>
        <v>-2510.14</v>
      </c>
      <c r="P154" s="39">
        <f t="shared" si="14"/>
        <v>45717</v>
      </c>
    </row>
    <row r="155" spans="1:16" ht="15.5" x14ac:dyDescent="0.35">
      <c r="A155" s="17" t="s">
        <v>203</v>
      </c>
      <c r="B155" s="35">
        <v>46082</v>
      </c>
      <c r="C155" s="17" t="s">
        <v>12</v>
      </c>
      <c r="D155" s="17" t="s">
        <v>2584</v>
      </c>
      <c r="E155" s="17" t="s">
        <v>37</v>
      </c>
      <c r="F155" s="17" t="s">
        <v>52</v>
      </c>
      <c r="G155" s="17" t="s">
        <v>38</v>
      </c>
      <c r="H155" s="17" t="s">
        <v>2593</v>
      </c>
      <c r="I155" s="17" t="s">
        <v>39</v>
      </c>
      <c r="J155" s="36">
        <v>4000</v>
      </c>
      <c r="K155" s="36">
        <v>3279.55</v>
      </c>
      <c r="L155" s="36">
        <f t="shared" si="10"/>
        <v>-720.44999999999982</v>
      </c>
      <c r="M155" s="37">
        <f t="shared" si="11"/>
        <v>-0.18011249999999995</v>
      </c>
      <c r="N155" s="17" t="str">
        <f t="shared" si="12"/>
        <v>Under Budget</v>
      </c>
      <c r="O155" s="38">
        <f t="shared" si="13"/>
        <v>-3279.55</v>
      </c>
      <c r="P155" s="39">
        <f t="shared" si="14"/>
        <v>46082</v>
      </c>
    </row>
    <row r="156" spans="1:16" ht="15.5" x14ac:dyDescent="0.35">
      <c r="A156" s="17" t="s">
        <v>204</v>
      </c>
      <c r="B156" s="35">
        <v>45911</v>
      </c>
      <c r="C156" s="17" t="s">
        <v>12</v>
      </c>
      <c r="D156" s="17" t="s">
        <v>36</v>
      </c>
      <c r="E156" s="17" t="s">
        <v>45</v>
      </c>
      <c r="F156" s="17" t="s">
        <v>28</v>
      </c>
      <c r="G156" s="17" t="s">
        <v>38</v>
      </c>
      <c r="H156" s="17" t="s">
        <v>2593</v>
      </c>
      <c r="I156" s="17" t="s">
        <v>23</v>
      </c>
      <c r="J156" s="36">
        <v>7500</v>
      </c>
      <c r="K156" s="36">
        <v>4360.1400000000003</v>
      </c>
      <c r="L156" s="36">
        <f t="shared" si="10"/>
        <v>-3139.8599999999997</v>
      </c>
      <c r="M156" s="37">
        <f t="shared" si="11"/>
        <v>-0.41864799999999996</v>
      </c>
      <c r="N156" s="17" t="str">
        <f t="shared" si="12"/>
        <v>Under Budget</v>
      </c>
      <c r="O156" s="38">
        <f t="shared" si="13"/>
        <v>-4360.1400000000003</v>
      </c>
      <c r="P156" s="39">
        <f t="shared" si="14"/>
        <v>45901</v>
      </c>
    </row>
    <row r="157" spans="1:16" ht="15.5" x14ac:dyDescent="0.35">
      <c r="A157" s="17" t="s">
        <v>205</v>
      </c>
      <c r="B157" s="35">
        <v>46013</v>
      </c>
      <c r="C157" s="17" t="s">
        <v>25</v>
      </c>
      <c r="D157" s="17" t="s">
        <v>32</v>
      </c>
      <c r="E157" s="17" t="s">
        <v>33</v>
      </c>
      <c r="F157" s="17" t="s">
        <v>52</v>
      </c>
      <c r="G157" s="17" t="s">
        <v>43</v>
      </c>
      <c r="H157" s="17" t="s">
        <v>2596</v>
      </c>
      <c r="I157" s="17" t="s">
        <v>23</v>
      </c>
      <c r="J157" s="36">
        <v>15441.18</v>
      </c>
      <c r="K157" s="36">
        <v>9191.2900000000009</v>
      </c>
      <c r="L157" s="36">
        <f t="shared" si="10"/>
        <v>-6249.8899999999994</v>
      </c>
      <c r="M157" s="37">
        <f t="shared" si="11"/>
        <v>-0.40475468843702356</v>
      </c>
      <c r="N157" s="17" t="str">
        <f t="shared" si="12"/>
        <v>Under Budget</v>
      </c>
      <c r="O157" s="38">
        <f t="shared" si="13"/>
        <v>9191.2900000000009</v>
      </c>
      <c r="P157" s="39">
        <f t="shared" si="14"/>
        <v>45992</v>
      </c>
    </row>
    <row r="158" spans="1:16" ht="15.5" x14ac:dyDescent="0.35">
      <c r="A158" s="17" t="s">
        <v>206</v>
      </c>
      <c r="B158" s="35">
        <v>46095</v>
      </c>
      <c r="C158" s="17" t="s">
        <v>12</v>
      </c>
      <c r="D158" s="17" t="s">
        <v>36</v>
      </c>
      <c r="E158" s="17" t="s">
        <v>45</v>
      </c>
      <c r="F158" s="17" t="s">
        <v>34</v>
      </c>
      <c r="G158" s="17" t="s">
        <v>38</v>
      </c>
      <c r="H158" s="17" t="s">
        <v>80</v>
      </c>
      <c r="I158" s="17" t="s">
        <v>30</v>
      </c>
      <c r="J158" s="36">
        <v>7200</v>
      </c>
      <c r="K158" s="36">
        <v>2783.61</v>
      </c>
      <c r="L158" s="36">
        <f t="shared" si="10"/>
        <v>-4416.3899999999994</v>
      </c>
      <c r="M158" s="37">
        <f t="shared" si="11"/>
        <v>-0.61338749999999997</v>
      </c>
      <c r="N158" s="17" t="str">
        <f t="shared" si="12"/>
        <v>Under Budget</v>
      </c>
      <c r="O158" s="38">
        <f t="shared" si="13"/>
        <v>-2783.61</v>
      </c>
      <c r="P158" s="39">
        <f t="shared" si="14"/>
        <v>46082</v>
      </c>
    </row>
    <row r="159" spans="1:16" ht="15.5" x14ac:dyDescent="0.35">
      <c r="A159" s="17" t="s">
        <v>207</v>
      </c>
      <c r="B159" s="35">
        <v>46183</v>
      </c>
      <c r="C159" s="17" t="s">
        <v>12</v>
      </c>
      <c r="D159" s="17" t="s">
        <v>19</v>
      </c>
      <c r="E159" s="17" t="s">
        <v>47</v>
      </c>
      <c r="F159" s="17" t="s">
        <v>28</v>
      </c>
      <c r="G159" s="17" t="s">
        <v>38</v>
      </c>
      <c r="H159" s="17" t="s">
        <v>2586</v>
      </c>
      <c r="I159" s="17" t="s">
        <v>30</v>
      </c>
      <c r="J159" s="36">
        <v>5000</v>
      </c>
      <c r="K159" s="36">
        <v>316.45999999999998</v>
      </c>
      <c r="L159" s="36">
        <f t="shared" si="10"/>
        <v>-4683.54</v>
      </c>
      <c r="M159" s="37">
        <f t="shared" si="11"/>
        <v>-0.93670799999999999</v>
      </c>
      <c r="N159" s="17" t="str">
        <f t="shared" si="12"/>
        <v>Under Budget</v>
      </c>
      <c r="O159" s="38">
        <f t="shared" si="13"/>
        <v>-316.45999999999998</v>
      </c>
      <c r="P159" s="39">
        <f t="shared" si="14"/>
        <v>46174</v>
      </c>
    </row>
    <row r="160" spans="1:16" ht="15.5" x14ac:dyDescent="0.35">
      <c r="A160" s="17" t="s">
        <v>208</v>
      </c>
      <c r="B160" s="35">
        <v>45705</v>
      </c>
      <c r="C160" s="17" t="s">
        <v>12</v>
      </c>
      <c r="D160" s="17" t="s">
        <v>19</v>
      </c>
      <c r="E160" s="17" t="s">
        <v>45</v>
      </c>
      <c r="F160" s="17" t="s">
        <v>34</v>
      </c>
      <c r="G160" s="17" t="s">
        <v>29</v>
      </c>
      <c r="H160" s="17" t="s">
        <v>2588</v>
      </c>
      <c r="I160" s="17" t="s">
        <v>48</v>
      </c>
      <c r="J160" s="36">
        <v>11640</v>
      </c>
      <c r="K160" s="36">
        <v>9376.6</v>
      </c>
      <c r="L160" s="36">
        <f t="shared" si="10"/>
        <v>-2263.3999999999996</v>
      </c>
      <c r="M160" s="37">
        <f t="shared" si="11"/>
        <v>-0.19445017182130581</v>
      </c>
      <c r="N160" s="17" t="str">
        <f t="shared" si="12"/>
        <v>Under Budget</v>
      </c>
      <c r="O160" s="38">
        <f t="shared" si="13"/>
        <v>-9376.6</v>
      </c>
      <c r="P160" s="39">
        <f t="shared" si="14"/>
        <v>45689</v>
      </c>
    </row>
    <row r="161" spans="1:16" ht="15.5" x14ac:dyDescent="0.35">
      <c r="A161" s="17" t="s">
        <v>209</v>
      </c>
      <c r="B161" s="35">
        <v>46097</v>
      </c>
      <c r="C161" s="17" t="s">
        <v>12</v>
      </c>
      <c r="D161" s="17" t="s">
        <v>2583</v>
      </c>
      <c r="E161" s="17" t="s">
        <v>45</v>
      </c>
      <c r="F161" s="17" t="s">
        <v>52</v>
      </c>
      <c r="G161" s="17" t="s">
        <v>82</v>
      </c>
      <c r="H161" s="17" t="s">
        <v>2594</v>
      </c>
      <c r="I161" s="17" t="s">
        <v>39</v>
      </c>
      <c r="J161" s="36">
        <v>7200</v>
      </c>
      <c r="K161" s="36">
        <v>4123.18</v>
      </c>
      <c r="L161" s="36">
        <f t="shared" si="10"/>
        <v>-3076.8199999999997</v>
      </c>
      <c r="M161" s="37">
        <f t="shared" si="11"/>
        <v>-0.42733611111111108</v>
      </c>
      <c r="N161" s="17" t="str">
        <f t="shared" si="12"/>
        <v>Under Budget</v>
      </c>
      <c r="O161" s="38">
        <f t="shared" si="13"/>
        <v>-4123.18</v>
      </c>
      <c r="P161" s="39">
        <f t="shared" si="14"/>
        <v>46082</v>
      </c>
    </row>
    <row r="162" spans="1:16" ht="15.5" x14ac:dyDescent="0.35">
      <c r="A162" s="17" t="s">
        <v>210</v>
      </c>
      <c r="B162" s="35">
        <v>45973</v>
      </c>
      <c r="C162" s="17" t="s">
        <v>12</v>
      </c>
      <c r="D162" s="17" t="s">
        <v>2585</v>
      </c>
      <c r="E162" s="17" t="s">
        <v>37</v>
      </c>
      <c r="F162" s="17" t="s">
        <v>15</v>
      </c>
      <c r="G162" s="17" t="s">
        <v>38</v>
      </c>
      <c r="H162" s="17" t="s">
        <v>2594</v>
      </c>
      <c r="I162" s="17" t="s">
        <v>48</v>
      </c>
      <c r="J162" s="36">
        <v>4900</v>
      </c>
      <c r="K162" s="36">
        <v>3249.55</v>
      </c>
      <c r="L162" s="36">
        <f t="shared" si="10"/>
        <v>-1650.4499999999998</v>
      </c>
      <c r="M162" s="37">
        <f t="shared" si="11"/>
        <v>-0.33682653061224488</v>
      </c>
      <c r="N162" s="17" t="str">
        <f t="shared" si="12"/>
        <v>Under Budget</v>
      </c>
      <c r="O162" s="38">
        <f t="shared" si="13"/>
        <v>-3249.55</v>
      </c>
      <c r="P162" s="39">
        <f t="shared" si="14"/>
        <v>45962</v>
      </c>
    </row>
    <row r="163" spans="1:16" ht="15.5" x14ac:dyDescent="0.35">
      <c r="A163" s="17" t="s">
        <v>211</v>
      </c>
      <c r="B163" s="35">
        <v>45805</v>
      </c>
      <c r="C163" s="17" t="s">
        <v>12</v>
      </c>
      <c r="D163" s="17" t="s">
        <v>13</v>
      </c>
      <c r="E163" s="17" t="s">
        <v>37</v>
      </c>
      <c r="F163" s="17" t="s">
        <v>28</v>
      </c>
      <c r="G163" s="17" t="s">
        <v>38</v>
      </c>
      <c r="H163" s="17" t="s">
        <v>2590</v>
      </c>
      <c r="I163" s="17" t="s">
        <v>48</v>
      </c>
      <c r="J163" s="36">
        <v>4000</v>
      </c>
      <c r="K163" s="36">
        <v>1976.04</v>
      </c>
      <c r="L163" s="36">
        <f t="shared" si="10"/>
        <v>-2023.96</v>
      </c>
      <c r="M163" s="37">
        <f t="shared" si="11"/>
        <v>-0.50599000000000005</v>
      </c>
      <c r="N163" s="17" t="str">
        <f t="shared" si="12"/>
        <v>Under Budget</v>
      </c>
      <c r="O163" s="38">
        <f t="shared" si="13"/>
        <v>-1976.04</v>
      </c>
      <c r="P163" s="39">
        <f t="shared" si="14"/>
        <v>45778</v>
      </c>
    </row>
    <row r="164" spans="1:16" ht="15.5" x14ac:dyDescent="0.35">
      <c r="A164" s="17" t="s">
        <v>212</v>
      </c>
      <c r="B164" s="35">
        <v>45948</v>
      </c>
      <c r="C164" s="17" t="s">
        <v>25</v>
      </c>
      <c r="D164" s="17" t="s">
        <v>32</v>
      </c>
      <c r="E164" s="17" t="s">
        <v>109</v>
      </c>
      <c r="F164" s="17" t="s">
        <v>34</v>
      </c>
      <c r="G164" s="17" t="s">
        <v>16</v>
      </c>
      <c r="H164" s="17" t="s">
        <v>2587</v>
      </c>
      <c r="I164" s="17" t="s">
        <v>23</v>
      </c>
      <c r="J164" s="36">
        <v>7692.31</v>
      </c>
      <c r="K164" s="36">
        <v>4254.43</v>
      </c>
      <c r="L164" s="36">
        <f t="shared" si="10"/>
        <v>-3437.88</v>
      </c>
      <c r="M164" s="37">
        <f t="shared" si="11"/>
        <v>-0.44692426592272022</v>
      </c>
      <c r="N164" s="17" t="str">
        <f t="shared" si="12"/>
        <v>Under Budget</v>
      </c>
      <c r="O164" s="38">
        <f t="shared" si="13"/>
        <v>4254.43</v>
      </c>
      <c r="P164" s="39">
        <f t="shared" si="14"/>
        <v>45931</v>
      </c>
    </row>
    <row r="165" spans="1:16" ht="15.5" x14ac:dyDescent="0.35">
      <c r="A165" s="17" t="s">
        <v>213</v>
      </c>
      <c r="B165" s="35">
        <v>45945</v>
      </c>
      <c r="C165" s="17" t="s">
        <v>12</v>
      </c>
      <c r="D165" s="17" t="s">
        <v>13</v>
      </c>
      <c r="E165" s="17" t="s">
        <v>77</v>
      </c>
      <c r="F165" s="17" t="s">
        <v>15</v>
      </c>
      <c r="G165" s="17" t="s">
        <v>38</v>
      </c>
      <c r="H165" s="17" t="s">
        <v>2596</v>
      </c>
      <c r="I165" s="17" t="s">
        <v>30</v>
      </c>
      <c r="J165" s="36">
        <v>5500</v>
      </c>
      <c r="K165" s="36">
        <v>399.79</v>
      </c>
      <c r="L165" s="36">
        <f t="shared" si="10"/>
        <v>-5100.21</v>
      </c>
      <c r="M165" s="37">
        <f t="shared" si="11"/>
        <v>-0.92731090909090907</v>
      </c>
      <c r="N165" s="17" t="str">
        <f t="shared" si="12"/>
        <v>Under Budget</v>
      </c>
      <c r="O165" s="38">
        <f t="shared" si="13"/>
        <v>-399.79</v>
      </c>
      <c r="P165" s="39">
        <f t="shared" si="14"/>
        <v>45931</v>
      </c>
    </row>
    <row r="166" spans="1:16" ht="15.5" x14ac:dyDescent="0.35">
      <c r="A166" s="17" t="s">
        <v>214</v>
      </c>
      <c r="B166" s="35">
        <v>46161</v>
      </c>
      <c r="C166" s="17" t="s">
        <v>25</v>
      </c>
      <c r="D166" s="17" t="s">
        <v>26</v>
      </c>
      <c r="E166" s="17" t="s">
        <v>33</v>
      </c>
      <c r="F166" s="17" t="s">
        <v>52</v>
      </c>
      <c r="G166" s="17" t="s">
        <v>16</v>
      </c>
      <c r="H166" s="17" t="s">
        <v>2588</v>
      </c>
      <c r="I166" s="17" t="s">
        <v>30</v>
      </c>
      <c r="J166" s="36">
        <v>10869.57</v>
      </c>
      <c r="K166" s="36">
        <v>14241.63</v>
      </c>
      <c r="L166" s="36">
        <f t="shared" si="10"/>
        <v>3372.0599999999995</v>
      </c>
      <c r="M166" s="37">
        <f t="shared" si="11"/>
        <v>0.3102293834990712</v>
      </c>
      <c r="N166" s="17" t="str">
        <f t="shared" si="12"/>
        <v>Over Budget</v>
      </c>
      <c r="O166" s="38">
        <f t="shared" si="13"/>
        <v>14241.63</v>
      </c>
      <c r="P166" s="39">
        <f t="shared" si="14"/>
        <v>46143</v>
      </c>
    </row>
    <row r="167" spans="1:16" ht="15.5" x14ac:dyDescent="0.35">
      <c r="A167" s="17" t="s">
        <v>215</v>
      </c>
      <c r="B167" s="35">
        <v>45788</v>
      </c>
      <c r="C167" s="17" t="s">
        <v>12</v>
      </c>
      <c r="D167" s="17" t="s">
        <v>19</v>
      </c>
      <c r="E167" s="17" t="s">
        <v>45</v>
      </c>
      <c r="F167" s="17" t="s">
        <v>15</v>
      </c>
      <c r="G167" s="17" t="s">
        <v>38</v>
      </c>
      <c r="H167" s="17" t="s">
        <v>2595</v>
      </c>
      <c r="I167" s="17" t="s">
        <v>39</v>
      </c>
      <c r="J167" s="36">
        <v>7200</v>
      </c>
      <c r="K167" s="36">
        <v>6488.32</v>
      </c>
      <c r="L167" s="36">
        <f t="shared" si="10"/>
        <v>-711.68000000000029</v>
      </c>
      <c r="M167" s="37">
        <f t="shared" si="11"/>
        <v>-9.8844444444444485E-2</v>
      </c>
      <c r="N167" s="17" t="str">
        <f t="shared" si="12"/>
        <v>Under Budget</v>
      </c>
      <c r="O167" s="38">
        <f t="shared" si="13"/>
        <v>-6488.32</v>
      </c>
      <c r="P167" s="39">
        <f t="shared" si="14"/>
        <v>45778</v>
      </c>
    </row>
    <row r="168" spans="1:16" ht="15.5" x14ac:dyDescent="0.35">
      <c r="A168" s="17" t="s">
        <v>216</v>
      </c>
      <c r="B168" s="35">
        <v>45689</v>
      </c>
      <c r="C168" s="17" t="s">
        <v>25</v>
      </c>
      <c r="D168" s="17" t="s">
        <v>36</v>
      </c>
      <c r="E168" s="17" t="s">
        <v>27</v>
      </c>
      <c r="F168" s="17" t="s">
        <v>15</v>
      </c>
      <c r="G168" s="17" t="s">
        <v>29</v>
      </c>
      <c r="H168" s="17" t="s">
        <v>2589</v>
      </c>
      <c r="I168" s="17" t="s">
        <v>30</v>
      </c>
      <c r="J168" s="36">
        <v>4850</v>
      </c>
      <c r="K168" s="36">
        <v>4338.25</v>
      </c>
      <c r="L168" s="36">
        <f t="shared" si="10"/>
        <v>-511.75</v>
      </c>
      <c r="M168" s="37">
        <f t="shared" si="11"/>
        <v>-0.10551546391752577</v>
      </c>
      <c r="N168" s="17" t="str">
        <f t="shared" si="12"/>
        <v>Under Budget</v>
      </c>
      <c r="O168" s="38">
        <f t="shared" si="13"/>
        <v>4338.25</v>
      </c>
      <c r="P168" s="39">
        <f t="shared" si="14"/>
        <v>45689</v>
      </c>
    </row>
    <row r="169" spans="1:16" ht="15.5" x14ac:dyDescent="0.35">
      <c r="A169" s="17" t="s">
        <v>217</v>
      </c>
      <c r="B169" s="35">
        <v>46122</v>
      </c>
      <c r="C169" s="17" t="s">
        <v>12</v>
      </c>
      <c r="D169" s="17" t="s">
        <v>26</v>
      </c>
      <c r="E169" s="17" t="s">
        <v>14</v>
      </c>
      <c r="F169" s="17" t="s">
        <v>21</v>
      </c>
      <c r="G169" s="17" t="s">
        <v>22</v>
      </c>
      <c r="H169" s="17" t="s">
        <v>2593</v>
      </c>
      <c r="I169" s="17" t="s">
        <v>39</v>
      </c>
      <c r="J169" s="36">
        <v>5333.33</v>
      </c>
      <c r="K169" s="36">
        <v>842.58</v>
      </c>
      <c r="L169" s="36">
        <f t="shared" si="10"/>
        <v>-4490.75</v>
      </c>
      <c r="M169" s="37">
        <f t="shared" si="11"/>
        <v>-0.84201615126009455</v>
      </c>
      <c r="N169" s="17" t="str">
        <f t="shared" si="12"/>
        <v>Under Budget</v>
      </c>
      <c r="O169" s="38">
        <f t="shared" si="13"/>
        <v>-842.58</v>
      </c>
      <c r="P169" s="39">
        <f t="shared" si="14"/>
        <v>46113</v>
      </c>
    </row>
    <row r="170" spans="1:16" ht="15.5" x14ac:dyDescent="0.35">
      <c r="A170" s="17" t="s">
        <v>218</v>
      </c>
      <c r="B170" s="35">
        <v>46006</v>
      </c>
      <c r="C170" s="17" t="s">
        <v>12</v>
      </c>
      <c r="D170" s="17" t="s">
        <v>26</v>
      </c>
      <c r="E170" s="17" t="s">
        <v>20</v>
      </c>
      <c r="F170" s="17" t="s">
        <v>52</v>
      </c>
      <c r="G170" s="17" t="s">
        <v>16</v>
      </c>
      <c r="H170" s="17" t="s">
        <v>60</v>
      </c>
      <c r="I170" s="17" t="s">
        <v>30</v>
      </c>
      <c r="J170" s="36">
        <v>2100</v>
      </c>
      <c r="K170" s="36">
        <v>780.83</v>
      </c>
      <c r="L170" s="36">
        <f t="shared" si="10"/>
        <v>-1319.17</v>
      </c>
      <c r="M170" s="37">
        <f t="shared" si="11"/>
        <v>-0.62817619047619055</v>
      </c>
      <c r="N170" s="17" t="str">
        <f t="shared" si="12"/>
        <v>Under Budget</v>
      </c>
      <c r="O170" s="38">
        <f t="shared" si="13"/>
        <v>-780.83</v>
      </c>
      <c r="P170" s="39">
        <f t="shared" si="14"/>
        <v>45992</v>
      </c>
    </row>
    <row r="171" spans="1:16" ht="15.5" x14ac:dyDescent="0.35">
      <c r="A171" s="17" t="s">
        <v>219</v>
      </c>
      <c r="B171" s="35">
        <v>45695</v>
      </c>
      <c r="C171" s="17" t="s">
        <v>25</v>
      </c>
      <c r="D171" s="17" t="s">
        <v>32</v>
      </c>
      <c r="E171" s="17" t="s">
        <v>27</v>
      </c>
      <c r="F171" s="17" t="s">
        <v>34</v>
      </c>
      <c r="G171" s="17" t="s">
        <v>43</v>
      </c>
      <c r="H171" s="17" t="s">
        <v>2589</v>
      </c>
      <c r="I171" s="17" t="s">
        <v>23</v>
      </c>
      <c r="J171" s="36">
        <v>4850</v>
      </c>
      <c r="K171" s="36">
        <v>4211.6099999999997</v>
      </c>
      <c r="L171" s="36">
        <f t="shared" si="10"/>
        <v>-638.39000000000033</v>
      </c>
      <c r="M171" s="37">
        <f t="shared" si="11"/>
        <v>-0.13162680412371142</v>
      </c>
      <c r="N171" s="17" t="str">
        <f t="shared" si="12"/>
        <v>Under Budget</v>
      </c>
      <c r="O171" s="38">
        <f t="shared" si="13"/>
        <v>4211.6099999999997</v>
      </c>
      <c r="P171" s="39">
        <f t="shared" si="14"/>
        <v>45689</v>
      </c>
    </row>
    <row r="172" spans="1:16" ht="15.5" x14ac:dyDescent="0.35">
      <c r="A172" s="17" t="s">
        <v>220</v>
      </c>
      <c r="B172" s="35">
        <v>46000</v>
      </c>
      <c r="C172" s="17" t="s">
        <v>12</v>
      </c>
      <c r="D172" s="17" t="s">
        <v>32</v>
      </c>
      <c r="E172" s="17" t="s">
        <v>77</v>
      </c>
      <c r="F172" s="17" t="s">
        <v>34</v>
      </c>
      <c r="G172" s="17" t="s">
        <v>38</v>
      </c>
      <c r="H172" s="17" t="s">
        <v>2591</v>
      </c>
      <c r="I172" s="17" t="s">
        <v>23</v>
      </c>
      <c r="J172" s="36">
        <v>3300</v>
      </c>
      <c r="K172" s="36">
        <v>1954.56</v>
      </c>
      <c r="L172" s="36">
        <f t="shared" si="10"/>
        <v>-1345.44</v>
      </c>
      <c r="M172" s="37">
        <f t="shared" si="11"/>
        <v>-0.40770909090909091</v>
      </c>
      <c r="N172" s="17" t="str">
        <f t="shared" si="12"/>
        <v>Under Budget</v>
      </c>
      <c r="O172" s="38">
        <f t="shared" si="13"/>
        <v>-1954.56</v>
      </c>
      <c r="P172" s="39">
        <f t="shared" si="14"/>
        <v>45992</v>
      </c>
    </row>
    <row r="173" spans="1:16" ht="15.5" x14ac:dyDescent="0.35">
      <c r="A173" s="17" t="s">
        <v>221</v>
      </c>
      <c r="B173" s="35">
        <v>45971</v>
      </c>
      <c r="C173" s="17" t="s">
        <v>25</v>
      </c>
      <c r="D173" s="17" t="s">
        <v>19</v>
      </c>
      <c r="E173" s="17" t="s">
        <v>33</v>
      </c>
      <c r="F173" s="17" t="s">
        <v>21</v>
      </c>
      <c r="G173" s="17" t="s">
        <v>29</v>
      </c>
      <c r="H173" s="17" t="s">
        <v>2593</v>
      </c>
      <c r="I173" s="17" t="s">
        <v>23</v>
      </c>
      <c r="J173" s="36">
        <v>13125</v>
      </c>
      <c r="K173" s="36">
        <v>10362.85</v>
      </c>
      <c r="L173" s="36">
        <f t="shared" si="10"/>
        <v>-2762.1499999999996</v>
      </c>
      <c r="M173" s="37">
        <f t="shared" si="11"/>
        <v>-0.21044952380952378</v>
      </c>
      <c r="N173" s="17" t="str">
        <f t="shared" si="12"/>
        <v>Under Budget</v>
      </c>
      <c r="O173" s="38">
        <f t="shared" si="13"/>
        <v>10362.85</v>
      </c>
      <c r="P173" s="39">
        <f t="shared" si="14"/>
        <v>45962</v>
      </c>
    </row>
    <row r="174" spans="1:16" ht="15.5" x14ac:dyDescent="0.35">
      <c r="A174" s="17" t="s">
        <v>222</v>
      </c>
      <c r="B174" s="35">
        <v>45976</v>
      </c>
      <c r="C174" s="17" t="s">
        <v>12</v>
      </c>
      <c r="D174" s="17" t="s">
        <v>2584</v>
      </c>
      <c r="E174" s="17" t="s">
        <v>77</v>
      </c>
      <c r="F174" s="17" t="s">
        <v>52</v>
      </c>
      <c r="G174" s="17" t="s">
        <v>22</v>
      </c>
      <c r="H174" s="17" t="s">
        <v>2592</v>
      </c>
      <c r="I174" s="17" t="s">
        <v>30</v>
      </c>
      <c r="J174" s="36">
        <v>2310</v>
      </c>
      <c r="K174" s="36">
        <v>1838.09</v>
      </c>
      <c r="L174" s="36">
        <f t="shared" si="10"/>
        <v>-471.91000000000008</v>
      </c>
      <c r="M174" s="37">
        <f t="shared" si="11"/>
        <v>-0.20429004329004333</v>
      </c>
      <c r="N174" s="17" t="str">
        <f t="shared" si="12"/>
        <v>Under Budget</v>
      </c>
      <c r="O174" s="38">
        <f t="shared" si="13"/>
        <v>-1838.09</v>
      </c>
      <c r="P174" s="39">
        <f t="shared" si="14"/>
        <v>45962</v>
      </c>
    </row>
    <row r="175" spans="1:16" ht="15.5" x14ac:dyDescent="0.35">
      <c r="A175" s="17" t="s">
        <v>223</v>
      </c>
      <c r="B175" s="35">
        <v>45919</v>
      </c>
      <c r="C175" s="17" t="s">
        <v>25</v>
      </c>
      <c r="D175" s="17" t="s">
        <v>32</v>
      </c>
      <c r="E175" s="17" t="s">
        <v>109</v>
      </c>
      <c r="F175" s="17" t="s">
        <v>52</v>
      </c>
      <c r="G175" s="17" t="s">
        <v>29</v>
      </c>
      <c r="H175" s="17" t="s">
        <v>60</v>
      </c>
      <c r="I175" s="17" t="s">
        <v>30</v>
      </c>
      <c r="J175" s="36">
        <v>7142.86</v>
      </c>
      <c r="K175" s="36">
        <v>16302.31</v>
      </c>
      <c r="L175" s="36">
        <f t="shared" si="10"/>
        <v>9159.4500000000007</v>
      </c>
      <c r="M175" s="37">
        <f t="shared" si="11"/>
        <v>1.2823224870710053</v>
      </c>
      <c r="N175" s="17" t="str">
        <f t="shared" si="12"/>
        <v>Over Budget</v>
      </c>
      <c r="O175" s="38">
        <f t="shared" si="13"/>
        <v>16302.31</v>
      </c>
      <c r="P175" s="39">
        <f t="shared" si="14"/>
        <v>45901</v>
      </c>
    </row>
    <row r="176" spans="1:16" ht="15.5" x14ac:dyDescent="0.35">
      <c r="A176" s="17" t="s">
        <v>224</v>
      </c>
      <c r="B176" s="35">
        <v>46155</v>
      </c>
      <c r="C176" s="17" t="s">
        <v>25</v>
      </c>
      <c r="D176" s="17" t="s">
        <v>32</v>
      </c>
      <c r="E176" s="17" t="s">
        <v>27</v>
      </c>
      <c r="F176" s="17" t="s">
        <v>15</v>
      </c>
      <c r="G176" s="17" t="s">
        <v>22</v>
      </c>
      <c r="H176" s="17" t="s">
        <v>2587</v>
      </c>
      <c r="I176" s="17" t="s">
        <v>48</v>
      </c>
      <c r="J176" s="36">
        <v>6153.85</v>
      </c>
      <c r="K176" s="36">
        <v>4325.7</v>
      </c>
      <c r="L176" s="36">
        <f t="shared" si="10"/>
        <v>-1828.1500000000005</v>
      </c>
      <c r="M176" s="37">
        <f t="shared" si="11"/>
        <v>-0.29707418932863172</v>
      </c>
      <c r="N176" s="17" t="str">
        <f t="shared" si="12"/>
        <v>Under Budget</v>
      </c>
      <c r="O176" s="38">
        <f t="shared" si="13"/>
        <v>4325.7</v>
      </c>
      <c r="P176" s="39">
        <f t="shared" si="14"/>
        <v>46143</v>
      </c>
    </row>
    <row r="177" spans="1:16" ht="15.5" x14ac:dyDescent="0.35">
      <c r="A177" s="17" t="s">
        <v>225</v>
      </c>
      <c r="B177" s="35">
        <v>46090</v>
      </c>
      <c r="C177" s="17" t="s">
        <v>25</v>
      </c>
      <c r="D177" s="17" t="s">
        <v>32</v>
      </c>
      <c r="E177" s="17" t="s">
        <v>169</v>
      </c>
      <c r="F177" s="17" t="s">
        <v>28</v>
      </c>
      <c r="G177" s="17" t="s">
        <v>29</v>
      </c>
      <c r="H177" s="17" t="s">
        <v>2590</v>
      </c>
      <c r="I177" s="17" t="s">
        <v>23</v>
      </c>
      <c r="J177" s="36">
        <v>10000</v>
      </c>
      <c r="K177" s="36">
        <v>1027.8800000000001</v>
      </c>
      <c r="L177" s="36">
        <f t="shared" si="10"/>
        <v>-8972.119999999999</v>
      </c>
      <c r="M177" s="37">
        <f t="shared" si="11"/>
        <v>-0.8972119999999999</v>
      </c>
      <c r="N177" s="17" t="str">
        <f t="shared" si="12"/>
        <v>Under Budget</v>
      </c>
      <c r="O177" s="38">
        <f t="shared" si="13"/>
        <v>1027.8800000000001</v>
      </c>
      <c r="P177" s="39">
        <f t="shared" si="14"/>
        <v>46082</v>
      </c>
    </row>
    <row r="178" spans="1:16" ht="15.5" x14ac:dyDescent="0.35">
      <c r="A178" s="17" t="s">
        <v>226</v>
      </c>
      <c r="B178" s="35">
        <v>46025</v>
      </c>
      <c r="C178" s="17" t="s">
        <v>12</v>
      </c>
      <c r="D178" s="17" t="s">
        <v>19</v>
      </c>
      <c r="E178" s="17" t="s">
        <v>14</v>
      </c>
      <c r="F178" s="17" t="s">
        <v>15</v>
      </c>
      <c r="G178" s="17" t="s">
        <v>38</v>
      </c>
      <c r="H178" s="17" t="s">
        <v>80</v>
      </c>
      <c r="I178" s="17" t="s">
        <v>30</v>
      </c>
      <c r="J178" s="36">
        <v>3104</v>
      </c>
      <c r="K178" s="36">
        <v>5918.76</v>
      </c>
      <c r="L178" s="36">
        <f t="shared" si="10"/>
        <v>2814.76</v>
      </c>
      <c r="M178" s="37">
        <f t="shared" si="11"/>
        <v>0.90681701030927842</v>
      </c>
      <c r="N178" s="17" t="str">
        <f t="shared" si="12"/>
        <v>Over Budget</v>
      </c>
      <c r="O178" s="38">
        <f t="shared" si="13"/>
        <v>-5918.76</v>
      </c>
      <c r="P178" s="39">
        <f t="shared" si="14"/>
        <v>46023</v>
      </c>
    </row>
    <row r="179" spans="1:16" ht="15.5" x14ac:dyDescent="0.35">
      <c r="A179" s="17" t="s">
        <v>227</v>
      </c>
      <c r="B179" s="35">
        <v>45821</v>
      </c>
      <c r="C179" s="17" t="s">
        <v>12</v>
      </c>
      <c r="D179" s="17" t="s">
        <v>19</v>
      </c>
      <c r="E179" s="17" t="s">
        <v>14</v>
      </c>
      <c r="F179" s="17" t="s">
        <v>34</v>
      </c>
      <c r="G179" s="17" t="s">
        <v>22</v>
      </c>
      <c r="H179" s="17" t="s">
        <v>2588</v>
      </c>
      <c r="I179" s="17" t="s">
        <v>48</v>
      </c>
      <c r="J179" s="36">
        <v>4571.43</v>
      </c>
      <c r="K179" s="36">
        <v>4978.1400000000003</v>
      </c>
      <c r="L179" s="36">
        <f t="shared" si="10"/>
        <v>406.71000000000004</v>
      </c>
      <c r="M179" s="37">
        <f t="shared" si="11"/>
        <v>8.896778469756729E-2</v>
      </c>
      <c r="N179" s="17" t="str">
        <f t="shared" si="12"/>
        <v>Over Budget</v>
      </c>
      <c r="O179" s="38">
        <f t="shared" si="13"/>
        <v>-4978.1400000000003</v>
      </c>
      <c r="P179" s="39">
        <f t="shared" si="14"/>
        <v>45809</v>
      </c>
    </row>
    <row r="180" spans="1:16" ht="15.5" x14ac:dyDescent="0.35">
      <c r="A180" s="17" t="s">
        <v>228</v>
      </c>
      <c r="B180" s="35">
        <v>45810</v>
      </c>
      <c r="C180" s="17" t="s">
        <v>12</v>
      </c>
      <c r="D180" s="17" t="s">
        <v>36</v>
      </c>
      <c r="E180" s="17" t="s">
        <v>45</v>
      </c>
      <c r="F180" s="17" t="s">
        <v>28</v>
      </c>
      <c r="G180" s="17" t="s">
        <v>29</v>
      </c>
      <c r="H180" s="17" t="s">
        <v>2594</v>
      </c>
      <c r="I180" s="17" t="s">
        <v>39</v>
      </c>
      <c r="J180" s="36">
        <v>6428.57</v>
      </c>
      <c r="K180" s="36">
        <v>14213.76</v>
      </c>
      <c r="L180" s="36">
        <f t="shared" si="10"/>
        <v>7785.1900000000005</v>
      </c>
      <c r="M180" s="37">
        <f t="shared" si="11"/>
        <v>1.2110298246732945</v>
      </c>
      <c r="N180" s="17" t="str">
        <f t="shared" si="12"/>
        <v>Over Budget</v>
      </c>
      <c r="O180" s="38">
        <f t="shared" si="13"/>
        <v>-14213.76</v>
      </c>
      <c r="P180" s="39">
        <f t="shared" si="14"/>
        <v>45809</v>
      </c>
    </row>
    <row r="181" spans="1:16" ht="15.5" x14ac:dyDescent="0.35">
      <c r="A181" s="17" t="s">
        <v>229</v>
      </c>
      <c r="B181" s="35">
        <v>45705</v>
      </c>
      <c r="C181" s="17" t="s">
        <v>25</v>
      </c>
      <c r="D181" s="17" t="s">
        <v>19</v>
      </c>
      <c r="E181" s="17" t="s">
        <v>33</v>
      </c>
      <c r="F181" s="17" t="s">
        <v>34</v>
      </c>
      <c r="G181" s="17" t="s">
        <v>29</v>
      </c>
      <c r="H181" s="17" t="s">
        <v>2597</v>
      </c>
      <c r="I181" s="17" t="s">
        <v>30</v>
      </c>
      <c r="J181" s="36">
        <v>13472.22</v>
      </c>
      <c r="K181" s="36">
        <v>5780.12</v>
      </c>
      <c r="L181" s="36">
        <f t="shared" si="10"/>
        <v>-7692.0999999999995</v>
      </c>
      <c r="M181" s="37">
        <f t="shared" si="11"/>
        <v>-0.57096009417898463</v>
      </c>
      <c r="N181" s="17" t="str">
        <f t="shared" si="12"/>
        <v>Under Budget</v>
      </c>
      <c r="O181" s="38">
        <f t="shared" si="13"/>
        <v>5780.12</v>
      </c>
      <c r="P181" s="39">
        <f t="shared" si="14"/>
        <v>45689</v>
      </c>
    </row>
    <row r="182" spans="1:16" ht="15.5" x14ac:dyDescent="0.35">
      <c r="A182" s="17" t="s">
        <v>230</v>
      </c>
      <c r="B182" s="35">
        <v>45680</v>
      </c>
      <c r="C182" s="17" t="s">
        <v>25</v>
      </c>
      <c r="D182" s="17" t="s">
        <v>32</v>
      </c>
      <c r="E182" s="17" t="s">
        <v>33</v>
      </c>
      <c r="F182" s="17" t="s">
        <v>34</v>
      </c>
      <c r="G182" s="17" t="s">
        <v>82</v>
      </c>
      <c r="H182" s="17" t="s">
        <v>2598</v>
      </c>
      <c r="I182" s="17" t="s">
        <v>39</v>
      </c>
      <c r="J182" s="36">
        <v>11022.73</v>
      </c>
      <c r="K182" s="36">
        <v>5200.0600000000004</v>
      </c>
      <c r="L182" s="36">
        <f t="shared" si="10"/>
        <v>-5822.6699999999992</v>
      </c>
      <c r="M182" s="37">
        <f t="shared" si="11"/>
        <v>-0.52824209610504835</v>
      </c>
      <c r="N182" s="17" t="str">
        <f t="shared" si="12"/>
        <v>Under Budget</v>
      </c>
      <c r="O182" s="38">
        <f t="shared" si="13"/>
        <v>5200.0600000000004</v>
      </c>
      <c r="P182" s="39">
        <f t="shared" si="14"/>
        <v>45658</v>
      </c>
    </row>
    <row r="183" spans="1:16" ht="15.5" x14ac:dyDescent="0.35">
      <c r="A183" s="17" t="s">
        <v>231</v>
      </c>
      <c r="B183" s="35">
        <v>46018</v>
      </c>
      <c r="C183" s="17" t="s">
        <v>25</v>
      </c>
      <c r="D183" s="17" t="s">
        <v>26</v>
      </c>
      <c r="E183" s="17" t="s">
        <v>27</v>
      </c>
      <c r="F183" s="17" t="s">
        <v>15</v>
      </c>
      <c r="G183" s="17" t="s">
        <v>38</v>
      </c>
      <c r="H183" s="17" t="s">
        <v>2592</v>
      </c>
      <c r="I183" s="17" t="s">
        <v>23</v>
      </c>
      <c r="J183" s="36">
        <v>9333.33</v>
      </c>
      <c r="K183" s="36">
        <v>6926.68</v>
      </c>
      <c r="L183" s="36">
        <f t="shared" si="10"/>
        <v>-2406.6499999999996</v>
      </c>
      <c r="M183" s="37">
        <f t="shared" si="11"/>
        <v>-0.25785544923408898</v>
      </c>
      <c r="N183" s="17" t="str">
        <f t="shared" si="12"/>
        <v>Under Budget</v>
      </c>
      <c r="O183" s="38">
        <f t="shared" si="13"/>
        <v>6926.68</v>
      </c>
      <c r="P183" s="39">
        <f t="shared" si="14"/>
        <v>45992</v>
      </c>
    </row>
    <row r="184" spans="1:16" ht="15.5" x14ac:dyDescent="0.35">
      <c r="A184" s="17" t="s">
        <v>232</v>
      </c>
      <c r="B184" s="35">
        <v>45915</v>
      </c>
      <c r="C184" s="17" t="s">
        <v>12</v>
      </c>
      <c r="D184" s="17" t="s">
        <v>26</v>
      </c>
      <c r="E184" s="17" t="s">
        <v>74</v>
      </c>
      <c r="F184" s="17" t="s">
        <v>34</v>
      </c>
      <c r="G184" s="17" t="s">
        <v>38</v>
      </c>
      <c r="H184" s="17" t="s">
        <v>2598</v>
      </c>
      <c r="I184" s="17" t="s">
        <v>48</v>
      </c>
      <c r="J184" s="36">
        <v>5000</v>
      </c>
      <c r="K184" s="36">
        <v>4659.0200000000004</v>
      </c>
      <c r="L184" s="36">
        <f t="shared" si="10"/>
        <v>-340.97999999999956</v>
      </c>
      <c r="M184" s="37">
        <f t="shared" si="11"/>
        <v>-6.8195999999999909E-2</v>
      </c>
      <c r="N184" s="17" t="str">
        <f t="shared" si="12"/>
        <v>Under Budget</v>
      </c>
      <c r="O184" s="38">
        <f t="shared" si="13"/>
        <v>-4659.0200000000004</v>
      </c>
      <c r="P184" s="39">
        <f t="shared" si="14"/>
        <v>45901</v>
      </c>
    </row>
    <row r="185" spans="1:16" ht="15.5" x14ac:dyDescent="0.35">
      <c r="A185" s="17" t="s">
        <v>233</v>
      </c>
      <c r="B185" s="35">
        <v>45759</v>
      </c>
      <c r="C185" s="17" t="s">
        <v>12</v>
      </c>
      <c r="D185" s="17" t="s">
        <v>26</v>
      </c>
      <c r="E185" s="17" t="s">
        <v>37</v>
      </c>
      <c r="F185" s="17" t="s">
        <v>52</v>
      </c>
      <c r="G185" s="17" t="s">
        <v>29</v>
      </c>
      <c r="H185" s="17" t="s">
        <v>2592</v>
      </c>
      <c r="I185" s="17" t="s">
        <v>23</v>
      </c>
      <c r="J185" s="36">
        <v>9333.33</v>
      </c>
      <c r="K185" s="36">
        <v>2548.92</v>
      </c>
      <c r="L185" s="36">
        <f t="shared" si="10"/>
        <v>-6784.41</v>
      </c>
      <c r="M185" s="37">
        <f t="shared" si="11"/>
        <v>-0.72690133103618959</v>
      </c>
      <c r="N185" s="17" t="str">
        <f t="shared" si="12"/>
        <v>Under Budget</v>
      </c>
      <c r="O185" s="38">
        <f t="shared" si="13"/>
        <v>-2548.92</v>
      </c>
      <c r="P185" s="39">
        <f t="shared" si="14"/>
        <v>45748</v>
      </c>
    </row>
    <row r="186" spans="1:16" ht="15.5" x14ac:dyDescent="0.35">
      <c r="A186" s="17" t="s">
        <v>234</v>
      </c>
      <c r="B186" s="35">
        <v>46106</v>
      </c>
      <c r="C186" s="17" t="s">
        <v>12</v>
      </c>
      <c r="D186" s="17" t="s">
        <v>2584</v>
      </c>
      <c r="E186" s="17" t="s">
        <v>47</v>
      </c>
      <c r="F186" s="17" t="s">
        <v>15</v>
      </c>
      <c r="G186" s="17" t="s">
        <v>22</v>
      </c>
      <c r="H186" s="17" t="s">
        <v>2587</v>
      </c>
      <c r="I186" s="17" t="s">
        <v>48</v>
      </c>
      <c r="J186" s="36">
        <v>3181.82</v>
      </c>
      <c r="K186" s="36">
        <v>2239.67</v>
      </c>
      <c r="L186" s="36">
        <f t="shared" si="10"/>
        <v>-942.15000000000009</v>
      </c>
      <c r="M186" s="37">
        <f t="shared" si="11"/>
        <v>-0.29610411651193341</v>
      </c>
      <c r="N186" s="17" t="str">
        <f t="shared" si="12"/>
        <v>Under Budget</v>
      </c>
      <c r="O186" s="38">
        <f t="shared" si="13"/>
        <v>-2239.67</v>
      </c>
      <c r="P186" s="39">
        <f t="shared" si="14"/>
        <v>46082</v>
      </c>
    </row>
    <row r="187" spans="1:16" ht="15.5" x14ac:dyDescent="0.35">
      <c r="A187" s="17" t="s">
        <v>235</v>
      </c>
      <c r="B187" s="35">
        <v>46161</v>
      </c>
      <c r="C187" s="17" t="s">
        <v>25</v>
      </c>
      <c r="D187" s="17" t="s">
        <v>32</v>
      </c>
      <c r="E187" s="17" t="s">
        <v>109</v>
      </c>
      <c r="F187" s="17" t="s">
        <v>52</v>
      </c>
      <c r="G187" s="17" t="s">
        <v>29</v>
      </c>
      <c r="H187" s="17" t="s">
        <v>2590</v>
      </c>
      <c r="I187" s="17" t="s">
        <v>48</v>
      </c>
      <c r="J187" s="36">
        <v>5882.35</v>
      </c>
      <c r="K187" s="36">
        <v>11658.16</v>
      </c>
      <c r="L187" s="36">
        <f t="shared" si="10"/>
        <v>5775.8099999999995</v>
      </c>
      <c r="M187" s="37">
        <f t="shared" si="11"/>
        <v>0.9818881909440953</v>
      </c>
      <c r="N187" s="17" t="str">
        <f t="shared" si="12"/>
        <v>Over Budget</v>
      </c>
      <c r="O187" s="38">
        <f t="shared" si="13"/>
        <v>11658.16</v>
      </c>
      <c r="P187" s="39">
        <f t="shared" si="14"/>
        <v>46143</v>
      </c>
    </row>
    <row r="188" spans="1:16" ht="15.5" x14ac:dyDescent="0.35">
      <c r="A188" s="17" t="s">
        <v>236</v>
      </c>
      <c r="B188" s="35">
        <v>45927</v>
      </c>
      <c r="C188" s="17" t="s">
        <v>12</v>
      </c>
      <c r="D188" s="17" t="s">
        <v>19</v>
      </c>
      <c r="E188" s="17" t="s">
        <v>45</v>
      </c>
      <c r="F188" s="17" t="s">
        <v>21</v>
      </c>
      <c r="G188" s="17" t="s">
        <v>22</v>
      </c>
      <c r="H188" s="17" t="s">
        <v>80</v>
      </c>
      <c r="I188" s="17" t="s">
        <v>39</v>
      </c>
      <c r="J188" s="36">
        <v>7500</v>
      </c>
      <c r="K188" s="36">
        <v>11948.76</v>
      </c>
      <c r="L188" s="36">
        <f t="shared" si="10"/>
        <v>4448.76</v>
      </c>
      <c r="M188" s="37">
        <f t="shared" si="11"/>
        <v>0.59316800000000003</v>
      </c>
      <c r="N188" s="17" t="str">
        <f t="shared" si="12"/>
        <v>Over Budget</v>
      </c>
      <c r="O188" s="38">
        <f t="shared" si="13"/>
        <v>-11948.76</v>
      </c>
      <c r="P188" s="39">
        <f t="shared" si="14"/>
        <v>45901</v>
      </c>
    </row>
    <row r="189" spans="1:16" ht="15.5" x14ac:dyDescent="0.35">
      <c r="A189" s="17" t="s">
        <v>237</v>
      </c>
      <c r="B189" s="35">
        <v>45763</v>
      </c>
      <c r="C189" s="17" t="s">
        <v>12</v>
      </c>
      <c r="D189" s="17" t="s">
        <v>13</v>
      </c>
      <c r="E189" s="17" t="s">
        <v>65</v>
      </c>
      <c r="F189" s="17" t="s">
        <v>15</v>
      </c>
      <c r="G189" s="17" t="s">
        <v>38</v>
      </c>
      <c r="H189" s="17" t="s">
        <v>2596</v>
      </c>
      <c r="I189" s="17" t="s">
        <v>48</v>
      </c>
      <c r="J189" s="36">
        <v>6111.11</v>
      </c>
      <c r="K189" s="36">
        <v>6145.13</v>
      </c>
      <c r="L189" s="36">
        <f t="shared" si="10"/>
        <v>34.020000000000437</v>
      </c>
      <c r="M189" s="37">
        <f t="shared" si="11"/>
        <v>5.5669101030746361E-3</v>
      </c>
      <c r="N189" s="17" t="str">
        <f t="shared" si="12"/>
        <v>Over Budget</v>
      </c>
      <c r="O189" s="38">
        <f t="shared" si="13"/>
        <v>-6145.13</v>
      </c>
      <c r="P189" s="39">
        <f t="shared" si="14"/>
        <v>45748</v>
      </c>
    </row>
    <row r="190" spans="1:16" ht="15.5" x14ac:dyDescent="0.35">
      <c r="A190" s="17" t="s">
        <v>238</v>
      </c>
      <c r="B190" s="35">
        <v>46001</v>
      </c>
      <c r="C190" s="17" t="s">
        <v>12</v>
      </c>
      <c r="D190" s="17" t="s">
        <v>2584</v>
      </c>
      <c r="E190" s="17" t="s">
        <v>41</v>
      </c>
      <c r="F190" s="17" t="s">
        <v>21</v>
      </c>
      <c r="G190" s="17" t="s">
        <v>38</v>
      </c>
      <c r="H190" s="17" t="s">
        <v>2596</v>
      </c>
      <c r="I190" s="17" t="s">
        <v>23</v>
      </c>
      <c r="J190" s="36">
        <v>5250</v>
      </c>
      <c r="K190" s="36">
        <v>4547.2</v>
      </c>
      <c r="L190" s="36">
        <f t="shared" si="10"/>
        <v>-702.80000000000018</v>
      </c>
      <c r="M190" s="37">
        <f t="shared" si="11"/>
        <v>-0.13386666666666669</v>
      </c>
      <c r="N190" s="17" t="str">
        <f t="shared" si="12"/>
        <v>Under Budget</v>
      </c>
      <c r="O190" s="38">
        <f t="shared" si="13"/>
        <v>-4547.2</v>
      </c>
      <c r="P190" s="39">
        <f t="shared" si="14"/>
        <v>45992</v>
      </c>
    </row>
    <row r="191" spans="1:16" ht="15.5" x14ac:dyDescent="0.35">
      <c r="A191" s="17" t="s">
        <v>239</v>
      </c>
      <c r="B191" s="35">
        <v>45862</v>
      </c>
      <c r="C191" s="17" t="s">
        <v>12</v>
      </c>
      <c r="D191" s="17" t="s">
        <v>26</v>
      </c>
      <c r="E191" s="17" t="s">
        <v>14</v>
      </c>
      <c r="F191" s="17" t="s">
        <v>15</v>
      </c>
      <c r="G191" s="17" t="s">
        <v>38</v>
      </c>
      <c r="H191" s="17" t="s">
        <v>2592</v>
      </c>
      <c r="I191" s="17" t="s">
        <v>23</v>
      </c>
      <c r="J191" s="36">
        <v>4000</v>
      </c>
      <c r="K191" s="36">
        <v>908.46</v>
      </c>
      <c r="L191" s="36">
        <f t="shared" si="10"/>
        <v>-3091.54</v>
      </c>
      <c r="M191" s="37">
        <f t="shared" si="11"/>
        <v>-0.77288500000000004</v>
      </c>
      <c r="N191" s="17" t="str">
        <f t="shared" si="12"/>
        <v>Under Budget</v>
      </c>
      <c r="O191" s="38">
        <f t="shared" si="13"/>
        <v>-908.46</v>
      </c>
      <c r="P191" s="39">
        <f t="shared" si="14"/>
        <v>45839</v>
      </c>
    </row>
    <row r="192" spans="1:16" ht="15.5" x14ac:dyDescent="0.35">
      <c r="A192" s="17" t="s">
        <v>240</v>
      </c>
      <c r="B192" s="35">
        <v>45873</v>
      </c>
      <c r="C192" s="17" t="s">
        <v>12</v>
      </c>
      <c r="D192" s="17" t="s">
        <v>19</v>
      </c>
      <c r="E192" s="17" t="s">
        <v>14</v>
      </c>
      <c r="F192" s="17" t="s">
        <v>52</v>
      </c>
      <c r="G192" s="17" t="s">
        <v>38</v>
      </c>
      <c r="H192" s="17" t="s">
        <v>2589</v>
      </c>
      <c r="I192" s="17" t="s">
        <v>48</v>
      </c>
      <c r="J192" s="36">
        <v>2285.71</v>
      </c>
      <c r="K192" s="36">
        <v>5000.88</v>
      </c>
      <c r="L192" s="36">
        <f t="shared" si="10"/>
        <v>2715.17</v>
      </c>
      <c r="M192" s="37">
        <f t="shared" si="11"/>
        <v>1.1878891022920668</v>
      </c>
      <c r="N192" s="17" t="str">
        <f t="shared" si="12"/>
        <v>Over Budget</v>
      </c>
      <c r="O192" s="38">
        <f t="shared" si="13"/>
        <v>-5000.88</v>
      </c>
      <c r="P192" s="39">
        <f t="shared" si="14"/>
        <v>45870</v>
      </c>
    </row>
    <row r="193" spans="1:16" ht="15.5" x14ac:dyDescent="0.35">
      <c r="A193" s="17" t="s">
        <v>241</v>
      </c>
      <c r="B193" s="35">
        <v>46096</v>
      </c>
      <c r="C193" s="17" t="s">
        <v>25</v>
      </c>
      <c r="D193" s="17" t="s">
        <v>32</v>
      </c>
      <c r="E193" s="17" t="s">
        <v>33</v>
      </c>
      <c r="F193" s="17" t="s">
        <v>34</v>
      </c>
      <c r="G193" s="17" t="s">
        <v>38</v>
      </c>
      <c r="H193" s="17" t="s">
        <v>2593</v>
      </c>
      <c r="I193" s="17" t="s">
        <v>48</v>
      </c>
      <c r="J193" s="36">
        <v>11363.64</v>
      </c>
      <c r="K193" s="36">
        <v>13935.9</v>
      </c>
      <c r="L193" s="36">
        <f t="shared" si="10"/>
        <v>2572.2600000000002</v>
      </c>
      <c r="M193" s="37">
        <f t="shared" si="11"/>
        <v>0.22635880756518162</v>
      </c>
      <c r="N193" s="17" t="str">
        <f t="shared" si="12"/>
        <v>Over Budget</v>
      </c>
      <c r="O193" s="38">
        <f t="shared" si="13"/>
        <v>13935.9</v>
      </c>
      <c r="P193" s="39">
        <f t="shared" si="14"/>
        <v>46082</v>
      </c>
    </row>
    <row r="194" spans="1:16" ht="15.5" x14ac:dyDescent="0.35">
      <c r="A194" s="17" t="s">
        <v>242</v>
      </c>
      <c r="B194" s="35">
        <v>45789</v>
      </c>
      <c r="C194" s="17" t="s">
        <v>12</v>
      </c>
      <c r="D194" s="17" t="s">
        <v>2584</v>
      </c>
      <c r="E194" s="17" t="s">
        <v>51</v>
      </c>
      <c r="F194" s="17" t="s">
        <v>52</v>
      </c>
      <c r="G194" s="17" t="s">
        <v>38</v>
      </c>
      <c r="H194" s="17" t="s">
        <v>2586</v>
      </c>
      <c r="I194" s="17" t="s">
        <v>23</v>
      </c>
      <c r="J194" s="36">
        <v>2307.69</v>
      </c>
      <c r="K194" s="36">
        <v>6654.18</v>
      </c>
      <c r="L194" s="36">
        <f t="shared" si="10"/>
        <v>4346.49</v>
      </c>
      <c r="M194" s="37">
        <f t="shared" si="11"/>
        <v>1.8834808834808834</v>
      </c>
      <c r="N194" s="17" t="str">
        <f t="shared" si="12"/>
        <v>Over Budget</v>
      </c>
      <c r="O194" s="38">
        <f t="shared" si="13"/>
        <v>-6654.18</v>
      </c>
      <c r="P194" s="39">
        <f t="shared" si="14"/>
        <v>45778</v>
      </c>
    </row>
    <row r="195" spans="1:16" ht="15.5" x14ac:dyDescent="0.35">
      <c r="A195" s="17" t="s">
        <v>243</v>
      </c>
      <c r="B195" s="35">
        <v>45784</v>
      </c>
      <c r="C195" s="17" t="s">
        <v>12</v>
      </c>
      <c r="D195" s="17" t="s">
        <v>19</v>
      </c>
      <c r="E195" s="17" t="s">
        <v>45</v>
      </c>
      <c r="F195" s="17" t="s">
        <v>52</v>
      </c>
      <c r="G195" s="17" t="s">
        <v>38</v>
      </c>
      <c r="H195" s="17" t="s">
        <v>2595</v>
      </c>
      <c r="I195" s="17" t="s">
        <v>48</v>
      </c>
      <c r="J195" s="36">
        <v>0</v>
      </c>
      <c r="K195" s="36">
        <v>6198.16</v>
      </c>
      <c r="L195" s="36">
        <f t="shared" ref="L195:L258" si="15">K195-J195</f>
        <v>6198.16</v>
      </c>
      <c r="M195" s="37">
        <f t="shared" ref="M195:M258" si="16">IF(J195=0,0,L195/J195)</f>
        <v>0</v>
      </c>
      <c r="N195" s="17" t="str">
        <f t="shared" ref="N195:N258" si="17">IF(J195=0,"No Budget",IF(K195&gt;J195,"Over Budget",IF(K195&lt;J195,"Under Budget","On Budget")))</f>
        <v>No Budget</v>
      </c>
      <c r="O195" s="38">
        <f t="shared" ref="O195:O258" si="18">IF(C195="Revenue",K195,-K195)</f>
        <v>-6198.16</v>
      </c>
      <c r="P195" s="39">
        <f t="shared" ref="P195:P258" si="19">DATE(YEAR(B195),MONTH(B195),1)</f>
        <v>45778</v>
      </c>
    </row>
    <row r="196" spans="1:16" ht="15.5" x14ac:dyDescent="0.35">
      <c r="A196" s="17" t="s">
        <v>244</v>
      </c>
      <c r="B196" s="35">
        <v>46040</v>
      </c>
      <c r="C196" s="17" t="s">
        <v>12</v>
      </c>
      <c r="D196" s="17" t="s">
        <v>19</v>
      </c>
      <c r="E196" s="17" t="s">
        <v>45</v>
      </c>
      <c r="F196" s="17" t="s">
        <v>34</v>
      </c>
      <c r="G196" s="17" t="s">
        <v>43</v>
      </c>
      <c r="H196" s="17" t="s">
        <v>2589</v>
      </c>
      <c r="I196" s="17" t="s">
        <v>30</v>
      </c>
      <c r="J196" s="36">
        <v>6715.38</v>
      </c>
      <c r="K196" s="36">
        <v>16796.060000000001</v>
      </c>
      <c r="L196" s="36">
        <f t="shared" si="15"/>
        <v>10080.68</v>
      </c>
      <c r="M196" s="37">
        <f t="shared" si="16"/>
        <v>1.5011332195646412</v>
      </c>
      <c r="N196" s="17" t="str">
        <f t="shared" si="17"/>
        <v>Over Budget</v>
      </c>
      <c r="O196" s="38">
        <f t="shared" si="18"/>
        <v>-16796.060000000001</v>
      </c>
      <c r="P196" s="39">
        <f t="shared" si="19"/>
        <v>46023</v>
      </c>
    </row>
    <row r="197" spans="1:16" ht="15.5" x14ac:dyDescent="0.35">
      <c r="A197" s="17" t="s">
        <v>245</v>
      </c>
      <c r="B197" s="35">
        <v>45998</v>
      </c>
      <c r="C197" s="17" t="s">
        <v>12</v>
      </c>
      <c r="D197" s="17" t="s">
        <v>19</v>
      </c>
      <c r="E197" s="17" t="s">
        <v>14</v>
      </c>
      <c r="F197" s="17" t="s">
        <v>34</v>
      </c>
      <c r="G197" s="17" t="s">
        <v>38</v>
      </c>
      <c r="H197" s="17" t="s">
        <v>60</v>
      </c>
      <c r="I197" s="17" t="s">
        <v>23</v>
      </c>
      <c r="J197" s="36">
        <v>4800</v>
      </c>
      <c r="K197" s="36">
        <v>5571.44</v>
      </c>
      <c r="L197" s="36">
        <f t="shared" si="15"/>
        <v>771.4399999999996</v>
      </c>
      <c r="M197" s="37">
        <f t="shared" si="16"/>
        <v>0.16071666666666659</v>
      </c>
      <c r="N197" s="17" t="str">
        <f t="shared" si="17"/>
        <v>Over Budget</v>
      </c>
      <c r="O197" s="38">
        <f t="shared" si="18"/>
        <v>-5571.44</v>
      </c>
      <c r="P197" s="39">
        <f t="shared" si="19"/>
        <v>45992</v>
      </c>
    </row>
    <row r="198" spans="1:16" ht="15.5" x14ac:dyDescent="0.35">
      <c r="A198" s="17" t="s">
        <v>246</v>
      </c>
      <c r="B198" s="35">
        <v>45975</v>
      </c>
      <c r="C198" s="17" t="s">
        <v>12</v>
      </c>
      <c r="D198" s="17" t="s">
        <v>2585</v>
      </c>
      <c r="E198" s="17" t="s">
        <v>20</v>
      </c>
      <c r="F198" s="17" t="s">
        <v>21</v>
      </c>
      <c r="G198" s="17" t="s">
        <v>38</v>
      </c>
      <c r="H198" s="17" t="s">
        <v>2595</v>
      </c>
      <c r="I198" s="17" t="s">
        <v>23</v>
      </c>
      <c r="J198" s="36">
        <v>1890</v>
      </c>
      <c r="K198" s="36">
        <v>1016.28</v>
      </c>
      <c r="L198" s="36">
        <f t="shared" si="15"/>
        <v>-873.72</v>
      </c>
      <c r="M198" s="37">
        <f t="shared" si="16"/>
        <v>-0.4622857142857143</v>
      </c>
      <c r="N198" s="17" t="str">
        <f t="shared" si="17"/>
        <v>Under Budget</v>
      </c>
      <c r="O198" s="38">
        <f t="shared" si="18"/>
        <v>-1016.28</v>
      </c>
      <c r="P198" s="39">
        <f t="shared" si="19"/>
        <v>45962</v>
      </c>
    </row>
    <row r="199" spans="1:16" ht="15.5" x14ac:dyDescent="0.35">
      <c r="A199" s="17" t="s">
        <v>247</v>
      </c>
      <c r="B199" s="35">
        <v>45765</v>
      </c>
      <c r="C199" s="17" t="s">
        <v>12</v>
      </c>
      <c r="D199" s="17" t="s">
        <v>19</v>
      </c>
      <c r="E199" s="17" t="s">
        <v>74</v>
      </c>
      <c r="F199" s="17" t="s">
        <v>28</v>
      </c>
      <c r="G199" s="17" t="s">
        <v>38</v>
      </c>
      <c r="H199" s="17" t="s">
        <v>2586</v>
      </c>
      <c r="I199" s="17" t="s">
        <v>23</v>
      </c>
      <c r="J199" s="36">
        <v>5714.29</v>
      </c>
      <c r="K199" s="36">
        <v>5355.91</v>
      </c>
      <c r="L199" s="36">
        <f t="shared" si="15"/>
        <v>-358.38000000000011</v>
      </c>
      <c r="M199" s="37">
        <f t="shared" si="16"/>
        <v>-6.2716452962660291E-2</v>
      </c>
      <c r="N199" s="17" t="str">
        <f t="shared" si="17"/>
        <v>Under Budget</v>
      </c>
      <c r="O199" s="38">
        <f t="shared" si="18"/>
        <v>-5355.91</v>
      </c>
      <c r="P199" s="39">
        <f t="shared" si="19"/>
        <v>45748</v>
      </c>
    </row>
    <row r="200" spans="1:16" ht="15.5" x14ac:dyDescent="0.35">
      <c r="A200" s="17" t="s">
        <v>248</v>
      </c>
      <c r="B200" s="35">
        <v>46106</v>
      </c>
      <c r="C200" s="17" t="s">
        <v>12</v>
      </c>
      <c r="D200" s="17" t="s">
        <v>2585</v>
      </c>
      <c r="E200" s="17" t="s">
        <v>65</v>
      </c>
      <c r="F200" s="17" t="s">
        <v>52</v>
      </c>
      <c r="G200" s="17" t="s">
        <v>38</v>
      </c>
      <c r="H200" s="17" t="s">
        <v>2592</v>
      </c>
      <c r="I200" s="17" t="s">
        <v>23</v>
      </c>
      <c r="J200" s="36">
        <v>5000</v>
      </c>
      <c r="K200" s="36">
        <v>2877.81</v>
      </c>
      <c r="L200" s="36">
        <f t="shared" si="15"/>
        <v>-2122.19</v>
      </c>
      <c r="M200" s="37">
        <f t="shared" si="16"/>
        <v>-0.42443800000000004</v>
      </c>
      <c r="N200" s="17" t="str">
        <f t="shared" si="17"/>
        <v>Under Budget</v>
      </c>
      <c r="O200" s="38">
        <f t="shared" si="18"/>
        <v>-2877.81</v>
      </c>
      <c r="P200" s="39">
        <f t="shared" si="19"/>
        <v>46082</v>
      </c>
    </row>
    <row r="201" spans="1:16" ht="15.5" x14ac:dyDescent="0.35">
      <c r="A201" s="17" t="s">
        <v>249</v>
      </c>
      <c r="B201" s="35">
        <v>46001</v>
      </c>
      <c r="C201" s="17" t="s">
        <v>12</v>
      </c>
      <c r="D201" s="17" t="s">
        <v>13</v>
      </c>
      <c r="E201" s="17" t="s">
        <v>14</v>
      </c>
      <c r="F201" s="17" t="s">
        <v>52</v>
      </c>
      <c r="G201" s="17" t="s">
        <v>16</v>
      </c>
      <c r="H201" s="17" t="s">
        <v>60</v>
      </c>
      <c r="I201" s="17" t="s">
        <v>23</v>
      </c>
      <c r="J201" s="36">
        <v>4800</v>
      </c>
      <c r="K201" s="36">
        <v>1464.66</v>
      </c>
      <c r="L201" s="36">
        <f t="shared" si="15"/>
        <v>-3335.34</v>
      </c>
      <c r="M201" s="37">
        <f t="shared" si="16"/>
        <v>-0.69486250000000005</v>
      </c>
      <c r="N201" s="17" t="str">
        <f t="shared" si="17"/>
        <v>Under Budget</v>
      </c>
      <c r="O201" s="38">
        <f t="shared" si="18"/>
        <v>-1464.66</v>
      </c>
      <c r="P201" s="39">
        <f t="shared" si="19"/>
        <v>45992</v>
      </c>
    </row>
    <row r="202" spans="1:16" ht="15.5" x14ac:dyDescent="0.35">
      <c r="A202" s="17" t="s">
        <v>250</v>
      </c>
      <c r="B202" s="35">
        <v>46161</v>
      </c>
      <c r="C202" s="17" t="s">
        <v>25</v>
      </c>
      <c r="D202" s="17" t="s">
        <v>13</v>
      </c>
      <c r="E202" s="17" t="s">
        <v>109</v>
      </c>
      <c r="F202" s="17" t="s">
        <v>52</v>
      </c>
      <c r="G202" s="17" t="s">
        <v>29</v>
      </c>
      <c r="H202" s="17" t="s">
        <v>80</v>
      </c>
      <c r="I202" s="17" t="s">
        <v>23</v>
      </c>
      <c r="J202" s="36">
        <v>5882.35</v>
      </c>
      <c r="K202" s="36">
        <v>4616.99</v>
      </c>
      <c r="L202" s="36">
        <f t="shared" si="15"/>
        <v>-1265.3600000000006</v>
      </c>
      <c r="M202" s="37">
        <f t="shared" si="16"/>
        <v>-0.21511130755565386</v>
      </c>
      <c r="N202" s="17" t="str">
        <f t="shared" si="17"/>
        <v>Under Budget</v>
      </c>
      <c r="O202" s="38">
        <f t="shared" si="18"/>
        <v>4616.99</v>
      </c>
      <c r="P202" s="39">
        <f t="shared" si="19"/>
        <v>46143</v>
      </c>
    </row>
    <row r="203" spans="1:16" ht="15.5" x14ac:dyDescent="0.35">
      <c r="A203" s="17" t="s">
        <v>251</v>
      </c>
      <c r="B203" s="35">
        <v>45660</v>
      </c>
      <c r="C203" s="17" t="s">
        <v>12</v>
      </c>
      <c r="D203" s="17" t="s">
        <v>19</v>
      </c>
      <c r="E203" s="17" t="s">
        <v>65</v>
      </c>
      <c r="F203" s="17" t="s">
        <v>28</v>
      </c>
      <c r="G203" s="17" t="s">
        <v>16</v>
      </c>
      <c r="H203" s="17" t="s">
        <v>2590</v>
      </c>
      <c r="I203" s="17" t="s">
        <v>23</v>
      </c>
      <c r="J203" s="36">
        <v>3810.71</v>
      </c>
      <c r="K203" s="36">
        <v>7015.09</v>
      </c>
      <c r="L203" s="36">
        <f t="shared" si="15"/>
        <v>3204.38</v>
      </c>
      <c r="M203" s="37">
        <f t="shared" si="16"/>
        <v>0.8408879185243695</v>
      </c>
      <c r="N203" s="17" t="str">
        <f t="shared" si="17"/>
        <v>Over Budget</v>
      </c>
      <c r="O203" s="38">
        <f t="shared" si="18"/>
        <v>-7015.09</v>
      </c>
      <c r="P203" s="39">
        <f t="shared" si="19"/>
        <v>45658</v>
      </c>
    </row>
    <row r="204" spans="1:16" ht="15.5" x14ac:dyDescent="0.35">
      <c r="A204" s="17" t="s">
        <v>252</v>
      </c>
      <c r="B204" s="35">
        <v>46027</v>
      </c>
      <c r="C204" s="17" t="s">
        <v>12</v>
      </c>
      <c r="D204" s="17" t="s">
        <v>32</v>
      </c>
      <c r="E204" s="17" t="s">
        <v>74</v>
      </c>
      <c r="F204" s="17" t="s">
        <v>34</v>
      </c>
      <c r="G204" s="17" t="s">
        <v>16</v>
      </c>
      <c r="H204" s="17" t="s">
        <v>2597</v>
      </c>
      <c r="I204" s="17" t="s">
        <v>23</v>
      </c>
      <c r="J204" s="36">
        <v>4850</v>
      </c>
      <c r="K204" s="36">
        <v>1366.79</v>
      </c>
      <c r="L204" s="36">
        <f t="shared" si="15"/>
        <v>-3483.21</v>
      </c>
      <c r="M204" s="37">
        <f t="shared" si="16"/>
        <v>-0.71818762886597942</v>
      </c>
      <c r="N204" s="17" t="str">
        <f t="shared" si="17"/>
        <v>Under Budget</v>
      </c>
      <c r="O204" s="38">
        <f t="shared" si="18"/>
        <v>-1366.79</v>
      </c>
      <c r="P204" s="39">
        <f t="shared" si="19"/>
        <v>46023</v>
      </c>
    </row>
    <row r="205" spans="1:16" ht="15.5" x14ac:dyDescent="0.35">
      <c r="A205" s="17" t="s">
        <v>253</v>
      </c>
      <c r="B205" s="35">
        <v>45734</v>
      </c>
      <c r="C205" s="17" t="s">
        <v>12</v>
      </c>
      <c r="D205" s="17" t="s">
        <v>36</v>
      </c>
      <c r="E205" s="17" t="s">
        <v>20</v>
      </c>
      <c r="F205" s="17" t="s">
        <v>28</v>
      </c>
      <c r="G205" s="17" t="s">
        <v>22</v>
      </c>
      <c r="H205" s="17" t="s">
        <v>2594</v>
      </c>
      <c r="I205" s="17" t="s">
        <v>30</v>
      </c>
      <c r="J205" s="36">
        <v>3000</v>
      </c>
      <c r="K205" s="36">
        <v>392.12</v>
      </c>
      <c r="L205" s="36">
        <f t="shared" si="15"/>
        <v>-2607.88</v>
      </c>
      <c r="M205" s="37">
        <f t="shared" si="16"/>
        <v>-0.86929333333333336</v>
      </c>
      <c r="N205" s="17" t="str">
        <f t="shared" si="17"/>
        <v>Under Budget</v>
      </c>
      <c r="O205" s="38">
        <f t="shared" si="18"/>
        <v>-392.12</v>
      </c>
      <c r="P205" s="39">
        <f t="shared" si="19"/>
        <v>45717</v>
      </c>
    </row>
    <row r="206" spans="1:16" ht="15.5" x14ac:dyDescent="0.35">
      <c r="A206" s="17" t="s">
        <v>254</v>
      </c>
      <c r="B206" s="35">
        <v>45945</v>
      </c>
      <c r="C206" s="17" t="s">
        <v>12</v>
      </c>
      <c r="D206" s="17" t="s">
        <v>2584</v>
      </c>
      <c r="E206" s="17" t="s">
        <v>74</v>
      </c>
      <c r="F206" s="17" t="s">
        <v>15</v>
      </c>
      <c r="G206" s="17" t="s">
        <v>38</v>
      </c>
      <c r="H206" s="17" t="s">
        <v>2592</v>
      </c>
      <c r="I206" s="17" t="s">
        <v>17</v>
      </c>
      <c r="J206" s="36">
        <v>3333.33</v>
      </c>
      <c r="K206" s="36">
        <v>2509.62</v>
      </c>
      <c r="L206" s="36">
        <f t="shared" si="15"/>
        <v>-823.71</v>
      </c>
      <c r="M206" s="37">
        <f t="shared" si="16"/>
        <v>-0.24711324711324714</v>
      </c>
      <c r="N206" s="17" t="str">
        <f t="shared" si="17"/>
        <v>Under Budget</v>
      </c>
      <c r="O206" s="38">
        <f t="shared" si="18"/>
        <v>-2509.62</v>
      </c>
      <c r="P206" s="39">
        <f t="shared" si="19"/>
        <v>45931</v>
      </c>
    </row>
    <row r="207" spans="1:16" ht="15.5" x14ac:dyDescent="0.35">
      <c r="A207" s="17" t="s">
        <v>255</v>
      </c>
      <c r="B207" s="35">
        <v>45705</v>
      </c>
      <c r="C207" s="17" t="s">
        <v>25</v>
      </c>
      <c r="D207" s="17" t="s">
        <v>32</v>
      </c>
      <c r="E207" s="17" t="s">
        <v>33</v>
      </c>
      <c r="F207" s="17" t="s">
        <v>34</v>
      </c>
      <c r="G207" s="17" t="s">
        <v>38</v>
      </c>
      <c r="H207" s="17" t="s">
        <v>2586</v>
      </c>
      <c r="I207" s="17" t="s">
        <v>30</v>
      </c>
      <c r="J207" s="36">
        <v>13472.22</v>
      </c>
      <c r="K207" s="36">
        <v>4960.2299999999996</v>
      </c>
      <c r="L207" s="36">
        <f t="shared" si="15"/>
        <v>-8511.99</v>
      </c>
      <c r="M207" s="37">
        <f t="shared" si="16"/>
        <v>-0.6318179186503784</v>
      </c>
      <c r="N207" s="17" t="str">
        <f t="shared" si="17"/>
        <v>Under Budget</v>
      </c>
      <c r="O207" s="38">
        <f t="shared" si="18"/>
        <v>4960.2299999999996</v>
      </c>
      <c r="P207" s="39">
        <f t="shared" si="19"/>
        <v>45689</v>
      </c>
    </row>
    <row r="208" spans="1:16" ht="15.5" x14ac:dyDescent="0.35">
      <c r="A208" s="17" t="s">
        <v>256</v>
      </c>
      <c r="B208" s="35">
        <v>45773</v>
      </c>
      <c r="C208" s="17" t="s">
        <v>12</v>
      </c>
      <c r="D208" s="17" t="s">
        <v>26</v>
      </c>
      <c r="E208" s="17" t="s">
        <v>65</v>
      </c>
      <c r="F208" s="17" t="s">
        <v>52</v>
      </c>
      <c r="G208" s="17" t="s">
        <v>29</v>
      </c>
      <c r="H208" s="17" t="s">
        <v>80</v>
      </c>
      <c r="I208" s="17" t="s">
        <v>48</v>
      </c>
      <c r="J208" s="36">
        <v>6111.11</v>
      </c>
      <c r="K208" s="36">
        <v>2516.14</v>
      </c>
      <c r="L208" s="36">
        <f t="shared" si="15"/>
        <v>-3594.97</v>
      </c>
      <c r="M208" s="37">
        <f t="shared" si="16"/>
        <v>-0.58826792513962278</v>
      </c>
      <c r="N208" s="17" t="str">
        <f t="shared" si="17"/>
        <v>Under Budget</v>
      </c>
      <c r="O208" s="38">
        <f t="shared" si="18"/>
        <v>-2516.14</v>
      </c>
      <c r="P208" s="39">
        <f t="shared" si="19"/>
        <v>45748</v>
      </c>
    </row>
    <row r="209" spans="1:16" ht="15.5" x14ac:dyDescent="0.35">
      <c r="A209" s="17" t="s">
        <v>257</v>
      </c>
      <c r="B209" s="35">
        <v>46165</v>
      </c>
      <c r="C209" s="17" t="s">
        <v>12</v>
      </c>
      <c r="D209" s="17" t="s">
        <v>32</v>
      </c>
      <c r="E209" s="17" t="s">
        <v>20</v>
      </c>
      <c r="F209" s="17" t="s">
        <v>34</v>
      </c>
      <c r="G209" s="17" t="s">
        <v>16</v>
      </c>
      <c r="H209" s="17" t="s">
        <v>2598</v>
      </c>
      <c r="I209" s="17" t="s">
        <v>23</v>
      </c>
      <c r="J209" s="36">
        <v>6000</v>
      </c>
      <c r="K209" s="36">
        <v>333.4</v>
      </c>
      <c r="L209" s="36">
        <f t="shared" si="15"/>
        <v>-5666.6</v>
      </c>
      <c r="M209" s="37">
        <f t="shared" si="16"/>
        <v>-0.94443333333333335</v>
      </c>
      <c r="N209" s="17" t="str">
        <f t="shared" si="17"/>
        <v>Under Budget</v>
      </c>
      <c r="O209" s="38">
        <f t="shared" si="18"/>
        <v>-333.4</v>
      </c>
      <c r="P209" s="39">
        <f t="shared" si="19"/>
        <v>46143</v>
      </c>
    </row>
    <row r="210" spans="1:16" ht="15.5" x14ac:dyDescent="0.35">
      <c r="A210" s="17" t="s">
        <v>258</v>
      </c>
      <c r="B210" s="35">
        <v>45872</v>
      </c>
      <c r="C210" s="17" t="s">
        <v>12</v>
      </c>
      <c r="D210" s="17" t="s">
        <v>26</v>
      </c>
      <c r="E210" s="17" t="s">
        <v>14</v>
      </c>
      <c r="F210" s="17" t="s">
        <v>15</v>
      </c>
      <c r="G210" s="17" t="s">
        <v>38</v>
      </c>
      <c r="H210" s="17" t="s">
        <v>80</v>
      </c>
      <c r="I210" s="17" t="s">
        <v>39</v>
      </c>
      <c r="J210" s="36">
        <v>2285.71</v>
      </c>
      <c r="K210" s="36">
        <v>496.17</v>
      </c>
      <c r="L210" s="36">
        <f t="shared" si="15"/>
        <v>-1789.54</v>
      </c>
      <c r="M210" s="37">
        <f t="shared" si="16"/>
        <v>-0.78292521798478365</v>
      </c>
      <c r="N210" s="17" t="str">
        <f t="shared" si="17"/>
        <v>Under Budget</v>
      </c>
      <c r="O210" s="38">
        <f t="shared" si="18"/>
        <v>-496.17</v>
      </c>
      <c r="P210" s="39">
        <f t="shared" si="19"/>
        <v>45870</v>
      </c>
    </row>
    <row r="211" spans="1:16" ht="15.5" x14ac:dyDescent="0.35">
      <c r="A211" s="17" t="s">
        <v>259</v>
      </c>
      <c r="B211" s="35">
        <v>45951</v>
      </c>
      <c r="C211" s="17" t="s">
        <v>25</v>
      </c>
      <c r="D211" s="17" t="s">
        <v>19</v>
      </c>
      <c r="E211" s="17" t="s">
        <v>27</v>
      </c>
      <c r="F211" s="17" t="s">
        <v>28</v>
      </c>
      <c r="G211" s="17" t="s">
        <v>82</v>
      </c>
      <c r="H211" s="17" t="s">
        <v>2586</v>
      </c>
      <c r="I211" s="17" t="s">
        <v>48</v>
      </c>
      <c r="J211" s="36">
        <v>4705.88</v>
      </c>
      <c r="K211" s="36">
        <v>5854.16</v>
      </c>
      <c r="L211" s="36">
        <f t="shared" si="15"/>
        <v>1148.2799999999997</v>
      </c>
      <c r="M211" s="37">
        <f t="shared" si="16"/>
        <v>0.24400962200481094</v>
      </c>
      <c r="N211" s="17" t="str">
        <f t="shared" si="17"/>
        <v>Over Budget</v>
      </c>
      <c r="O211" s="38">
        <f t="shared" si="18"/>
        <v>5854.16</v>
      </c>
      <c r="P211" s="39">
        <f t="shared" si="19"/>
        <v>45931</v>
      </c>
    </row>
    <row r="212" spans="1:16" ht="15.5" x14ac:dyDescent="0.35">
      <c r="A212" s="17" t="s">
        <v>260</v>
      </c>
      <c r="B212" s="35">
        <v>46195</v>
      </c>
      <c r="C212" s="17" t="s">
        <v>12</v>
      </c>
      <c r="D212" s="17" t="s">
        <v>26</v>
      </c>
      <c r="E212" s="17" t="s">
        <v>41</v>
      </c>
      <c r="F212" s="17" t="s">
        <v>52</v>
      </c>
      <c r="G212" s="17" t="s">
        <v>22</v>
      </c>
      <c r="H212" s="17" t="s">
        <v>2586</v>
      </c>
      <c r="I212" s="17" t="s">
        <v>48</v>
      </c>
      <c r="J212" s="36">
        <v>5416.67</v>
      </c>
      <c r="K212" s="36">
        <v>3619.52</v>
      </c>
      <c r="L212" s="36">
        <f t="shared" si="15"/>
        <v>-1797.15</v>
      </c>
      <c r="M212" s="37">
        <f t="shared" si="16"/>
        <v>-0.33178133428840967</v>
      </c>
      <c r="N212" s="17" t="str">
        <f t="shared" si="17"/>
        <v>Under Budget</v>
      </c>
      <c r="O212" s="38">
        <f t="shared" si="18"/>
        <v>-3619.52</v>
      </c>
      <c r="P212" s="39">
        <f t="shared" si="19"/>
        <v>46174</v>
      </c>
    </row>
    <row r="213" spans="1:16" ht="15.5" x14ac:dyDescent="0.35">
      <c r="A213" s="17" t="s">
        <v>261</v>
      </c>
      <c r="B213" s="35">
        <v>45933</v>
      </c>
      <c r="C213" s="17" t="s">
        <v>12</v>
      </c>
      <c r="D213" s="17" t="s">
        <v>19</v>
      </c>
      <c r="E213" s="17" t="s">
        <v>51</v>
      </c>
      <c r="F213" s="17" t="s">
        <v>21</v>
      </c>
      <c r="G213" s="17" t="s">
        <v>43</v>
      </c>
      <c r="H213" s="17" t="s">
        <v>2588</v>
      </c>
      <c r="I213" s="17" t="s">
        <v>48</v>
      </c>
      <c r="J213" s="36">
        <v>5000</v>
      </c>
      <c r="K213" s="36">
        <v>2350.44</v>
      </c>
      <c r="L213" s="36">
        <f t="shared" si="15"/>
        <v>-2649.56</v>
      </c>
      <c r="M213" s="37">
        <f t="shared" si="16"/>
        <v>-0.52991199999999994</v>
      </c>
      <c r="N213" s="17" t="str">
        <f t="shared" si="17"/>
        <v>Under Budget</v>
      </c>
      <c r="O213" s="38">
        <f t="shared" si="18"/>
        <v>-2350.44</v>
      </c>
      <c r="P213" s="39">
        <f t="shared" si="19"/>
        <v>45931</v>
      </c>
    </row>
    <row r="214" spans="1:16" ht="15.5" x14ac:dyDescent="0.35">
      <c r="A214" s="17" t="s">
        <v>262</v>
      </c>
      <c r="B214" s="35">
        <v>46093</v>
      </c>
      <c r="C214" s="17" t="s">
        <v>12</v>
      </c>
      <c r="D214" s="17" t="s">
        <v>13</v>
      </c>
      <c r="E214" s="17" t="s">
        <v>74</v>
      </c>
      <c r="F214" s="17" t="s">
        <v>15</v>
      </c>
      <c r="G214" s="17" t="s">
        <v>38</v>
      </c>
      <c r="H214" s="17" t="s">
        <v>2593</v>
      </c>
      <c r="I214" s="17" t="s">
        <v>39</v>
      </c>
      <c r="J214" s="36">
        <v>5000</v>
      </c>
      <c r="K214" s="36">
        <v>5519.48</v>
      </c>
      <c r="L214" s="36">
        <f t="shared" si="15"/>
        <v>519.47999999999956</v>
      </c>
      <c r="M214" s="37">
        <f t="shared" si="16"/>
        <v>0.10389599999999992</v>
      </c>
      <c r="N214" s="17" t="str">
        <f t="shared" si="17"/>
        <v>Over Budget</v>
      </c>
      <c r="O214" s="38">
        <f t="shared" si="18"/>
        <v>-5519.48</v>
      </c>
      <c r="P214" s="39">
        <f t="shared" si="19"/>
        <v>46082</v>
      </c>
    </row>
    <row r="215" spans="1:16" ht="15.5" x14ac:dyDescent="0.35">
      <c r="A215" s="17" t="s">
        <v>263</v>
      </c>
      <c r="B215" s="35">
        <v>46017</v>
      </c>
      <c r="C215" s="17" t="s">
        <v>12</v>
      </c>
      <c r="D215" s="17" t="s">
        <v>2584</v>
      </c>
      <c r="E215" s="17" t="s">
        <v>45</v>
      </c>
      <c r="F215" s="17" t="s">
        <v>28</v>
      </c>
      <c r="G215" s="17" t="s">
        <v>16</v>
      </c>
      <c r="H215" s="17" t="s">
        <v>2595</v>
      </c>
      <c r="I215" s="17" t="s">
        <v>48</v>
      </c>
      <c r="J215" s="36">
        <v>7875</v>
      </c>
      <c r="K215" s="36">
        <v>15859.27</v>
      </c>
      <c r="L215" s="36">
        <f t="shared" si="15"/>
        <v>7984.27</v>
      </c>
      <c r="M215" s="37">
        <f t="shared" si="16"/>
        <v>1.0138755555555556</v>
      </c>
      <c r="N215" s="17" t="str">
        <f t="shared" si="17"/>
        <v>Over Budget</v>
      </c>
      <c r="O215" s="38">
        <f t="shared" si="18"/>
        <v>-15859.27</v>
      </c>
      <c r="P215" s="39">
        <f t="shared" si="19"/>
        <v>45992</v>
      </c>
    </row>
    <row r="216" spans="1:16" ht="15.5" x14ac:dyDescent="0.35">
      <c r="A216" s="17" t="s">
        <v>264</v>
      </c>
      <c r="B216" s="35">
        <v>45991</v>
      </c>
      <c r="C216" s="17" t="s">
        <v>12</v>
      </c>
      <c r="D216" s="17" t="s">
        <v>19</v>
      </c>
      <c r="E216" s="17" t="s">
        <v>65</v>
      </c>
      <c r="F216" s="17" t="s">
        <v>34</v>
      </c>
      <c r="G216" s="17" t="s">
        <v>43</v>
      </c>
      <c r="H216" s="17" t="s">
        <v>60</v>
      </c>
      <c r="I216" s="17" t="s">
        <v>30</v>
      </c>
      <c r="J216" s="36">
        <v>11550</v>
      </c>
      <c r="K216" s="36">
        <v>3230.65</v>
      </c>
      <c r="L216" s="36">
        <f t="shared" si="15"/>
        <v>-8319.35</v>
      </c>
      <c r="M216" s="37">
        <f t="shared" si="16"/>
        <v>-0.72029004329004331</v>
      </c>
      <c r="N216" s="17" t="str">
        <f t="shared" si="17"/>
        <v>Under Budget</v>
      </c>
      <c r="O216" s="38">
        <f t="shared" si="18"/>
        <v>-3230.65</v>
      </c>
      <c r="P216" s="39">
        <f t="shared" si="19"/>
        <v>45962</v>
      </c>
    </row>
    <row r="217" spans="1:16" ht="15.5" x14ac:dyDescent="0.35">
      <c r="A217" s="17" t="s">
        <v>265</v>
      </c>
      <c r="B217" s="35">
        <v>46175</v>
      </c>
      <c r="C217" s="17" t="s">
        <v>25</v>
      </c>
      <c r="D217" s="17" t="s">
        <v>36</v>
      </c>
      <c r="E217" s="17" t="s">
        <v>109</v>
      </c>
      <c r="F217" s="17" t="s">
        <v>52</v>
      </c>
      <c r="G217" s="17" t="s">
        <v>38</v>
      </c>
      <c r="H217" s="17" t="s">
        <v>2597</v>
      </c>
      <c r="I217" s="17" t="s">
        <v>30</v>
      </c>
      <c r="J217" s="36">
        <v>4761.8999999999996</v>
      </c>
      <c r="K217" s="36">
        <v>9173.09</v>
      </c>
      <c r="L217" s="36">
        <f t="shared" si="15"/>
        <v>4411.1900000000005</v>
      </c>
      <c r="M217" s="37">
        <f t="shared" si="16"/>
        <v>0.92635082635082655</v>
      </c>
      <c r="N217" s="17" t="str">
        <f t="shared" si="17"/>
        <v>Over Budget</v>
      </c>
      <c r="O217" s="38">
        <f t="shared" si="18"/>
        <v>9173.09</v>
      </c>
      <c r="P217" s="39">
        <f t="shared" si="19"/>
        <v>46174</v>
      </c>
    </row>
    <row r="218" spans="1:16" ht="15.5" x14ac:dyDescent="0.35">
      <c r="A218" s="17" t="s">
        <v>266</v>
      </c>
      <c r="B218" s="35">
        <v>46067</v>
      </c>
      <c r="C218" s="17" t="s">
        <v>12</v>
      </c>
      <c r="D218" s="17" t="s">
        <v>32</v>
      </c>
      <c r="E218" s="17" t="s">
        <v>74</v>
      </c>
      <c r="F218" s="17" t="s">
        <v>52</v>
      </c>
      <c r="G218" s="17" t="s">
        <v>82</v>
      </c>
      <c r="H218" s="17" t="s">
        <v>2597</v>
      </c>
      <c r="I218" s="17" t="s">
        <v>17</v>
      </c>
      <c r="J218" s="36">
        <v>9700</v>
      </c>
      <c r="K218" s="36">
        <v>4535.78</v>
      </c>
      <c r="L218" s="36">
        <f t="shared" si="15"/>
        <v>-5164.22</v>
      </c>
      <c r="M218" s="37">
        <f t="shared" si="16"/>
        <v>-0.53239381443298972</v>
      </c>
      <c r="N218" s="17" t="str">
        <f t="shared" si="17"/>
        <v>Under Budget</v>
      </c>
      <c r="O218" s="38">
        <f t="shared" si="18"/>
        <v>-4535.78</v>
      </c>
      <c r="P218" s="39">
        <f t="shared" si="19"/>
        <v>46054</v>
      </c>
    </row>
    <row r="219" spans="1:16" ht="15.5" x14ac:dyDescent="0.35">
      <c r="A219" s="17" t="s">
        <v>267</v>
      </c>
      <c r="B219" s="35">
        <v>46059</v>
      </c>
      <c r="C219" s="17" t="s">
        <v>25</v>
      </c>
      <c r="D219" s="17" t="s">
        <v>2585</v>
      </c>
      <c r="E219" s="17" t="s">
        <v>109</v>
      </c>
      <c r="F219" s="17" t="s">
        <v>52</v>
      </c>
      <c r="G219" s="17" t="s">
        <v>38</v>
      </c>
      <c r="H219" s="17" t="s">
        <v>80</v>
      </c>
      <c r="I219" s="17" t="s">
        <v>30</v>
      </c>
      <c r="J219" s="36">
        <v>8083.33</v>
      </c>
      <c r="K219" s="36">
        <v>4799.75</v>
      </c>
      <c r="L219" s="36">
        <f t="shared" si="15"/>
        <v>-3283.58</v>
      </c>
      <c r="M219" s="37">
        <f t="shared" si="16"/>
        <v>-0.40621624998608247</v>
      </c>
      <c r="N219" s="17" t="str">
        <f t="shared" si="17"/>
        <v>Under Budget</v>
      </c>
      <c r="O219" s="38">
        <f t="shared" si="18"/>
        <v>4799.75</v>
      </c>
      <c r="P219" s="39">
        <f t="shared" si="19"/>
        <v>46054</v>
      </c>
    </row>
    <row r="220" spans="1:16" ht="15.5" x14ac:dyDescent="0.35">
      <c r="A220" s="17" t="s">
        <v>268</v>
      </c>
      <c r="B220" s="35">
        <v>45899</v>
      </c>
      <c r="C220" s="17" t="s">
        <v>12</v>
      </c>
      <c r="D220" s="17" t="s">
        <v>2585</v>
      </c>
      <c r="E220" s="17" t="s">
        <v>41</v>
      </c>
      <c r="F220" s="17" t="s">
        <v>28</v>
      </c>
      <c r="G220" s="17" t="s">
        <v>43</v>
      </c>
      <c r="H220" s="17" t="s">
        <v>2591</v>
      </c>
      <c r="I220" s="17" t="s">
        <v>23</v>
      </c>
      <c r="J220" s="36">
        <v>10833.33</v>
      </c>
      <c r="K220" s="36">
        <v>7023.27</v>
      </c>
      <c r="L220" s="36">
        <f t="shared" si="15"/>
        <v>-3810.0599999999995</v>
      </c>
      <c r="M220" s="37">
        <f t="shared" si="16"/>
        <v>-0.3516979543686013</v>
      </c>
      <c r="N220" s="17" t="str">
        <f t="shared" si="17"/>
        <v>Under Budget</v>
      </c>
      <c r="O220" s="38">
        <f t="shared" si="18"/>
        <v>-7023.27</v>
      </c>
      <c r="P220" s="39">
        <f t="shared" si="19"/>
        <v>45870</v>
      </c>
    </row>
    <row r="221" spans="1:16" ht="15.5" x14ac:dyDescent="0.35">
      <c r="A221" s="17" t="s">
        <v>269</v>
      </c>
      <c r="B221" s="35">
        <v>45667</v>
      </c>
      <c r="C221" s="17" t="s">
        <v>12</v>
      </c>
      <c r="D221" s="17" t="s">
        <v>2585</v>
      </c>
      <c r="E221" s="17" t="s">
        <v>65</v>
      </c>
      <c r="F221" s="17" t="s">
        <v>15</v>
      </c>
      <c r="G221" s="17" t="s">
        <v>82</v>
      </c>
      <c r="H221" s="17" t="s">
        <v>80</v>
      </c>
      <c r="I221" s="17" t="s">
        <v>30</v>
      </c>
      <c r="J221" s="36">
        <v>3810.71</v>
      </c>
      <c r="K221" s="36">
        <v>1526.94</v>
      </c>
      <c r="L221" s="36">
        <f t="shared" si="15"/>
        <v>-2283.77</v>
      </c>
      <c r="M221" s="37">
        <f t="shared" si="16"/>
        <v>-0.59930301702307442</v>
      </c>
      <c r="N221" s="17" t="str">
        <f t="shared" si="17"/>
        <v>Under Budget</v>
      </c>
      <c r="O221" s="38">
        <f t="shared" si="18"/>
        <v>-1526.94</v>
      </c>
      <c r="P221" s="39">
        <f t="shared" si="19"/>
        <v>45658</v>
      </c>
    </row>
    <row r="222" spans="1:16" ht="15.5" x14ac:dyDescent="0.35">
      <c r="A222" s="17" t="s">
        <v>270</v>
      </c>
      <c r="B222" s="35">
        <v>46109</v>
      </c>
      <c r="C222" s="17" t="s">
        <v>25</v>
      </c>
      <c r="D222" s="17" t="s">
        <v>32</v>
      </c>
      <c r="E222" s="17" t="s">
        <v>33</v>
      </c>
      <c r="F222" s="17" t="s">
        <v>52</v>
      </c>
      <c r="G222" s="17" t="s">
        <v>29</v>
      </c>
      <c r="H222" s="17" t="s">
        <v>2589</v>
      </c>
      <c r="I222" s="17" t="s">
        <v>23</v>
      </c>
      <c r="J222" s="36">
        <v>11363.64</v>
      </c>
      <c r="K222" s="36">
        <v>3354.72</v>
      </c>
      <c r="L222" s="36">
        <f t="shared" si="15"/>
        <v>-8008.92</v>
      </c>
      <c r="M222" s="37">
        <f t="shared" si="16"/>
        <v>-0.70478473446888501</v>
      </c>
      <c r="N222" s="17" t="str">
        <f t="shared" si="17"/>
        <v>Under Budget</v>
      </c>
      <c r="O222" s="38">
        <f t="shared" si="18"/>
        <v>3354.72</v>
      </c>
      <c r="P222" s="39">
        <f t="shared" si="19"/>
        <v>46082</v>
      </c>
    </row>
    <row r="223" spans="1:16" ht="15.5" x14ac:dyDescent="0.35">
      <c r="A223" s="17" t="s">
        <v>271</v>
      </c>
      <c r="B223" s="35">
        <v>45674</v>
      </c>
      <c r="C223" s="17" t="s">
        <v>12</v>
      </c>
      <c r="D223" s="17" t="s">
        <v>19</v>
      </c>
      <c r="E223" s="17" t="s">
        <v>47</v>
      </c>
      <c r="F223" s="17" t="s">
        <v>15</v>
      </c>
      <c r="G223" s="17" t="s">
        <v>43</v>
      </c>
      <c r="H223" s="17" t="s">
        <v>2587</v>
      </c>
      <c r="I223" s="17" t="s">
        <v>48</v>
      </c>
      <c r="J223" s="36">
        <v>5658.33</v>
      </c>
      <c r="K223" s="36">
        <v>3191.47</v>
      </c>
      <c r="L223" s="36">
        <f t="shared" si="15"/>
        <v>-2466.86</v>
      </c>
      <c r="M223" s="37">
        <f t="shared" si="16"/>
        <v>-0.43596962354617003</v>
      </c>
      <c r="N223" s="17" t="str">
        <f t="shared" si="17"/>
        <v>Under Budget</v>
      </c>
      <c r="O223" s="38">
        <f t="shared" si="18"/>
        <v>-3191.47</v>
      </c>
      <c r="P223" s="39">
        <f t="shared" si="19"/>
        <v>45658</v>
      </c>
    </row>
    <row r="224" spans="1:16" ht="15.5" x14ac:dyDescent="0.35">
      <c r="A224" s="17" t="s">
        <v>272</v>
      </c>
      <c r="B224" s="35">
        <v>46170</v>
      </c>
      <c r="C224" s="17" t="s">
        <v>12</v>
      </c>
      <c r="D224" s="17" t="s">
        <v>2584</v>
      </c>
      <c r="E224" s="17" t="s">
        <v>65</v>
      </c>
      <c r="F224" s="17" t="s">
        <v>21</v>
      </c>
      <c r="G224" s="17" t="s">
        <v>38</v>
      </c>
      <c r="H224" s="17" t="s">
        <v>2591</v>
      </c>
      <c r="I224" s="17" t="s">
        <v>23</v>
      </c>
      <c r="J224" s="36">
        <v>7857.14</v>
      </c>
      <c r="K224" s="36">
        <v>1776.51</v>
      </c>
      <c r="L224" s="36">
        <f t="shared" si="15"/>
        <v>-6080.63</v>
      </c>
      <c r="M224" s="37">
        <f t="shared" si="16"/>
        <v>-0.7738986450540527</v>
      </c>
      <c r="N224" s="17" t="str">
        <f t="shared" si="17"/>
        <v>Under Budget</v>
      </c>
      <c r="O224" s="38">
        <f t="shared" si="18"/>
        <v>-1776.51</v>
      </c>
      <c r="P224" s="39">
        <f t="shared" si="19"/>
        <v>46143</v>
      </c>
    </row>
    <row r="225" spans="1:16" ht="15.5" x14ac:dyDescent="0.35">
      <c r="A225" s="17" t="s">
        <v>273</v>
      </c>
      <c r="B225" s="35">
        <v>46070</v>
      </c>
      <c r="C225" s="17" t="s">
        <v>12</v>
      </c>
      <c r="D225" s="17" t="s">
        <v>13</v>
      </c>
      <c r="E225" s="17" t="s">
        <v>65</v>
      </c>
      <c r="F225" s="17" t="s">
        <v>52</v>
      </c>
      <c r="G225" s="17" t="s">
        <v>16</v>
      </c>
      <c r="H225" s="17" t="s">
        <v>2598</v>
      </c>
      <c r="I225" s="17" t="s">
        <v>48</v>
      </c>
      <c r="J225" s="36">
        <v>4850</v>
      </c>
      <c r="K225" s="36">
        <v>7750.76</v>
      </c>
      <c r="L225" s="36">
        <f t="shared" si="15"/>
        <v>2900.76</v>
      </c>
      <c r="M225" s="37">
        <f t="shared" si="16"/>
        <v>0.5980948453608248</v>
      </c>
      <c r="N225" s="17" t="str">
        <f t="shared" si="17"/>
        <v>Over Budget</v>
      </c>
      <c r="O225" s="38">
        <f t="shared" si="18"/>
        <v>-7750.76</v>
      </c>
      <c r="P225" s="39">
        <f t="shared" si="19"/>
        <v>46054</v>
      </c>
    </row>
    <row r="226" spans="1:16" ht="15.5" x14ac:dyDescent="0.35">
      <c r="A226" s="17" t="s">
        <v>274</v>
      </c>
      <c r="B226" s="35">
        <v>46068</v>
      </c>
      <c r="C226" s="17" t="s">
        <v>12</v>
      </c>
      <c r="D226" s="17" t="s">
        <v>26</v>
      </c>
      <c r="E226" s="17" t="s">
        <v>14</v>
      </c>
      <c r="F226" s="17" t="s">
        <v>28</v>
      </c>
      <c r="G226" s="17" t="s">
        <v>22</v>
      </c>
      <c r="H226" s="17" t="s">
        <v>2598</v>
      </c>
      <c r="I226" s="17" t="s">
        <v>39</v>
      </c>
      <c r="J226" s="36">
        <v>5173.33</v>
      </c>
      <c r="K226" s="36">
        <v>4046.51</v>
      </c>
      <c r="L226" s="36">
        <f t="shared" si="15"/>
        <v>-1126.8199999999997</v>
      </c>
      <c r="M226" s="37">
        <f t="shared" si="16"/>
        <v>-0.21781328467350811</v>
      </c>
      <c r="N226" s="17" t="str">
        <f t="shared" si="17"/>
        <v>Under Budget</v>
      </c>
      <c r="O226" s="38">
        <f t="shared" si="18"/>
        <v>-4046.51</v>
      </c>
      <c r="P226" s="39">
        <f t="shared" si="19"/>
        <v>46054</v>
      </c>
    </row>
    <row r="227" spans="1:16" ht="15.5" x14ac:dyDescent="0.35">
      <c r="A227" s="17" t="s">
        <v>275</v>
      </c>
      <c r="B227" s="35">
        <v>45901</v>
      </c>
      <c r="C227" s="17" t="s">
        <v>12</v>
      </c>
      <c r="D227" s="17" t="s">
        <v>13</v>
      </c>
      <c r="E227" s="17" t="s">
        <v>45</v>
      </c>
      <c r="F227" s="17" t="s">
        <v>34</v>
      </c>
      <c r="G227" s="17" t="s">
        <v>38</v>
      </c>
      <c r="H227" s="17" t="s">
        <v>2592</v>
      </c>
      <c r="I227" s="17" t="s">
        <v>48</v>
      </c>
      <c r="J227" s="36">
        <v>7500</v>
      </c>
      <c r="K227" s="36">
        <v>12405.71</v>
      </c>
      <c r="L227" s="36">
        <f t="shared" si="15"/>
        <v>4905.7099999999991</v>
      </c>
      <c r="M227" s="37">
        <f t="shared" si="16"/>
        <v>0.6540946666666666</v>
      </c>
      <c r="N227" s="17" t="str">
        <f t="shared" si="17"/>
        <v>Over Budget</v>
      </c>
      <c r="O227" s="38">
        <f t="shared" si="18"/>
        <v>-12405.71</v>
      </c>
      <c r="P227" s="39">
        <f t="shared" si="19"/>
        <v>45901</v>
      </c>
    </row>
    <row r="228" spans="1:16" ht="15.5" x14ac:dyDescent="0.35">
      <c r="A228" s="17" t="s">
        <v>276</v>
      </c>
      <c r="B228" s="35">
        <v>45686</v>
      </c>
      <c r="C228" s="17" t="s">
        <v>25</v>
      </c>
      <c r="D228" s="17" t="s">
        <v>32</v>
      </c>
      <c r="E228" s="17" t="s">
        <v>33</v>
      </c>
      <c r="F228" s="17" t="s">
        <v>52</v>
      </c>
      <c r="G228" s="17" t="s">
        <v>16</v>
      </c>
      <c r="H228" s="17" t="s">
        <v>2590</v>
      </c>
      <c r="I228" s="17" t="s">
        <v>39</v>
      </c>
      <c r="J228" s="36">
        <v>11022.73</v>
      </c>
      <c r="K228" s="36">
        <v>18675.5</v>
      </c>
      <c r="L228" s="36">
        <f t="shared" si="15"/>
        <v>7652.77</v>
      </c>
      <c r="M228" s="37">
        <f t="shared" si="16"/>
        <v>0.69427174574719697</v>
      </c>
      <c r="N228" s="17" t="str">
        <f t="shared" si="17"/>
        <v>Over Budget</v>
      </c>
      <c r="O228" s="38">
        <f t="shared" si="18"/>
        <v>18675.5</v>
      </c>
      <c r="P228" s="39">
        <f t="shared" si="19"/>
        <v>45658</v>
      </c>
    </row>
    <row r="229" spans="1:16" ht="15.5" x14ac:dyDescent="0.35">
      <c r="A229" s="17" t="s">
        <v>277</v>
      </c>
      <c r="B229" s="35">
        <v>45678</v>
      </c>
      <c r="C229" s="17" t="s">
        <v>12</v>
      </c>
      <c r="D229" s="17" t="s">
        <v>2585</v>
      </c>
      <c r="E229" s="17" t="s">
        <v>37</v>
      </c>
      <c r="F229" s="17" t="s">
        <v>34</v>
      </c>
      <c r="G229" s="17" t="s">
        <v>22</v>
      </c>
      <c r="H229" s="17" t="s">
        <v>2586</v>
      </c>
      <c r="I229" s="17" t="s">
        <v>39</v>
      </c>
      <c r="J229" s="36">
        <v>13580</v>
      </c>
      <c r="K229" s="36">
        <v>3253.66</v>
      </c>
      <c r="L229" s="36">
        <f t="shared" si="15"/>
        <v>-10326.34</v>
      </c>
      <c r="M229" s="37">
        <f t="shared" si="16"/>
        <v>-0.76040795287187046</v>
      </c>
      <c r="N229" s="17" t="str">
        <f t="shared" si="17"/>
        <v>Under Budget</v>
      </c>
      <c r="O229" s="38">
        <f t="shared" si="18"/>
        <v>-3253.66</v>
      </c>
      <c r="P229" s="39">
        <f t="shared" si="19"/>
        <v>45658</v>
      </c>
    </row>
    <row r="230" spans="1:16" ht="15.5" x14ac:dyDescent="0.35">
      <c r="A230" s="17" t="s">
        <v>278</v>
      </c>
      <c r="B230" s="35">
        <v>46203</v>
      </c>
      <c r="C230" s="17" t="s">
        <v>25</v>
      </c>
      <c r="D230" s="17" t="s">
        <v>36</v>
      </c>
      <c r="E230" s="17" t="s">
        <v>109</v>
      </c>
      <c r="F230" s="17" t="s">
        <v>34</v>
      </c>
      <c r="G230" s="17" t="s">
        <v>22</v>
      </c>
      <c r="H230" s="17" t="s">
        <v>2586</v>
      </c>
      <c r="I230" s="17" t="s">
        <v>30</v>
      </c>
      <c r="J230" s="36">
        <v>4761.8999999999996</v>
      </c>
      <c r="K230" s="36">
        <v>16629.490000000002</v>
      </c>
      <c r="L230" s="36">
        <f t="shared" si="15"/>
        <v>11867.590000000002</v>
      </c>
      <c r="M230" s="37">
        <f t="shared" si="16"/>
        <v>2.492196392196393</v>
      </c>
      <c r="N230" s="17" t="str">
        <f t="shared" si="17"/>
        <v>Over Budget</v>
      </c>
      <c r="O230" s="38">
        <f t="shared" si="18"/>
        <v>16629.490000000002</v>
      </c>
      <c r="P230" s="39">
        <f t="shared" si="19"/>
        <v>46174</v>
      </c>
    </row>
    <row r="231" spans="1:16" ht="15.5" x14ac:dyDescent="0.35">
      <c r="A231" s="17" t="s">
        <v>279</v>
      </c>
      <c r="B231" s="35">
        <v>45938</v>
      </c>
      <c r="C231" s="17" t="s">
        <v>25</v>
      </c>
      <c r="D231" s="17" t="s">
        <v>32</v>
      </c>
      <c r="E231" s="17" t="s">
        <v>33</v>
      </c>
      <c r="F231" s="17" t="s">
        <v>28</v>
      </c>
      <c r="G231" s="17" t="s">
        <v>16</v>
      </c>
      <c r="H231" s="17" t="s">
        <v>2590</v>
      </c>
      <c r="I231" s="17" t="s">
        <v>17</v>
      </c>
      <c r="J231" s="36">
        <v>8928.57</v>
      </c>
      <c r="K231" s="36">
        <v>413.98</v>
      </c>
      <c r="L231" s="36">
        <f t="shared" si="15"/>
        <v>-8514.59</v>
      </c>
      <c r="M231" s="37">
        <f t="shared" si="16"/>
        <v>-0.95363423258147728</v>
      </c>
      <c r="N231" s="17" t="str">
        <f t="shared" si="17"/>
        <v>Under Budget</v>
      </c>
      <c r="O231" s="38">
        <f t="shared" si="18"/>
        <v>413.98</v>
      </c>
      <c r="P231" s="39">
        <f t="shared" si="19"/>
        <v>45931</v>
      </c>
    </row>
    <row r="232" spans="1:16" ht="15.5" x14ac:dyDescent="0.35">
      <c r="A232" s="17" t="s">
        <v>280</v>
      </c>
      <c r="B232" s="35">
        <v>46045</v>
      </c>
      <c r="C232" s="17" t="s">
        <v>12</v>
      </c>
      <c r="D232" s="17" t="s">
        <v>19</v>
      </c>
      <c r="E232" s="17" t="s">
        <v>45</v>
      </c>
      <c r="F232" s="17" t="s">
        <v>34</v>
      </c>
      <c r="G232" s="17" t="s">
        <v>38</v>
      </c>
      <c r="H232" s="17" t="s">
        <v>2597</v>
      </c>
      <c r="I232" s="17" t="s">
        <v>39</v>
      </c>
      <c r="J232" s="36">
        <v>6715.38</v>
      </c>
      <c r="K232" s="36">
        <v>3678.68</v>
      </c>
      <c r="L232" s="36">
        <f t="shared" si="15"/>
        <v>-3036.7000000000003</v>
      </c>
      <c r="M232" s="37">
        <f t="shared" si="16"/>
        <v>-0.45220076898105543</v>
      </c>
      <c r="N232" s="17" t="str">
        <f t="shared" si="17"/>
        <v>Under Budget</v>
      </c>
      <c r="O232" s="38">
        <f t="shared" si="18"/>
        <v>-3678.68</v>
      </c>
      <c r="P232" s="39">
        <f t="shared" si="19"/>
        <v>46023</v>
      </c>
    </row>
    <row r="233" spans="1:16" ht="15.5" x14ac:dyDescent="0.35">
      <c r="A233" s="17" t="s">
        <v>281</v>
      </c>
      <c r="B233" s="35">
        <v>45826</v>
      </c>
      <c r="C233" s="17" t="s">
        <v>12</v>
      </c>
      <c r="D233" s="17" t="s">
        <v>19</v>
      </c>
      <c r="E233" s="17" t="s">
        <v>45</v>
      </c>
      <c r="F233" s="17" t="s">
        <v>21</v>
      </c>
      <c r="G233" s="17" t="s">
        <v>82</v>
      </c>
      <c r="H233" s="17" t="s">
        <v>2590</v>
      </c>
      <c r="I233" s="17" t="s">
        <v>30</v>
      </c>
      <c r="J233" s="36">
        <v>6428.57</v>
      </c>
      <c r="K233" s="36">
        <v>9403.61</v>
      </c>
      <c r="L233" s="36">
        <f t="shared" si="15"/>
        <v>2975.0400000000009</v>
      </c>
      <c r="M233" s="37">
        <f t="shared" si="16"/>
        <v>0.46278410284091193</v>
      </c>
      <c r="N233" s="17" t="str">
        <f t="shared" si="17"/>
        <v>Over Budget</v>
      </c>
      <c r="O233" s="38">
        <f t="shared" si="18"/>
        <v>-9403.61</v>
      </c>
      <c r="P233" s="39">
        <f t="shared" si="19"/>
        <v>45809</v>
      </c>
    </row>
    <row r="234" spans="1:16" ht="15.5" x14ac:dyDescent="0.35">
      <c r="A234" s="17" t="s">
        <v>282</v>
      </c>
      <c r="B234" s="35">
        <v>46098</v>
      </c>
      <c r="C234" s="17" t="s">
        <v>25</v>
      </c>
      <c r="D234" s="17" t="s">
        <v>32</v>
      </c>
      <c r="E234" s="17" t="s">
        <v>33</v>
      </c>
      <c r="F234" s="17" t="s">
        <v>15</v>
      </c>
      <c r="G234" s="17" t="s">
        <v>29</v>
      </c>
      <c r="H234" s="17" t="s">
        <v>2598</v>
      </c>
      <c r="I234" s="17" t="s">
        <v>48</v>
      </c>
      <c r="J234" s="36">
        <v>11363.64</v>
      </c>
      <c r="K234" s="36">
        <v>14728.14</v>
      </c>
      <c r="L234" s="36">
        <f t="shared" si="15"/>
        <v>3364.5</v>
      </c>
      <c r="M234" s="37">
        <f t="shared" si="16"/>
        <v>0.29607590525571031</v>
      </c>
      <c r="N234" s="17" t="str">
        <f t="shared" si="17"/>
        <v>Over Budget</v>
      </c>
      <c r="O234" s="38">
        <f t="shared" si="18"/>
        <v>14728.14</v>
      </c>
      <c r="P234" s="39">
        <f t="shared" si="19"/>
        <v>46082</v>
      </c>
    </row>
    <row r="235" spans="1:16" ht="15.5" x14ac:dyDescent="0.35">
      <c r="A235" s="17" t="s">
        <v>283</v>
      </c>
      <c r="B235" s="35">
        <v>45844</v>
      </c>
      <c r="C235" s="17" t="s">
        <v>12</v>
      </c>
      <c r="D235" s="17" t="s">
        <v>26</v>
      </c>
      <c r="E235" s="17" t="s">
        <v>74</v>
      </c>
      <c r="F235" s="17" t="s">
        <v>21</v>
      </c>
      <c r="G235" s="17" t="s">
        <v>38</v>
      </c>
      <c r="H235" s="17" t="s">
        <v>2592</v>
      </c>
      <c r="I235" s="17" t="s">
        <v>48</v>
      </c>
      <c r="J235" s="36">
        <v>3333.33</v>
      </c>
      <c r="K235" s="36">
        <v>3241.97</v>
      </c>
      <c r="L235" s="36">
        <f t="shared" si="15"/>
        <v>-91.360000000000127</v>
      </c>
      <c r="M235" s="37">
        <f t="shared" si="16"/>
        <v>-2.7408027408027447E-2</v>
      </c>
      <c r="N235" s="17" t="str">
        <f t="shared" si="17"/>
        <v>Under Budget</v>
      </c>
      <c r="O235" s="38">
        <f t="shared" si="18"/>
        <v>-3241.97</v>
      </c>
      <c r="P235" s="39">
        <f t="shared" si="19"/>
        <v>45839</v>
      </c>
    </row>
    <row r="236" spans="1:16" ht="15.5" x14ac:dyDescent="0.35">
      <c r="A236" s="17" t="s">
        <v>284</v>
      </c>
      <c r="B236" s="35">
        <v>45789</v>
      </c>
      <c r="C236" s="17" t="s">
        <v>12</v>
      </c>
      <c r="D236" s="17" t="s">
        <v>19</v>
      </c>
      <c r="E236" s="17" t="s">
        <v>14</v>
      </c>
      <c r="F236" s="17" t="s">
        <v>28</v>
      </c>
      <c r="G236" s="17" t="s">
        <v>22</v>
      </c>
      <c r="H236" s="17" t="s">
        <v>60</v>
      </c>
      <c r="I236" s="17" t="s">
        <v>39</v>
      </c>
      <c r="J236" s="36">
        <v>2909.09</v>
      </c>
      <c r="K236" s="36">
        <v>1993.54</v>
      </c>
      <c r="L236" s="36">
        <f t="shared" si="15"/>
        <v>-915.55000000000018</v>
      </c>
      <c r="M236" s="37">
        <f t="shared" si="16"/>
        <v>-0.31472041085012842</v>
      </c>
      <c r="N236" s="17" t="str">
        <f t="shared" si="17"/>
        <v>Under Budget</v>
      </c>
      <c r="O236" s="38">
        <f t="shared" si="18"/>
        <v>-1993.54</v>
      </c>
      <c r="P236" s="39">
        <f t="shared" si="19"/>
        <v>45778</v>
      </c>
    </row>
    <row r="237" spans="1:16" ht="15.5" x14ac:dyDescent="0.35">
      <c r="A237" s="17" t="s">
        <v>285</v>
      </c>
      <c r="B237" s="35">
        <v>45753</v>
      </c>
      <c r="C237" s="17" t="s">
        <v>12</v>
      </c>
      <c r="D237" s="17" t="s">
        <v>13</v>
      </c>
      <c r="E237" s="17" t="s">
        <v>20</v>
      </c>
      <c r="F237" s="17" t="s">
        <v>28</v>
      </c>
      <c r="G237" s="17" t="s">
        <v>38</v>
      </c>
      <c r="H237" s="17" t="s">
        <v>2595</v>
      </c>
      <c r="I237" s="17" t="s">
        <v>23</v>
      </c>
      <c r="J237" s="36">
        <v>2250</v>
      </c>
      <c r="K237" s="36">
        <v>633.71</v>
      </c>
      <c r="L237" s="36">
        <f t="shared" si="15"/>
        <v>-1616.29</v>
      </c>
      <c r="M237" s="37">
        <f t="shared" si="16"/>
        <v>-0.71835111111111105</v>
      </c>
      <c r="N237" s="17" t="str">
        <f t="shared" si="17"/>
        <v>Under Budget</v>
      </c>
      <c r="O237" s="38">
        <f t="shared" si="18"/>
        <v>-633.71</v>
      </c>
      <c r="P237" s="39">
        <f t="shared" si="19"/>
        <v>45748</v>
      </c>
    </row>
    <row r="238" spans="1:16" ht="15.5" x14ac:dyDescent="0.35">
      <c r="A238" s="17" t="s">
        <v>286</v>
      </c>
      <c r="B238" s="35">
        <v>45948</v>
      </c>
      <c r="C238" s="17" t="s">
        <v>12</v>
      </c>
      <c r="D238" s="17" t="s">
        <v>19</v>
      </c>
      <c r="E238" s="17" t="s">
        <v>45</v>
      </c>
      <c r="F238" s="17" t="s">
        <v>52</v>
      </c>
      <c r="G238" s="17" t="s">
        <v>38</v>
      </c>
      <c r="H238" s="17" t="s">
        <v>2596</v>
      </c>
      <c r="I238" s="17" t="s">
        <v>23</v>
      </c>
      <c r="J238" s="36">
        <v>7826.09</v>
      </c>
      <c r="K238" s="36">
        <v>10328.48</v>
      </c>
      <c r="L238" s="36">
        <f t="shared" si="15"/>
        <v>2502.3899999999994</v>
      </c>
      <c r="M238" s="37">
        <f t="shared" si="16"/>
        <v>0.31974970898622418</v>
      </c>
      <c r="N238" s="17" t="str">
        <f t="shared" si="17"/>
        <v>Over Budget</v>
      </c>
      <c r="O238" s="38">
        <f t="shared" si="18"/>
        <v>-10328.48</v>
      </c>
      <c r="P238" s="39">
        <f t="shared" si="19"/>
        <v>45931</v>
      </c>
    </row>
    <row r="239" spans="1:16" ht="15.5" x14ac:dyDescent="0.35">
      <c r="A239" s="17" t="s">
        <v>287</v>
      </c>
      <c r="B239" s="35">
        <v>45797</v>
      </c>
      <c r="C239" s="17" t="s">
        <v>25</v>
      </c>
      <c r="D239" s="17" t="s">
        <v>32</v>
      </c>
      <c r="E239" s="17" t="s">
        <v>33</v>
      </c>
      <c r="F239" s="17" t="s">
        <v>52</v>
      </c>
      <c r="G239" s="17" t="s">
        <v>82</v>
      </c>
      <c r="H239" s="17" t="s">
        <v>2592</v>
      </c>
      <c r="I239" s="17" t="s">
        <v>23</v>
      </c>
      <c r="J239" s="36">
        <v>9615.3799999999992</v>
      </c>
      <c r="K239" s="36">
        <v>14710.49</v>
      </c>
      <c r="L239" s="36">
        <f t="shared" si="15"/>
        <v>5095.1100000000006</v>
      </c>
      <c r="M239" s="37">
        <f t="shared" si="16"/>
        <v>0.52989169434801342</v>
      </c>
      <c r="N239" s="17" t="str">
        <f t="shared" si="17"/>
        <v>Over Budget</v>
      </c>
      <c r="O239" s="38">
        <f t="shared" si="18"/>
        <v>14710.49</v>
      </c>
      <c r="P239" s="39">
        <f t="shared" si="19"/>
        <v>45778</v>
      </c>
    </row>
    <row r="240" spans="1:16" ht="15.5" x14ac:dyDescent="0.35">
      <c r="A240" s="17" t="s">
        <v>288</v>
      </c>
      <c r="B240" s="35">
        <v>45941</v>
      </c>
      <c r="C240" s="17" t="s">
        <v>12</v>
      </c>
      <c r="D240" s="17" t="s">
        <v>36</v>
      </c>
      <c r="E240" s="17" t="s">
        <v>37</v>
      </c>
      <c r="F240" s="17" t="s">
        <v>15</v>
      </c>
      <c r="G240" s="17" t="s">
        <v>38</v>
      </c>
      <c r="H240" s="17" t="s">
        <v>2592</v>
      </c>
      <c r="I240" s="17" t="s">
        <v>23</v>
      </c>
      <c r="J240" s="36">
        <v>3500</v>
      </c>
      <c r="K240" s="36">
        <v>2825.41</v>
      </c>
      <c r="L240" s="36">
        <f t="shared" si="15"/>
        <v>-674.59000000000015</v>
      </c>
      <c r="M240" s="37">
        <f t="shared" si="16"/>
        <v>-0.19274000000000005</v>
      </c>
      <c r="N240" s="17" t="str">
        <f t="shared" si="17"/>
        <v>Under Budget</v>
      </c>
      <c r="O240" s="38">
        <f t="shared" si="18"/>
        <v>-2825.41</v>
      </c>
      <c r="P240" s="39">
        <f t="shared" si="19"/>
        <v>45931</v>
      </c>
    </row>
    <row r="241" spans="1:16" ht="15.5" x14ac:dyDescent="0.35">
      <c r="A241" s="17" t="s">
        <v>289</v>
      </c>
      <c r="B241" s="35">
        <v>45982</v>
      </c>
      <c r="C241" s="17" t="s">
        <v>12</v>
      </c>
      <c r="D241" s="17" t="s">
        <v>26</v>
      </c>
      <c r="E241" s="17" t="s">
        <v>45</v>
      </c>
      <c r="F241" s="17" t="s">
        <v>21</v>
      </c>
      <c r="G241" s="17" t="s">
        <v>22</v>
      </c>
      <c r="H241" s="17" t="s">
        <v>80</v>
      </c>
      <c r="I241" s="17" t="s">
        <v>30</v>
      </c>
      <c r="J241" s="36">
        <v>9947.3700000000008</v>
      </c>
      <c r="K241" s="36">
        <v>12151.76</v>
      </c>
      <c r="L241" s="36">
        <f t="shared" si="15"/>
        <v>2204.3899999999994</v>
      </c>
      <c r="M241" s="37">
        <f t="shared" si="16"/>
        <v>0.221605308739898</v>
      </c>
      <c r="N241" s="17" t="str">
        <f t="shared" si="17"/>
        <v>Over Budget</v>
      </c>
      <c r="O241" s="38">
        <f t="shared" si="18"/>
        <v>-12151.76</v>
      </c>
      <c r="P241" s="39">
        <f t="shared" si="19"/>
        <v>45962</v>
      </c>
    </row>
    <row r="242" spans="1:16" ht="15.5" x14ac:dyDescent="0.35">
      <c r="A242" s="17" t="s">
        <v>290</v>
      </c>
      <c r="B242" s="35">
        <v>46133</v>
      </c>
      <c r="C242" s="17" t="s">
        <v>25</v>
      </c>
      <c r="D242" s="17" t="s">
        <v>32</v>
      </c>
      <c r="E242" s="17" t="s">
        <v>33</v>
      </c>
      <c r="F242" s="17" t="s">
        <v>52</v>
      </c>
      <c r="G242" s="17" t="s">
        <v>38</v>
      </c>
      <c r="H242" s="17" t="s">
        <v>2595</v>
      </c>
      <c r="I242" s="17" t="s">
        <v>17</v>
      </c>
      <c r="J242" s="36">
        <v>8333.33</v>
      </c>
      <c r="K242" s="36">
        <v>5920.63</v>
      </c>
      <c r="L242" s="36">
        <f t="shared" si="15"/>
        <v>-2412.6999999999998</v>
      </c>
      <c r="M242" s="37">
        <f t="shared" si="16"/>
        <v>-0.28952411580964632</v>
      </c>
      <c r="N242" s="17" t="str">
        <f t="shared" si="17"/>
        <v>Under Budget</v>
      </c>
      <c r="O242" s="38">
        <f t="shared" si="18"/>
        <v>5920.63</v>
      </c>
      <c r="P242" s="39">
        <f t="shared" si="19"/>
        <v>46113</v>
      </c>
    </row>
    <row r="243" spans="1:16" ht="15.5" x14ac:dyDescent="0.35">
      <c r="A243" s="17" t="s">
        <v>291</v>
      </c>
      <c r="B243" s="35">
        <v>45854</v>
      </c>
      <c r="C243" s="17" t="s">
        <v>12</v>
      </c>
      <c r="D243" s="17" t="s">
        <v>2585</v>
      </c>
      <c r="E243" s="17" t="s">
        <v>77</v>
      </c>
      <c r="F243" s="17" t="s">
        <v>21</v>
      </c>
      <c r="G243" s="17" t="s">
        <v>43</v>
      </c>
      <c r="H243" s="17" t="s">
        <v>2597</v>
      </c>
      <c r="I243" s="17" t="s">
        <v>23</v>
      </c>
      <c r="J243" s="36">
        <v>2750</v>
      </c>
      <c r="K243" s="36">
        <v>3151.26</v>
      </c>
      <c r="L243" s="36">
        <f t="shared" si="15"/>
        <v>401.26000000000022</v>
      </c>
      <c r="M243" s="37">
        <f t="shared" si="16"/>
        <v>0.14591272727272736</v>
      </c>
      <c r="N243" s="17" t="str">
        <f t="shared" si="17"/>
        <v>Over Budget</v>
      </c>
      <c r="O243" s="38">
        <f t="shared" si="18"/>
        <v>-3151.26</v>
      </c>
      <c r="P243" s="39">
        <f t="shared" si="19"/>
        <v>45839</v>
      </c>
    </row>
    <row r="244" spans="1:16" ht="15.5" x14ac:dyDescent="0.35">
      <c r="A244" s="17" t="s">
        <v>292</v>
      </c>
      <c r="B244" s="35">
        <v>46130</v>
      </c>
      <c r="C244" s="17" t="s">
        <v>12</v>
      </c>
      <c r="D244" s="17" t="s">
        <v>32</v>
      </c>
      <c r="E244" s="17" t="s">
        <v>45</v>
      </c>
      <c r="F244" s="17" t="s">
        <v>28</v>
      </c>
      <c r="G244" s="17" t="s">
        <v>38</v>
      </c>
      <c r="H244" s="17" t="s">
        <v>2595</v>
      </c>
      <c r="I244" s="17" t="s">
        <v>23</v>
      </c>
      <c r="J244" s="36">
        <v>8571.43</v>
      </c>
      <c r="K244" s="36">
        <v>4645.75</v>
      </c>
      <c r="L244" s="36">
        <f t="shared" si="15"/>
        <v>-3925.6800000000003</v>
      </c>
      <c r="M244" s="37">
        <f t="shared" si="16"/>
        <v>-0.45799592366734609</v>
      </c>
      <c r="N244" s="17" t="str">
        <f t="shared" si="17"/>
        <v>Under Budget</v>
      </c>
      <c r="O244" s="38">
        <f t="shared" si="18"/>
        <v>-4645.75</v>
      </c>
      <c r="P244" s="39">
        <f t="shared" si="19"/>
        <v>46113</v>
      </c>
    </row>
    <row r="245" spans="1:16" ht="15.5" x14ac:dyDescent="0.35">
      <c r="A245" s="17" t="s">
        <v>293</v>
      </c>
      <c r="B245" s="35">
        <v>45734</v>
      </c>
      <c r="C245" s="17" t="s">
        <v>12</v>
      </c>
      <c r="D245" s="17" t="s">
        <v>19</v>
      </c>
      <c r="E245" s="17" t="s">
        <v>45</v>
      </c>
      <c r="F245" s="17" t="s">
        <v>15</v>
      </c>
      <c r="G245" s="17" t="s">
        <v>29</v>
      </c>
      <c r="H245" s="17" t="s">
        <v>2596</v>
      </c>
      <c r="I245" s="17" t="s">
        <v>23</v>
      </c>
      <c r="J245" s="36">
        <v>6000</v>
      </c>
      <c r="K245" s="36">
        <v>1107.21</v>
      </c>
      <c r="L245" s="36">
        <f t="shared" si="15"/>
        <v>-4892.79</v>
      </c>
      <c r="M245" s="37">
        <f t="shared" si="16"/>
        <v>-0.815465</v>
      </c>
      <c r="N245" s="17" t="str">
        <f t="shared" si="17"/>
        <v>Under Budget</v>
      </c>
      <c r="O245" s="38">
        <f t="shared" si="18"/>
        <v>-1107.21</v>
      </c>
      <c r="P245" s="39">
        <f t="shared" si="19"/>
        <v>45717</v>
      </c>
    </row>
    <row r="246" spans="1:16" ht="15.5" x14ac:dyDescent="0.35">
      <c r="A246" s="17" t="s">
        <v>294</v>
      </c>
      <c r="B246" s="35">
        <v>46134</v>
      </c>
      <c r="C246" s="17" t="s">
        <v>12</v>
      </c>
      <c r="D246" s="17" t="s">
        <v>19</v>
      </c>
      <c r="E246" s="17" t="s">
        <v>14</v>
      </c>
      <c r="F246" s="17" t="s">
        <v>52</v>
      </c>
      <c r="G246" s="17" t="s">
        <v>82</v>
      </c>
      <c r="H246" s="17" t="s">
        <v>2586</v>
      </c>
      <c r="I246" s="17" t="s">
        <v>39</v>
      </c>
      <c r="J246" s="36">
        <v>5333.33</v>
      </c>
      <c r="K246" s="36">
        <v>3919.72</v>
      </c>
      <c r="L246" s="36">
        <f t="shared" si="15"/>
        <v>-1413.6100000000001</v>
      </c>
      <c r="M246" s="37">
        <f t="shared" si="16"/>
        <v>-0.26505204065752541</v>
      </c>
      <c r="N246" s="17" t="str">
        <f t="shared" si="17"/>
        <v>Under Budget</v>
      </c>
      <c r="O246" s="38">
        <f t="shared" si="18"/>
        <v>-3919.72</v>
      </c>
      <c r="P246" s="39">
        <f t="shared" si="19"/>
        <v>46113</v>
      </c>
    </row>
    <row r="247" spans="1:16" ht="15.5" x14ac:dyDescent="0.35">
      <c r="A247" s="17" t="s">
        <v>295</v>
      </c>
      <c r="B247" s="35">
        <v>46170</v>
      </c>
      <c r="C247" s="17" t="s">
        <v>12</v>
      </c>
      <c r="D247" s="17" t="s">
        <v>36</v>
      </c>
      <c r="E247" s="17" t="s">
        <v>47</v>
      </c>
      <c r="F247" s="17" t="s">
        <v>52</v>
      </c>
      <c r="G247" s="17" t="s">
        <v>43</v>
      </c>
      <c r="H247" s="17" t="s">
        <v>2592</v>
      </c>
      <c r="I247" s="17" t="s">
        <v>30</v>
      </c>
      <c r="J247" s="36">
        <v>2692.31</v>
      </c>
      <c r="K247" s="36">
        <v>3724.87</v>
      </c>
      <c r="L247" s="36">
        <f t="shared" si="15"/>
        <v>1032.56</v>
      </c>
      <c r="M247" s="37">
        <f t="shared" si="16"/>
        <v>0.38352195698117969</v>
      </c>
      <c r="N247" s="17" t="str">
        <f t="shared" si="17"/>
        <v>Over Budget</v>
      </c>
      <c r="O247" s="38">
        <f t="shared" si="18"/>
        <v>-3724.87</v>
      </c>
      <c r="P247" s="39">
        <f t="shared" si="19"/>
        <v>46143</v>
      </c>
    </row>
    <row r="248" spans="1:16" ht="15.5" x14ac:dyDescent="0.35">
      <c r="A248" s="17" t="s">
        <v>296</v>
      </c>
      <c r="B248" s="35">
        <v>45944</v>
      </c>
      <c r="C248" s="17" t="s">
        <v>12</v>
      </c>
      <c r="D248" s="17" t="s">
        <v>19</v>
      </c>
      <c r="E248" s="17" t="s">
        <v>65</v>
      </c>
      <c r="F248" s="17" t="s">
        <v>28</v>
      </c>
      <c r="G248" s="17" t="s">
        <v>38</v>
      </c>
      <c r="H248" s="17" t="s">
        <v>2595</v>
      </c>
      <c r="I248" s="17" t="s">
        <v>23</v>
      </c>
      <c r="J248" s="36">
        <v>3928.57</v>
      </c>
      <c r="K248" s="36">
        <v>6678.18</v>
      </c>
      <c r="L248" s="36">
        <f t="shared" si="15"/>
        <v>2749.61</v>
      </c>
      <c r="M248" s="37">
        <f t="shared" si="16"/>
        <v>0.69990098178217519</v>
      </c>
      <c r="N248" s="17" t="str">
        <f t="shared" si="17"/>
        <v>Over Budget</v>
      </c>
      <c r="O248" s="38">
        <f t="shared" si="18"/>
        <v>-6678.18</v>
      </c>
      <c r="P248" s="39">
        <f t="shared" si="19"/>
        <v>45931</v>
      </c>
    </row>
    <row r="249" spans="1:16" ht="15.5" x14ac:dyDescent="0.35">
      <c r="A249" s="17" t="s">
        <v>297</v>
      </c>
      <c r="B249" s="35">
        <v>46055</v>
      </c>
      <c r="C249" s="17" t="s">
        <v>12</v>
      </c>
      <c r="D249" s="17" t="s">
        <v>26</v>
      </c>
      <c r="E249" s="17" t="s">
        <v>41</v>
      </c>
      <c r="F249" s="17" t="s">
        <v>28</v>
      </c>
      <c r="G249" s="17" t="s">
        <v>82</v>
      </c>
      <c r="H249" s="17" t="s">
        <v>2590</v>
      </c>
      <c r="I249" s="17" t="s">
        <v>23</v>
      </c>
      <c r="J249" s="36">
        <v>6305</v>
      </c>
      <c r="K249" s="36">
        <v>10665.83</v>
      </c>
      <c r="L249" s="36">
        <f t="shared" si="15"/>
        <v>4360.83</v>
      </c>
      <c r="M249" s="37">
        <f t="shared" si="16"/>
        <v>0.69164631245043617</v>
      </c>
      <c r="N249" s="17" t="str">
        <f t="shared" si="17"/>
        <v>Over Budget</v>
      </c>
      <c r="O249" s="38">
        <f t="shared" si="18"/>
        <v>-10665.83</v>
      </c>
      <c r="P249" s="39">
        <f t="shared" si="19"/>
        <v>46054</v>
      </c>
    </row>
    <row r="250" spans="1:16" ht="15.5" x14ac:dyDescent="0.35">
      <c r="A250" s="17" t="s">
        <v>298</v>
      </c>
      <c r="B250" s="35">
        <v>45980</v>
      </c>
      <c r="C250" s="17" t="s">
        <v>12</v>
      </c>
      <c r="D250" s="17" t="s">
        <v>13</v>
      </c>
      <c r="E250" s="17" t="s">
        <v>65</v>
      </c>
      <c r="F250" s="17" t="s">
        <v>52</v>
      </c>
      <c r="G250" s="17" t="s">
        <v>38</v>
      </c>
      <c r="H250" s="17" t="s">
        <v>2592</v>
      </c>
      <c r="I250" s="17" t="s">
        <v>39</v>
      </c>
      <c r="J250" s="36">
        <v>11550</v>
      </c>
      <c r="K250" s="36">
        <v>8889.6200000000008</v>
      </c>
      <c r="L250" s="36">
        <f t="shared" si="15"/>
        <v>-2660.3799999999992</v>
      </c>
      <c r="M250" s="37">
        <f t="shared" si="16"/>
        <v>-0.23033593073593067</v>
      </c>
      <c r="N250" s="17" t="str">
        <f t="shared" si="17"/>
        <v>Under Budget</v>
      </c>
      <c r="O250" s="38">
        <f t="shared" si="18"/>
        <v>-8889.6200000000008</v>
      </c>
      <c r="P250" s="39">
        <f t="shared" si="19"/>
        <v>45962</v>
      </c>
    </row>
    <row r="251" spans="1:16" ht="15.5" x14ac:dyDescent="0.35">
      <c r="A251" s="17" t="s">
        <v>299</v>
      </c>
      <c r="B251" s="35">
        <v>46126</v>
      </c>
      <c r="C251" s="17" t="s">
        <v>25</v>
      </c>
      <c r="D251" s="17" t="s">
        <v>2585</v>
      </c>
      <c r="E251" s="17" t="s">
        <v>33</v>
      </c>
      <c r="F251" s="17" t="s">
        <v>28</v>
      </c>
      <c r="G251" s="17" t="s">
        <v>82</v>
      </c>
      <c r="H251" s="17" t="s">
        <v>2594</v>
      </c>
      <c r="I251" s="17" t="s">
        <v>48</v>
      </c>
      <c r="J251" s="36">
        <v>8333.33</v>
      </c>
      <c r="K251" s="36">
        <v>7414.01</v>
      </c>
      <c r="L251" s="36">
        <f t="shared" si="15"/>
        <v>-919.31999999999971</v>
      </c>
      <c r="M251" s="37">
        <f t="shared" si="16"/>
        <v>-0.11031844412737761</v>
      </c>
      <c r="N251" s="17" t="str">
        <f t="shared" si="17"/>
        <v>Under Budget</v>
      </c>
      <c r="O251" s="38">
        <f t="shared" si="18"/>
        <v>7414.01</v>
      </c>
      <c r="P251" s="39">
        <f t="shared" si="19"/>
        <v>46113</v>
      </c>
    </row>
    <row r="252" spans="1:16" ht="15.5" x14ac:dyDescent="0.35">
      <c r="A252" s="17" t="s">
        <v>300</v>
      </c>
      <c r="B252" s="35">
        <v>45831</v>
      </c>
      <c r="C252" s="17" t="s">
        <v>12</v>
      </c>
      <c r="D252" s="17" t="s">
        <v>13</v>
      </c>
      <c r="E252" s="17" t="s">
        <v>74</v>
      </c>
      <c r="F252" s="17" t="s">
        <v>15</v>
      </c>
      <c r="G252" s="17" t="s">
        <v>22</v>
      </c>
      <c r="H252" s="17" t="s">
        <v>2596</v>
      </c>
      <c r="I252" s="17" t="s">
        <v>23</v>
      </c>
      <c r="J252" s="36">
        <v>6666.67</v>
      </c>
      <c r="K252" s="36">
        <v>828.01</v>
      </c>
      <c r="L252" s="36">
        <f t="shared" si="15"/>
        <v>-5838.66</v>
      </c>
      <c r="M252" s="37">
        <f t="shared" si="16"/>
        <v>-0.87579856210071894</v>
      </c>
      <c r="N252" s="17" t="str">
        <f t="shared" si="17"/>
        <v>Under Budget</v>
      </c>
      <c r="O252" s="38">
        <f t="shared" si="18"/>
        <v>-828.01</v>
      </c>
      <c r="P252" s="39">
        <f t="shared" si="19"/>
        <v>45809</v>
      </c>
    </row>
    <row r="253" spans="1:16" ht="15.5" x14ac:dyDescent="0.35">
      <c r="A253" s="17" t="s">
        <v>301</v>
      </c>
      <c r="B253" s="35">
        <v>45805</v>
      </c>
      <c r="C253" s="17" t="s">
        <v>12</v>
      </c>
      <c r="D253" s="17" t="s">
        <v>26</v>
      </c>
      <c r="E253" s="17" t="s">
        <v>45</v>
      </c>
      <c r="F253" s="17" t="s">
        <v>28</v>
      </c>
      <c r="G253" s="17" t="s">
        <v>38</v>
      </c>
      <c r="H253" s="17" t="s">
        <v>2593</v>
      </c>
      <c r="I253" s="17" t="s">
        <v>48</v>
      </c>
      <c r="J253" s="36">
        <v>7200</v>
      </c>
      <c r="K253" s="36">
        <v>3204.35</v>
      </c>
      <c r="L253" s="36">
        <f t="shared" si="15"/>
        <v>-3995.65</v>
      </c>
      <c r="M253" s="37">
        <f t="shared" si="16"/>
        <v>-0.55495138888888895</v>
      </c>
      <c r="N253" s="17" t="str">
        <f t="shared" si="17"/>
        <v>Under Budget</v>
      </c>
      <c r="O253" s="38">
        <f t="shared" si="18"/>
        <v>-3204.35</v>
      </c>
      <c r="P253" s="39">
        <f t="shared" si="19"/>
        <v>45778</v>
      </c>
    </row>
    <row r="254" spans="1:16" ht="15.5" x14ac:dyDescent="0.35">
      <c r="A254" s="17" t="s">
        <v>302</v>
      </c>
      <c r="B254" s="35">
        <v>45804</v>
      </c>
      <c r="C254" s="17" t="s">
        <v>25</v>
      </c>
      <c r="D254" s="17" t="s">
        <v>32</v>
      </c>
      <c r="E254" s="17" t="s">
        <v>109</v>
      </c>
      <c r="F254" s="17" t="s">
        <v>52</v>
      </c>
      <c r="G254" s="17" t="s">
        <v>38</v>
      </c>
      <c r="H254" s="17" t="s">
        <v>2589</v>
      </c>
      <c r="I254" s="17" t="s">
        <v>23</v>
      </c>
      <c r="J254" s="36">
        <v>9090.91</v>
      </c>
      <c r="K254" s="36">
        <v>11898.36</v>
      </c>
      <c r="L254" s="36">
        <f t="shared" si="15"/>
        <v>2807.4500000000007</v>
      </c>
      <c r="M254" s="37">
        <f t="shared" si="16"/>
        <v>0.30881946911805319</v>
      </c>
      <c r="N254" s="17" t="str">
        <f t="shared" si="17"/>
        <v>Over Budget</v>
      </c>
      <c r="O254" s="38">
        <f t="shared" si="18"/>
        <v>11898.36</v>
      </c>
      <c r="P254" s="39">
        <f t="shared" si="19"/>
        <v>45778</v>
      </c>
    </row>
    <row r="255" spans="1:16" ht="15.5" x14ac:dyDescent="0.35">
      <c r="A255" s="17" t="s">
        <v>303</v>
      </c>
      <c r="B255" s="35">
        <v>45841</v>
      </c>
      <c r="C255" s="17" t="s">
        <v>12</v>
      </c>
      <c r="D255" s="17" t="s">
        <v>26</v>
      </c>
      <c r="E255" s="17" t="s">
        <v>51</v>
      </c>
      <c r="F255" s="17" t="s">
        <v>34</v>
      </c>
      <c r="G255" s="17" t="s">
        <v>38</v>
      </c>
      <c r="H255" s="17" t="s">
        <v>2590</v>
      </c>
      <c r="I255" s="17" t="s">
        <v>48</v>
      </c>
      <c r="J255" s="36">
        <v>6000</v>
      </c>
      <c r="K255" s="36">
        <v>4478.3100000000004</v>
      </c>
      <c r="L255" s="36">
        <f t="shared" si="15"/>
        <v>-1521.6899999999996</v>
      </c>
      <c r="M255" s="37">
        <f t="shared" si="16"/>
        <v>-0.25361499999999992</v>
      </c>
      <c r="N255" s="17" t="str">
        <f t="shared" si="17"/>
        <v>Under Budget</v>
      </c>
      <c r="O255" s="38">
        <f t="shared" si="18"/>
        <v>-4478.3100000000004</v>
      </c>
      <c r="P255" s="39">
        <f t="shared" si="19"/>
        <v>45839</v>
      </c>
    </row>
    <row r="256" spans="1:16" ht="15.5" x14ac:dyDescent="0.35">
      <c r="A256" s="17" t="s">
        <v>304</v>
      </c>
      <c r="B256" s="35">
        <v>46071</v>
      </c>
      <c r="C256" s="17" t="s">
        <v>12</v>
      </c>
      <c r="D256" s="17" t="s">
        <v>19</v>
      </c>
      <c r="E256" s="17" t="s">
        <v>45</v>
      </c>
      <c r="F256" s="17" t="s">
        <v>52</v>
      </c>
      <c r="G256" s="17" t="s">
        <v>43</v>
      </c>
      <c r="H256" s="17" t="s">
        <v>2594</v>
      </c>
      <c r="I256" s="17" t="s">
        <v>17</v>
      </c>
      <c r="J256" s="36">
        <v>9189.4699999999993</v>
      </c>
      <c r="K256" s="36">
        <v>17009.349999999999</v>
      </c>
      <c r="L256" s="36">
        <f t="shared" si="15"/>
        <v>7819.8799999999992</v>
      </c>
      <c r="M256" s="37">
        <f t="shared" si="16"/>
        <v>0.85096093681137208</v>
      </c>
      <c r="N256" s="17" t="str">
        <f t="shared" si="17"/>
        <v>Over Budget</v>
      </c>
      <c r="O256" s="38">
        <f t="shared" si="18"/>
        <v>-17009.349999999999</v>
      </c>
      <c r="P256" s="39">
        <f t="shared" si="19"/>
        <v>46054</v>
      </c>
    </row>
    <row r="257" spans="1:16" ht="15.5" x14ac:dyDescent="0.35">
      <c r="A257" s="17" t="s">
        <v>305</v>
      </c>
      <c r="B257" s="35">
        <v>46151</v>
      </c>
      <c r="C257" s="17" t="s">
        <v>12</v>
      </c>
      <c r="D257" s="17" t="s">
        <v>19</v>
      </c>
      <c r="E257" s="17" t="s">
        <v>77</v>
      </c>
      <c r="F257" s="17" t="s">
        <v>52</v>
      </c>
      <c r="G257" s="17" t="s">
        <v>22</v>
      </c>
      <c r="H257" s="17" t="s">
        <v>2589</v>
      </c>
      <c r="I257" s="17" t="s">
        <v>39</v>
      </c>
      <c r="J257" s="36">
        <v>4400</v>
      </c>
      <c r="K257" s="36">
        <v>3927.82</v>
      </c>
      <c r="L257" s="36">
        <f t="shared" si="15"/>
        <v>-472.17999999999984</v>
      </c>
      <c r="M257" s="37">
        <f t="shared" si="16"/>
        <v>-0.10731363636363633</v>
      </c>
      <c r="N257" s="17" t="str">
        <f t="shared" si="17"/>
        <v>Under Budget</v>
      </c>
      <c r="O257" s="38">
        <f t="shared" si="18"/>
        <v>-3927.82</v>
      </c>
      <c r="P257" s="39">
        <f t="shared" si="19"/>
        <v>46143</v>
      </c>
    </row>
    <row r="258" spans="1:16" ht="15.5" x14ac:dyDescent="0.35">
      <c r="A258" s="17" t="s">
        <v>306</v>
      </c>
      <c r="B258" s="35">
        <v>45950</v>
      </c>
      <c r="C258" s="17" t="s">
        <v>25</v>
      </c>
      <c r="D258" s="17" t="s">
        <v>32</v>
      </c>
      <c r="E258" s="17" t="s">
        <v>169</v>
      </c>
      <c r="F258" s="17" t="s">
        <v>21</v>
      </c>
      <c r="G258" s="17" t="s">
        <v>38</v>
      </c>
      <c r="H258" s="17" t="s">
        <v>2593</v>
      </c>
      <c r="I258" s="17" t="s">
        <v>48</v>
      </c>
      <c r="J258" s="36">
        <v>6666.67</v>
      </c>
      <c r="K258" s="36">
        <v>2317.29</v>
      </c>
      <c r="L258" s="36">
        <f t="shared" si="15"/>
        <v>-4349.38</v>
      </c>
      <c r="M258" s="37">
        <f t="shared" si="16"/>
        <v>-0.65240667379666306</v>
      </c>
      <c r="N258" s="17" t="str">
        <f t="shared" si="17"/>
        <v>Under Budget</v>
      </c>
      <c r="O258" s="38">
        <f t="shared" si="18"/>
        <v>2317.29</v>
      </c>
      <c r="P258" s="39">
        <f t="shared" si="19"/>
        <v>45931</v>
      </c>
    </row>
    <row r="259" spans="1:16" ht="15.5" x14ac:dyDescent="0.35">
      <c r="A259" s="17" t="s">
        <v>307</v>
      </c>
      <c r="B259" s="35">
        <v>45740</v>
      </c>
      <c r="C259" s="17" t="s">
        <v>12</v>
      </c>
      <c r="D259" s="17" t="s">
        <v>32</v>
      </c>
      <c r="E259" s="17" t="s">
        <v>45</v>
      </c>
      <c r="F259" s="17" t="s">
        <v>52</v>
      </c>
      <c r="G259" s="17" t="s">
        <v>22</v>
      </c>
      <c r="H259" s="17" t="s">
        <v>60</v>
      </c>
      <c r="I259" s="17" t="s">
        <v>23</v>
      </c>
      <c r="J259" s="36">
        <v>6000</v>
      </c>
      <c r="K259" s="36">
        <v>17061.169999999998</v>
      </c>
      <c r="L259" s="36">
        <f t="shared" ref="L259:L322" si="20">K259-J259</f>
        <v>11061.169999999998</v>
      </c>
      <c r="M259" s="37">
        <f t="shared" ref="M259:M322" si="21">IF(J259=0,0,L259/J259)</f>
        <v>1.843528333333333</v>
      </c>
      <c r="N259" s="17" t="str">
        <f t="shared" ref="N259:N322" si="22">IF(J259=0,"No Budget",IF(K259&gt;J259,"Over Budget",IF(K259&lt;J259,"Under Budget","On Budget")))</f>
        <v>Over Budget</v>
      </c>
      <c r="O259" s="38">
        <f t="shared" ref="O259:O322" si="23">IF(C259="Revenue",K259,-K259)</f>
        <v>-17061.169999999998</v>
      </c>
      <c r="P259" s="39">
        <f t="shared" ref="P259:P322" si="24">DATE(YEAR(B259),MONTH(B259),1)</f>
        <v>45717</v>
      </c>
    </row>
    <row r="260" spans="1:16" ht="15.5" x14ac:dyDescent="0.35">
      <c r="A260" s="17" t="s">
        <v>308</v>
      </c>
      <c r="B260" s="35">
        <v>45957</v>
      </c>
      <c r="C260" s="17" t="s">
        <v>12</v>
      </c>
      <c r="D260" s="17" t="s">
        <v>19</v>
      </c>
      <c r="E260" s="17" t="s">
        <v>47</v>
      </c>
      <c r="F260" s="17" t="s">
        <v>34</v>
      </c>
      <c r="G260" s="17" t="s">
        <v>82</v>
      </c>
      <c r="H260" s="17" t="s">
        <v>2590</v>
      </c>
      <c r="I260" s="17" t="s">
        <v>48</v>
      </c>
      <c r="J260" s="36">
        <v>3500</v>
      </c>
      <c r="K260" s="36">
        <v>1368.29</v>
      </c>
      <c r="L260" s="36">
        <f t="shared" si="20"/>
        <v>-2131.71</v>
      </c>
      <c r="M260" s="37">
        <f t="shared" si="21"/>
        <v>-0.60906000000000005</v>
      </c>
      <c r="N260" s="17" t="str">
        <f t="shared" si="22"/>
        <v>Under Budget</v>
      </c>
      <c r="O260" s="38">
        <f t="shared" si="23"/>
        <v>-1368.29</v>
      </c>
      <c r="P260" s="39">
        <f t="shared" si="24"/>
        <v>45931</v>
      </c>
    </row>
    <row r="261" spans="1:16" ht="15.5" x14ac:dyDescent="0.35">
      <c r="A261" s="17" t="s">
        <v>309</v>
      </c>
      <c r="B261" s="35">
        <v>45728</v>
      </c>
      <c r="C261" s="17" t="s">
        <v>12</v>
      </c>
      <c r="D261" s="17" t="s">
        <v>2585</v>
      </c>
      <c r="E261" s="17" t="s">
        <v>20</v>
      </c>
      <c r="F261" s="17" t="s">
        <v>52</v>
      </c>
      <c r="G261" s="17" t="s">
        <v>38</v>
      </c>
      <c r="H261" s="17" t="s">
        <v>2589</v>
      </c>
      <c r="I261" s="17" t="s">
        <v>23</v>
      </c>
      <c r="J261" s="36">
        <v>3000</v>
      </c>
      <c r="K261" s="36">
        <v>1758.92</v>
      </c>
      <c r="L261" s="36">
        <f t="shared" si="20"/>
        <v>-1241.08</v>
      </c>
      <c r="M261" s="37">
        <f t="shared" si="21"/>
        <v>-0.4136933333333333</v>
      </c>
      <c r="N261" s="17" t="str">
        <f t="shared" si="22"/>
        <v>Under Budget</v>
      </c>
      <c r="O261" s="38">
        <f t="shared" si="23"/>
        <v>-1758.92</v>
      </c>
      <c r="P261" s="39">
        <f t="shared" si="24"/>
        <v>45717</v>
      </c>
    </row>
    <row r="262" spans="1:16" ht="15.5" x14ac:dyDescent="0.35">
      <c r="A262" s="17" t="s">
        <v>310</v>
      </c>
      <c r="B262" s="35">
        <v>45878</v>
      </c>
      <c r="C262" s="17" t="s">
        <v>25</v>
      </c>
      <c r="D262" s="17" t="s">
        <v>32</v>
      </c>
      <c r="E262" s="17" t="s">
        <v>109</v>
      </c>
      <c r="F262" s="17" t="s">
        <v>52</v>
      </c>
      <c r="G262" s="17" t="s">
        <v>38</v>
      </c>
      <c r="H262" s="17" t="s">
        <v>2594</v>
      </c>
      <c r="I262" s="17" t="s">
        <v>48</v>
      </c>
      <c r="J262" s="36">
        <v>7142.86</v>
      </c>
      <c r="K262" s="36">
        <v>12309.22</v>
      </c>
      <c r="L262" s="36">
        <f t="shared" si="20"/>
        <v>5166.3599999999997</v>
      </c>
      <c r="M262" s="37">
        <f t="shared" si="21"/>
        <v>0.72329011068395577</v>
      </c>
      <c r="N262" s="17" t="str">
        <f t="shared" si="22"/>
        <v>Over Budget</v>
      </c>
      <c r="O262" s="38">
        <f t="shared" si="23"/>
        <v>12309.22</v>
      </c>
      <c r="P262" s="39">
        <f t="shared" si="24"/>
        <v>45870</v>
      </c>
    </row>
    <row r="263" spans="1:16" ht="15.5" x14ac:dyDescent="0.35">
      <c r="A263" s="17" t="s">
        <v>311</v>
      </c>
      <c r="B263" s="35">
        <v>45823</v>
      </c>
      <c r="C263" s="17" t="s">
        <v>12</v>
      </c>
      <c r="D263" s="17" t="s">
        <v>19</v>
      </c>
      <c r="E263" s="17" t="s">
        <v>20</v>
      </c>
      <c r="F263" s="17" t="s">
        <v>52</v>
      </c>
      <c r="G263" s="17" t="s">
        <v>82</v>
      </c>
      <c r="H263" s="17" t="s">
        <v>2591</v>
      </c>
      <c r="I263" s="17" t="s">
        <v>48</v>
      </c>
      <c r="J263" s="36">
        <v>2000</v>
      </c>
      <c r="K263" s="36">
        <v>1050.9100000000001</v>
      </c>
      <c r="L263" s="36">
        <f t="shared" si="20"/>
        <v>-949.08999999999992</v>
      </c>
      <c r="M263" s="37">
        <f t="shared" si="21"/>
        <v>-0.47454499999999994</v>
      </c>
      <c r="N263" s="17" t="str">
        <f t="shared" si="22"/>
        <v>Under Budget</v>
      </c>
      <c r="O263" s="38">
        <f t="shared" si="23"/>
        <v>-1050.9100000000001</v>
      </c>
      <c r="P263" s="39">
        <f t="shared" si="24"/>
        <v>45809</v>
      </c>
    </row>
    <row r="264" spans="1:16" ht="15.5" x14ac:dyDescent="0.35">
      <c r="A264" s="17" t="s">
        <v>312</v>
      </c>
      <c r="B264" s="35">
        <v>46062</v>
      </c>
      <c r="C264" s="17" t="s">
        <v>12</v>
      </c>
      <c r="D264" s="17" t="s">
        <v>26</v>
      </c>
      <c r="E264" s="17" t="s">
        <v>45</v>
      </c>
      <c r="F264" s="17" t="s">
        <v>52</v>
      </c>
      <c r="G264" s="17" t="s">
        <v>16</v>
      </c>
      <c r="H264" s="17" t="s">
        <v>2597</v>
      </c>
      <c r="I264" s="17" t="s">
        <v>30</v>
      </c>
      <c r="J264" s="36">
        <v>9189.4699999999993</v>
      </c>
      <c r="K264" s="36">
        <v>13650.31</v>
      </c>
      <c r="L264" s="36">
        <f t="shared" si="20"/>
        <v>4460.84</v>
      </c>
      <c r="M264" s="37">
        <f t="shared" si="21"/>
        <v>0.48542951878617596</v>
      </c>
      <c r="N264" s="17" t="str">
        <f t="shared" si="22"/>
        <v>Over Budget</v>
      </c>
      <c r="O264" s="38">
        <f t="shared" si="23"/>
        <v>-13650.31</v>
      </c>
      <c r="P264" s="39">
        <f t="shared" si="24"/>
        <v>46054</v>
      </c>
    </row>
    <row r="265" spans="1:16" ht="15.5" x14ac:dyDescent="0.35">
      <c r="A265" s="17" t="s">
        <v>313</v>
      </c>
      <c r="B265" s="35">
        <v>45781</v>
      </c>
      <c r="C265" s="17" t="s">
        <v>12</v>
      </c>
      <c r="D265" s="17" t="s">
        <v>19</v>
      </c>
      <c r="E265" s="17" t="s">
        <v>41</v>
      </c>
      <c r="F265" s="17" t="s">
        <v>52</v>
      </c>
      <c r="G265" s="17" t="s">
        <v>22</v>
      </c>
      <c r="H265" s="17" t="s">
        <v>2592</v>
      </c>
      <c r="I265" s="17" t="s">
        <v>39</v>
      </c>
      <c r="J265" s="36">
        <v>4642.8599999999997</v>
      </c>
      <c r="K265" s="36">
        <v>5744.61</v>
      </c>
      <c r="L265" s="36">
        <f t="shared" si="20"/>
        <v>1101.75</v>
      </c>
      <c r="M265" s="37">
        <f t="shared" si="21"/>
        <v>0.23729985396932066</v>
      </c>
      <c r="N265" s="17" t="str">
        <f t="shared" si="22"/>
        <v>Over Budget</v>
      </c>
      <c r="O265" s="38">
        <f t="shared" si="23"/>
        <v>-5744.61</v>
      </c>
      <c r="P265" s="39">
        <f t="shared" si="24"/>
        <v>45778</v>
      </c>
    </row>
    <row r="266" spans="1:16" ht="15.5" x14ac:dyDescent="0.35">
      <c r="A266" s="17" t="s">
        <v>314</v>
      </c>
      <c r="B266" s="35">
        <v>46084</v>
      </c>
      <c r="C266" s="17" t="s">
        <v>12</v>
      </c>
      <c r="D266" s="17" t="s">
        <v>19</v>
      </c>
      <c r="E266" s="17" t="s">
        <v>45</v>
      </c>
      <c r="F266" s="17" t="s">
        <v>52</v>
      </c>
      <c r="G266" s="17" t="s">
        <v>38</v>
      </c>
      <c r="H266" s="17" t="s">
        <v>2593</v>
      </c>
      <c r="I266" s="17" t="s">
        <v>23</v>
      </c>
      <c r="J266" s="36">
        <v>7200</v>
      </c>
      <c r="K266" s="36">
        <v>5350.68</v>
      </c>
      <c r="L266" s="36">
        <f t="shared" si="20"/>
        <v>-1849.3199999999997</v>
      </c>
      <c r="M266" s="37">
        <f t="shared" si="21"/>
        <v>-0.25684999999999997</v>
      </c>
      <c r="N266" s="17" t="str">
        <f t="shared" si="22"/>
        <v>Under Budget</v>
      </c>
      <c r="O266" s="38">
        <f t="shared" si="23"/>
        <v>-5350.68</v>
      </c>
      <c r="P266" s="39">
        <f t="shared" si="24"/>
        <v>46082</v>
      </c>
    </row>
    <row r="267" spans="1:16" ht="15.5" x14ac:dyDescent="0.35">
      <c r="A267" s="17" t="s">
        <v>315</v>
      </c>
      <c r="B267" s="35">
        <v>45841</v>
      </c>
      <c r="C267" s="17" t="s">
        <v>25</v>
      </c>
      <c r="D267" s="17" t="s">
        <v>32</v>
      </c>
      <c r="E267" s="17" t="s">
        <v>33</v>
      </c>
      <c r="F267" s="17" t="s">
        <v>28</v>
      </c>
      <c r="G267" s="17" t="s">
        <v>38</v>
      </c>
      <c r="H267" s="17" t="s">
        <v>2589</v>
      </c>
      <c r="I267" s="17" t="s">
        <v>48</v>
      </c>
      <c r="J267" s="36">
        <v>12500</v>
      </c>
      <c r="K267" s="36">
        <v>9714.07</v>
      </c>
      <c r="L267" s="36">
        <f t="shared" si="20"/>
        <v>-2785.9300000000003</v>
      </c>
      <c r="M267" s="37">
        <f t="shared" si="21"/>
        <v>-0.22287440000000003</v>
      </c>
      <c r="N267" s="17" t="str">
        <f t="shared" si="22"/>
        <v>Under Budget</v>
      </c>
      <c r="O267" s="38">
        <f t="shared" si="23"/>
        <v>9714.07</v>
      </c>
      <c r="P267" s="39">
        <f t="shared" si="24"/>
        <v>45839</v>
      </c>
    </row>
    <row r="268" spans="1:16" ht="15.5" x14ac:dyDescent="0.35">
      <c r="A268" s="17" t="s">
        <v>316</v>
      </c>
      <c r="B268" s="35">
        <v>45836</v>
      </c>
      <c r="C268" s="17" t="s">
        <v>25</v>
      </c>
      <c r="D268" s="17" t="s">
        <v>2585</v>
      </c>
      <c r="E268" s="17" t="s">
        <v>33</v>
      </c>
      <c r="F268" s="17" t="s">
        <v>15</v>
      </c>
      <c r="G268" s="17" t="s">
        <v>22</v>
      </c>
      <c r="H268" s="17" t="s">
        <v>2587</v>
      </c>
      <c r="I268" s="17" t="s">
        <v>39</v>
      </c>
      <c r="J268" s="36">
        <v>9615.3799999999992</v>
      </c>
      <c r="K268" s="36">
        <v>24773.919999999998</v>
      </c>
      <c r="L268" s="36">
        <f t="shared" si="20"/>
        <v>15158.539999999999</v>
      </c>
      <c r="M268" s="37">
        <f t="shared" si="21"/>
        <v>1.5764889167146801</v>
      </c>
      <c r="N268" s="17" t="str">
        <f t="shared" si="22"/>
        <v>Over Budget</v>
      </c>
      <c r="O268" s="38">
        <f t="shared" si="23"/>
        <v>24773.919999999998</v>
      </c>
      <c r="P268" s="39">
        <f t="shared" si="24"/>
        <v>45809</v>
      </c>
    </row>
    <row r="269" spans="1:16" ht="15.5" x14ac:dyDescent="0.35">
      <c r="A269" s="17" t="s">
        <v>317</v>
      </c>
      <c r="B269" s="35">
        <v>46167</v>
      </c>
      <c r="C269" s="17" t="s">
        <v>12</v>
      </c>
      <c r="D269" s="17" t="s">
        <v>19</v>
      </c>
      <c r="E269" s="17" t="s">
        <v>51</v>
      </c>
      <c r="F269" s="17" t="s">
        <v>28</v>
      </c>
      <c r="G269" s="17" t="s">
        <v>16</v>
      </c>
      <c r="H269" s="17" t="s">
        <v>2589</v>
      </c>
      <c r="I269" s="17" t="s">
        <v>30</v>
      </c>
      <c r="J269" s="36">
        <v>2727.27</v>
      </c>
      <c r="K269" s="36">
        <v>7216.28</v>
      </c>
      <c r="L269" s="36">
        <f t="shared" si="20"/>
        <v>4489.01</v>
      </c>
      <c r="M269" s="37">
        <f t="shared" si="21"/>
        <v>1.6459719793053127</v>
      </c>
      <c r="N269" s="17" t="str">
        <f t="shared" si="22"/>
        <v>Over Budget</v>
      </c>
      <c r="O269" s="38">
        <f t="shared" si="23"/>
        <v>-7216.28</v>
      </c>
      <c r="P269" s="39">
        <f t="shared" si="24"/>
        <v>46143</v>
      </c>
    </row>
    <row r="270" spans="1:16" ht="15.5" x14ac:dyDescent="0.35">
      <c r="A270" s="17" t="s">
        <v>318</v>
      </c>
      <c r="B270" s="35">
        <v>46075</v>
      </c>
      <c r="C270" s="17" t="s">
        <v>12</v>
      </c>
      <c r="D270" s="17" t="s">
        <v>19</v>
      </c>
      <c r="E270" s="17" t="s">
        <v>2583</v>
      </c>
      <c r="F270" s="17" t="s">
        <v>52</v>
      </c>
      <c r="G270" s="17" t="s">
        <v>43</v>
      </c>
      <c r="H270" s="17" t="s">
        <v>2589</v>
      </c>
      <c r="I270" s="17" t="s">
        <v>23</v>
      </c>
      <c r="J270" s="36">
        <v>9189.4699999999993</v>
      </c>
      <c r="K270" s="36">
        <v>14045.56</v>
      </c>
      <c r="L270" s="36">
        <f t="shared" si="20"/>
        <v>4856.09</v>
      </c>
      <c r="M270" s="37">
        <f t="shared" si="21"/>
        <v>0.52844070441494451</v>
      </c>
      <c r="N270" s="17" t="str">
        <f t="shared" si="22"/>
        <v>Over Budget</v>
      </c>
      <c r="O270" s="38">
        <f t="shared" si="23"/>
        <v>-14045.56</v>
      </c>
      <c r="P270" s="39">
        <f t="shared" si="24"/>
        <v>46054</v>
      </c>
    </row>
    <row r="271" spans="1:16" ht="15.5" x14ac:dyDescent="0.35">
      <c r="A271" s="17" t="s">
        <v>319</v>
      </c>
      <c r="B271" s="35">
        <v>46023</v>
      </c>
      <c r="C271" s="17" t="s">
        <v>12</v>
      </c>
      <c r="D271" s="17" t="s">
        <v>19</v>
      </c>
      <c r="E271" s="17" t="s">
        <v>77</v>
      </c>
      <c r="F271" s="17" t="s">
        <v>52</v>
      </c>
      <c r="G271" s="17" t="s">
        <v>38</v>
      </c>
      <c r="H271" s="17" t="s">
        <v>2586</v>
      </c>
      <c r="I271" s="17" t="s">
        <v>23</v>
      </c>
      <c r="J271" s="36">
        <v>3556.67</v>
      </c>
      <c r="K271" s="36">
        <v>571.96</v>
      </c>
      <c r="L271" s="36">
        <f t="shared" si="20"/>
        <v>-2984.71</v>
      </c>
      <c r="M271" s="37">
        <f t="shared" si="21"/>
        <v>-0.8391866549328445</v>
      </c>
      <c r="N271" s="17" t="str">
        <f t="shared" si="22"/>
        <v>Under Budget</v>
      </c>
      <c r="O271" s="38">
        <f t="shared" si="23"/>
        <v>-571.96</v>
      </c>
      <c r="P271" s="39">
        <f t="shared" si="24"/>
        <v>46023</v>
      </c>
    </row>
    <row r="272" spans="1:16" ht="15.5" x14ac:dyDescent="0.35">
      <c r="A272" s="17" t="s">
        <v>320</v>
      </c>
      <c r="B272" s="35">
        <v>46017</v>
      </c>
      <c r="C272" s="17" t="s">
        <v>25</v>
      </c>
      <c r="D272" s="17" t="s">
        <v>32</v>
      </c>
      <c r="E272" s="17" t="s">
        <v>33</v>
      </c>
      <c r="F272" s="17" t="s">
        <v>52</v>
      </c>
      <c r="G272" s="17" t="s">
        <v>82</v>
      </c>
      <c r="H272" s="17" t="s">
        <v>2590</v>
      </c>
      <c r="I272" s="17" t="s">
        <v>48</v>
      </c>
      <c r="J272" s="36">
        <v>15441.18</v>
      </c>
      <c r="K272" s="36">
        <v>22033.53</v>
      </c>
      <c r="L272" s="36">
        <f t="shared" si="20"/>
        <v>6592.3499999999985</v>
      </c>
      <c r="M272" s="37">
        <f t="shared" si="21"/>
        <v>0.42693304527244669</v>
      </c>
      <c r="N272" s="17" t="str">
        <f t="shared" si="22"/>
        <v>Over Budget</v>
      </c>
      <c r="O272" s="38">
        <f t="shared" si="23"/>
        <v>22033.53</v>
      </c>
      <c r="P272" s="39">
        <f t="shared" si="24"/>
        <v>45992</v>
      </c>
    </row>
    <row r="273" spans="1:16" ht="15.5" x14ac:dyDescent="0.35">
      <c r="A273" s="17" t="s">
        <v>321</v>
      </c>
      <c r="B273" s="35">
        <v>46071</v>
      </c>
      <c r="C273" s="17" t="s">
        <v>12</v>
      </c>
      <c r="D273" s="17" t="s">
        <v>26</v>
      </c>
      <c r="E273" s="17" t="s">
        <v>20</v>
      </c>
      <c r="F273" s="17" t="s">
        <v>52</v>
      </c>
      <c r="G273" s="17" t="s">
        <v>38</v>
      </c>
      <c r="H273" s="17" t="s">
        <v>2589</v>
      </c>
      <c r="I273" s="17" t="s">
        <v>39</v>
      </c>
      <c r="J273" s="36">
        <v>2182.5</v>
      </c>
      <c r="K273" s="36">
        <v>929.69</v>
      </c>
      <c r="L273" s="36">
        <f t="shared" si="20"/>
        <v>-1252.81</v>
      </c>
      <c r="M273" s="37">
        <f t="shared" si="21"/>
        <v>-0.57402520045819017</v>
      </c>
      <c r="N273" s="17" t="str">
        <f t="shared" si="22"/>
        <v>Under Budget</v>
      </c>
      <c r="O273" s="38">
        <f t="shared" si="23"/>
        <v>-929.69</v>
      </c>
      <c r="P273" s="39">
        <f t="shared" si="24"/>
        <v>46054</v>
      </c>
    </row>
    <row r="274" spans="1:16" ht="15.5" x14ac:dyDescent="0.35">
      <c r="A274" s="17" t="s">
        <v>322</v>
      </c>
      <c r="B274" s="35">
        <v>45958</v>
      </c>
      <c r="C274" s="17" t="s">
        <v>12</v>
      </c>
      <c r="D274" s="17" t="s">
        <v>19</v>
      </c>
      <c r="E274" s="17" t="s">
        <v>65</v>
      </c>
      <c r="F274" s="17" t="s">
        <v>15</v>
      </c>
      <c r="G274" s="17" t="s">
        <v>16</v>
      </c>
      <c r="H274" s="17" t="s">
        <v>2590</v>
      </c>
      <c r="I274" s="17" t="s">
        <v>23</v>
      </c>
      <c r="J274" s="36">
        <v>3928.57</v>
      </c>
      <c r="K274" s="36">
        <v>7127.08</v>
      </c>
      <c r="L274" s="36">
        <f t="shared" si="20"/>
        <v>3198.5099999999998</v>
      </c>
      <c r="M274" s="37">
        <f t="shared" si="21"/>
        <v>0.8141664778787191</v>
      </c>
      <c r="N274" s="17" t="str">
        <f t="shared" si="22"/>
        <v>Over Budget</v>
      </c>
      <c r="O274" s="38">
        <f t="shared" si="23"/>
        <v>-7127.08</v>
      </c>
      <c r="P274" s="39">
        <f t="shared" si="24"/>
        <v>45931</v>
      </c>
    </row>
    <row r="275" spans="1:16" ht="15.5" x14ac:dyDescent="0.35">
      <c r="A275" s="17" t="s">
        <v>323</v>
      </c>
      <c r="B275" s="35">
        <v>46163</v>
      </c>
      <c r="C275" s="17" t="s">
        <v>25</v>
      </c>
      <c r="D275" s="17" t="s">
        <v>36</v>
      </c>
      <c r="E275" s="17" t="s">
        <v>27</v>
      </c>
      <c r="F275" s="17" t="s">
        <v>15</v>
      </c>
      <c r="G275" s="17" t="s">
        <v>38</v>
      </c>
      <c r="H275" s="17" t="s">
        <v>2595</v>
      </c>
      <c r="I275" s="17" t="s">
        <v>39</v>
      </c>
      <c r="J275" s="36">
        <v>6153.85</v>
      </c>
      <c r="K275" s="36">
        <v>2181.25</v>
      </c>
      <c r="L275" s="36">
        <f t="shared" si="20"/>
        <v>-3972.6000000000004</v>
      </c>
      <c r="M275" s="37">
        <f t="shared" si="21"/>
        <v>-0.64554709653306463</v>
      </c>
      <c r="N275" s="17" t="str">
        <f t="shared" si="22"/>
        <v>Under Budget</v>
      </c>
      <c r="O275" s="38">
        <f t="shared" si="23"/>
        <v>2181.25</v>
      </c>
      <c r="P275" s="39">
        <f t="shared" si="24"/>
        <v>46143</v>
      </c>
    </row>
    <row r="276" spans="1:16" ht="15.5" x14ac:dyDescent="0.35">
      <c r="A276" s="17" t="s">
        <v>324</v>
      </c>
      <c r="B276" s="35">
        <v>45867</v>
      </c>
      <c r="C276" s="17" t="s">
        <v>25</v>
      </c>
      <c r="D276" s="17" t="s">
        <v>13</v>
      </c>
      <c r="E276" s="17" t="s">
        <v>109</v>
      </c>
      <c r="F276" s="17" t="s">
        <v>34</v>
      </c>
      <c r="G276" s="17" t="s">
        <v>38</v>
      </c>
      <c r="H276" s="17" t="s">
        <v>2591</v>
      </c>
      <c r="I276" s="17" t="s">
        <v>39</v>
      </c>
      <c r="J276" s="36">
        <v>7142.86</v>
      </c>
      <c r="K276" s="36">
        <v>1681.73</v>
      </c>
      <c r="L276" s="36">
        <f t="shared" si="20"/>
        <v>-5461.1299999999992</v>
      </c>
      <c r="M276" s="37">
        <f t="shared" si="21"/>
        <v>-0.76455789417684228</v>
      </c>
      <c r="N276" s="17" t="str">
        <f t="shared" si="22"/>
        <v>Under Budget</v>
      </c>
      <c r="O276" s="38">
        <f t="shared" si="23"/>
        <v>1681.73</v>
      </c>
      <c r="P276" s="39">
        <f t="shared" si="24"/>
        <v>45839</v>
      </c>
    </row>
    <row r="277" spans="1:16" ht="15.5" x14ac:dyDescent="0.35">
      <c r="A277" s="17" t="s">
        <v>325</v>
      </c>
      <c r="B277" s="35">
        <v>45864</v>
      </c>
      <c r="C277" s="17" t="s">
        <v>12</v>
      </c>
      <c r="D277" s="17" t="s">
        <v>36</v>
      </c>
      <c r="E277" s="17" t="s">
        <v>14</v>
      </c>
      <c r="F277" s="17" t="s">
        <v>34</v>
      </c>
      <c r="G277" s="17" t="s">
        <v>43</v>
      </c>
      <c r="H277" s="17" t="s">
        <v>2587</v>
      </c>
      <c r="I277" s="17" t="s">
        <v>48</v>
      </c>
      <c r="J277" s="36">
        <v>4000</v>
      </c>
      <c r="K277" s="36">
        <v>2364.37</v>
      </c>
      <c r="L277" s="36">
        <f t="shared" si="20"/>
        <v>-1635.63</v>
      </c>
      <c r="M277" s="37">
        <f t="shared" si="21"/>
        <v>-0.40890750000000003</v>
      </c>
      <c r="N277" s="17" t="str">
        <f t="shared" si="22"/>
        <v>Under Budget</v>
      </c>
      <c r="O277" s="38">
        <f t="shared" si="23"/>
        <v>-2364.37</v>
      </c>
      <c r="P277" s="39">
        <f t="shared" si="24"/>
        <v>45839</v>
      </c>
    </row>
    <row r="278" spans="1:16" ht="15.5" x14ac:dyDescent="0.35">
      <c r="A278" s="17" t="s">
        <v>326</v>
      </c>
      <c r="B278" s="35">
        <v>45915</v>
      </c>
      <c r="C278" s="17" t="s">
        <v>25</v>
      </c>
      <c r="D278" s="17" t="s">
        <v>32</v>
      </c>
      <c r="E278" s="17" t="s">
        <v>169</v>
      </c>
      <c r="F278" s="17" t="s">
        <v>34</v>
      </c>
      <c r="G278" s="17" t="s">
        <v>29</v>
      </c>
      <c r="H278" s="17" t="s">
        <v>2593</v>
      </c>
      <c r="I278" s="17" t="s">
        <v>23</v>
      </c>
      <c r="J278" s="36">
        <v>3333.33</v>
      </c>
      <c r="K278" s="36">
        <v>4375.41</v>
      </c>
      <c r="L278" s="36">
        <f t="shared" si="20"/>
        <v>1042.08</v>
      </c>
      <c r="M278" s="37">
        <f t="shared" si="21"/>
        <v>0.31262431262431262</v>
      </c>
      <c r="N278" s="17" t="str">
        <f t="shared" si="22"/>
        <v>Over Budget</v>
      </c>
      <c r="O278" s="38">
        <f t="shared" si="23"/>
        <v>4375.41</v>
      </c>
      <c r="P278" s="39">
        <f t="shared" si="24"/>
        <v>45901</v>
      </c>
    </row>
    <row r="279" spans="1:16" ht="15.5" x14ac:dyDescent="0.35">
      <c r="A279" s="17" t="s">
        <v>327</v>
      </c>
      <c r="B279" s="35">
        <v>46148</v>
      </c>
      <c r="C279" s="17" t="s">
        <v>12</v>
      </c>
      <c r="D279" s="17" t="s">
        <v>26</v>
      </c>
      <c r="E279" s="17" t="s">
        <v>74</v>
      </c>
      <c r="F279" s="17" t="s">
        <v>28</v>
      </c>
      <c r="G279" s="17" t="s">
        <v>38</v>
      </c>
      <c r="H279" s="17" t="s">
        <v>2587</v>
      </c>
      <c r="I279" s="17" t="s">
        <v>23</v>
      </c>
      <c r="J279" s="36">
        <v>5714.29</v>
      </c>
      <c r="K279" s="36">
        <v>2227.71</v>
      </c>
      <c r="L279" s="36">
        <f t="shared" si="20"/>
        <v>-3486.58</v>
      </c>
      <c r="M279" s="37">
        <f t="shared" si="21"/>
        <v>-0.61015104238671825</v>
      </c>
      <c r="N279" s="17" t="str">
        <f t="shared" si="22"/>
        <v>Under Budget</v>
      </c>
      <c r="O279" s="38">
        <f t="shared" si="23"/>
        <v>-2227.71</v>
      </c>
      <c r="P279" s="39">
        <f t="shared" si="24"/>
        <v>46143</v>
      </c>
    </row>
    <row r="280" spans="1:16" ht="15.5" x14ac:dyDescent="0.35">
      <c r="A280" s="17" t="s">
        <v>328</v>
      </c>
      <c r="B280" s="35">
        <v>45958</v>
      </c>
      <c r="C280" s="17" t="s">
        <v>25</v>
      </c>
      <c r="D280" s="17" t="s">
        <v>32</v>
      </c>
      <c r="E280" s="17" t="s">
        <v>109</v>
      </c>
      <c r="F280" s="17" t="s">
        <v>34</v>
      </c>
      <c r="G280" s="17" t="s">
        <v>38</v>
      </c>
      <c r="H280" s="17" t="s">
        <v>80</v>
      </c>
      <c r="I280" s="17" t="s">
        <v>39</v>
      </c>
      <c r="J280" s="36">
        <v>7692.31</v>
      </c>
      <c r="K280" s="36">
        <v>1178.1500000000001</v>
      </c>
      <c r="L280" s="36">
        <f t="shared" si="20"/>
        <v>-6514.16</v>
      </c>
      <c r="M280" s="37">
        <f t="shared" si="21"/>
        <v>-0.8468405459478362</v>
      </c>
      <c r="N280" s="17" t="str">
        <f t="shared" si="22"/>
        <v>Under Budget</v>
      </c>
      <c r="O280" s="38">
        <f t="shared" si="23"/>
        <v>1178.1500000000001</v>
      </c>
      <c r="P280" s="39">
        <f t="shared" si="24"/>
        <v>45931</v>
      </c>
    </row>
    <row r="281" spans="1:16" ht="15.5" x14ac:dyDescent="0.35">
      <c r="A281" s="17" t="s">
        <v>329</v>
      </c>
      <c r="B281" s="35">
        <v>45901</v>
      </c>
      <c r="C281" s="17" t="s">
        <v>12</v>
      </c>
      <c r="D281" s="17" t="s">
        <v>19</v>
      </c>
      <c r="E281" s="17" t="s">
        <v>41</v>
      </c>
      <c r="F281" s="17" t="s">
        <v>28</v>
      </c>
      <c r="G281" s="17" t="s">
        <v>38</v>
      </c>
      <c r="H281" s="17" t="s">
        <v>2587</v>
      </c>
      <c r="I281" s="17" t="s">
        <v>39</v>
      </c>
      <c r="J281" s="36">
        <v>9285.7099999999991</v>
      </c>
      <c r="K281" s="36">
        <v>3796.47</v>
      </c>
      <c r="L281" s="36">
        <f t="shared" si="20"/>
        <v>-5489.24</v>
      </c>
      <c r="M281" s="37">
        <f t="shared" si="21"/>
        <v>-0.59114919591501358</v>
      </c>
      <c r="N281" s="17" t="str">
        <f t="shared" si="22"/>
        <v>Under Budget</v>
      </c>
      <c r="O281" s="38">
        <f t="shared" si="23"/>
        <v>-3796.47</v>
      </c>
      <c r="P281" s="39">
        <f t="shared" si="24"/>
        <v>45901</v>
      </c>
    </row>
    <row r="282" spans="1:16" ht="15.5" x14ac:dyDescent="0.35">
      <c r="A282" s="17" t="s">
        <v>330</v>
      </c>
      <c r="B282" s="35">
        <v>45913</v>
      </c>
      <c r="C282" s="17" t="s">
        <v>25</v>
      </c>
      <c r="D282" s="17" t="s">
        <v>32</v>
      </c>
      <c r="E282" s="17" t="s">
        <v>33</v>
      </c>
      <c r="F282" s="17" t="s">
        <v>52</v>
      </c>
      <c r="G282" s="17" t="s">
        <v>38</v>
      </c>
      <c r="H282" s="17" t="s">
        <v>2589</v>
      </c>
      <c r="I282" s="17" t="s">
        <v>39</v>
      </c>
      <c r="J282" s="36">
        <v>11904.76</v>
      </c>
      <c r="K282" s="36">
        <v>9893.66</v>
      </c>
      <c r="L282" s="36">
        <f t="shared" si="20"/>
        <v>-2011.1000000000004</v>
      </c>
      <c r="M282" s="37">
        <f t="shared" si="21"/>
        <v>-0.16893242702918834</v>
      </c>
      <c r="N282" s="17" t="str">
        <f t="shared" si="22"/>
        <v>Under Budget</v>
      </c>
      <c r="O282" s="38">
        <f t="shared" si="23"/>
        <v>9893.66</v>
      </c>
      <c r="P282" s="39">
        <f t="shared" si="24"/>
        <v>45901</v>
      </c>
    </row>
    <row r="283" spans="1:16" ht="15.5" x14ac:dyDescent="0.35">
      <c r="A283" s="17" t="s">
        <v>331</v>
      </c>
      <c r="B283" s="35">
        <v>45838</v>
      </c>
      <c r="C283" s="17" t="s">
        <v>25</v>
      </c>
      <c r="D283" s="17" t="s">
        <v>2585</v>
      </c>
      <c r="E283" s="17" t="s">
        <v>109</v>
      </c>
      <c r="F283" s="17" t="s">
        <v>34</v>
      </c>
      <c r="G283" s="17" t="s">
        <v>29</v>
      </c>
      <c r="H283" s="17" t="s">
        <v>2594</v>
      </c>
      <c r="I283" s="17" t="s">
        <v>48</v>
      </c>
      <c r="J283" s="36">
        <v>6250</v>
      </c>
      <c r="K283" s="36">
        <v>7130.19</v>
      </c>
      <c r="L283" s="36">
        <f t="shared" si="20"/>
        <v>880.1899999999996</v>
      </c>
      <c r="M283" s="37">
        <f t="shared" si="21"/>
        <v>0.14083039999999994</v>
      </c>
      <c r="N283" s="17" t="str">
        <f t="shared" si="22"/>
        <v>Over Budget</v>
      </c>
      <c r="O283" s="38">
        <f t="shared" si="23"/>
        <v>7130.19</v>
      </c>
      <c r="P283" s="39">
        <f t="shared" si="24"/>
        <v>45809</v>
      </c>
    </row>
    <row r="284" spans="1:16" ht="15.5" x14ac:dyDescent="0.35">
      <c r="A284" s="17" t="s">
        <v>332</v>
      </c>
      <c r="B284" s="35">
        <v>45725</v>
      </c>
      <c r="C284" s="17" t="s">
        <v>12</v>
      </c>
      <c r="D284" s="17" t="s">
        <v>2584</v>
      </c>
      <c r="E284" s="17" t="s">
        <v>45</v>
      </c>
      <c r="F284" s="17" t="s">
        <v>15</v>
      </c>
      <c r="G284" s="17" t="s">
        <v>22</v>
      </c>
      <c r="H284" s="17" t="s">
        <v>80</v>
      </c>
      <c r="I284" s="17" t="s">
        <v>23</v>
      </c>
      <c r="J284" s="36">
        <v>6000</v>
      </c>
      <c r="K284" s="36">
        <v>12811.08</v>
      </c>
      <c r="L284" s="36">
        <f t="shared" si="20"/>
        <v>6811.08</v>
      </c>
      <c r="M284" s="37">
        <f t="shared" si="21"/>
        <v>1.1351800000000001</v>
      </c>
      <c r="N284" s="17" t="str">
        <f t="shared" si="22"/>
        <v>Over Budget</v>
      </c>
      <c r="O284" s="38">
        <f t="shared" si="23"/>
        <v>-12811.08</v>
      </c>
      <c r="P284" s="39">
        <f t="shared" si="24"/>
        <v>45717</v>
      </c>
    </row>
    <row r="285" spans="1:16" ht="15.5" x14ac:dyDescent="0.35">
      <c r="A285" s="17" t="s">
        <v>333</v>
      </c>
      <c r="B285" s="35">
        <v>45900</v>
      </c>
      <c r="C285" s="17" t="s">
        <v>25</v>
      </c>
      <c r="D285" s="17" t="s">
        <v>36</v>
      </c>
      <c r="E285" s="17" t="s">
        <v>27</v>
      </c>
      <c r="F285" s="17" t="s">
        <v>15</v>
      </c>
      <c r="G285" s="17" t="s">
        <v>43</v>
      </c>
      <c r="H285" s="17" t="s">
        <v>2588</v>
      </c>
      <c r="I285" s="17" t="s">
        <v>39</v>
      </c>
      <c r="J285" s="36">
        <v>13333.33</v>
      </c>
      <c r="K285" s="36">
        <v>5815.11</v>
      </c>
      <c r="L285" s="36">
        <f t="shared" si="20"/>
        <v>-7518.22</v>
      </c>
      <c r="M285" s="37">
        <f t="shared" si="21"/>
        <v>-0.56386664096666028</v>
      </c>
      <c r="N285" s="17" t="str">
        <f t="shared" si="22"/>
        <v>Under Budget</v>
      </c>
      <c r="O285" s="38">
        <f t="shared" si="23"/>
        <v>5815.11</v>
      </c>
      <c r="P285" s="39">
        <f t="shared" si="24"/>
        <v>45870</v>
      </c>
    </row>
    <row r="286" spans="1:16" ht="15.5" x14ac:dyDescent="0.35">
      <c r="A286" s="17" t="s">
        <v>334</v>
      </c>
      <c r="B286" s="35">
        <v>45901</v>
      </c>
      <c r="C286" s="17" t="s">
        <v>12</v>
      </c>
      <c r="D286" s="17" t="s">
        <v>32</v>
      </c>
      <c r="E286" s="17" t="s">
        <v>14</v>
      </c>
      <c r="F286" s="17" t="s">
        <v>52</v>
      </c>
      <c r="G286" s="17" t="s">
        <v>82</v>
      </c>
      <c r="H286" s="17" t="s">
        <v>2586</v>
      </c>
      <c r="I286" s="17" t="s">
        <v>39</v>
      </c>
      <c r="J286" s="36">
        <v>5333.33</v>
      </c>
      <c r="K286" s="36">
        <v>3959.9</v>
      </c>
      <c r="L286" s="36">
        <f t="shared" si="20"/>
        <v>-1373.4299999999998</v>
      </c>
      <c r="M286" s="37">
        <f t="shared" si="21"/>
        <v>-0.25751828594892867</v>
      </c>
      <c r="N286" s="17" t="str">
        <f t="shared" si="22"/>
        <v>Under Budget</v>
      </c>
      <c r="O286" s="38">
        <f t="shared" si="23"/>
        <v>-3959.9</v>
      </c>
      <c r="P286" s="39">
        <f t="shared" si="24"/>
        <v>45901</v>
      </c>
    </row>
    <row r="287" spans="1:16" ht="15.5" x14ac:dyDescent="0.35">
      <c r="A287" s="17" t="s">
        <v>335</v>
      </c>
      <c r="B287" s="35">
        <v>45924</v>
      </c>
      <c r="C287" s="17" t="s">
        <v>25</v>
      </c>
      <c r="D287" s="17" t="s">
        <v>2584</v>
      </c>
      <c r="E287" s="17" t="s">
        <v>33</v>
      </c>
      <c r="F287" s="17" t="s">
        <v>52</v>
      </c>
      <c r="G287" s="17" t="s">
        <v>82</v>
      </c>
      <c r="H287" s="17" t="s">
        <v>2590</v>
      </c>
      <c r="I287" s="17" t="s">
        <v>17</v>
      </c>
      <c r="J287" s="36">
        <v>11904.76</v>
      </c>
      <c r="K287" s="36">
        <v>5427.24</v>
      </c>
      <c r="L287" s="36">
        <f t="shared" si="20"/>
        <v>-6477.52</v>
      </c>
      <c r="M287" s="37">
        <f t="shared" si="21"/>
        <v>-0.54411176705788278</v>
      </c>
      <c r="N287" s="17" t="str">
        <f t="shared" si="22"/>
        <v>Under Budget</v>
      </c>
      <c r="O287" s="38">
        <f t="shared" si="23"/>
        <v>5427.24</v>
      </c>
      <c r="P287" s="39">
        <f t="shared" si="24"/>
        <v>45901</v>
      </c>
    </row>
    <row r="288" spans="1:16" ht="15.5" x14ac:dyDescent="0.35">
      <c r="A288" s="17" t="s">
        <v>336</v>
      </c>
      <c r="B288" s="35">
        <v>45703</v>
      </c>
      <c r="C288" s="17" t="s">
        <v>25</v>
      </c>
      <c r="D288" s="17" t="s">
        <v>2584</v>
      </c>
      <c r="E288" s="17" t="s">
        <v>169</v>
      </c>
      <c r="F288" s="17" t="s">
        <v>28</v>
      </c>
      <c r="G288" s="17" t="s">
        <v>38</v>
      </c>
      <c r="H288" s="17" t="s">
        <v>2593</v>
      </c>
      <c r="I288" s="17" t="s">
        <v>23</v>
      </c>
      <c r="J288" s="36">
        <v>3233.33</v>
      </c>
      <c r="K288" s="36">
        <v>3091.56</v>
      </c>
      <c r="L288" s="36">
        <f t="shared" si="20"/>
        <v>-141.76999999999998</v>
      </c>
      <c r="M288" s="37">
        <f t="shared" si="21"/>
        <v>-4.3846436955089642E-2</v>
      </c>
      <c r="N288" s="17" t="str">
        <f t="shared" si="22"/>
        <v>Under Budget</v>
      </c>
      <c r="O288" s="38">
        <f t="shared" si="23"/>
        <v>3091.56</v>
      </c>
      <c r="P288" s="39">
        <f t="shared" si="24"/>
        <v>45689</v>
      </c>
    </row>
    <row r="289" spans="1:16" ht="15.5" x14ac:dyDescent="0.35">
      <c r="A289" s="17" t="s">
        <v>337</v>
      </c>
      <c r="B289" s="35">
        <v>45697</v>
      </c>
      <c r="C289" s="17" t="s">
        <v>25</v>
      </c>
      <c r="D289" s="17" t="s">
        <v>2584</v>
      </c>
      <c r="E289" s="17" t="s">
        <v>33</v>
      </c>
      <c r="F289" s="17" t="s">
        <v>21</v>
      </c>
      <c r="G289" s="17" t="s">
        <v>22</v>
      </c>
      <c r="H289" s="17" t="s">
        <v>2591</v>
      </c>
      <c r="I289" s="17" t="s">
        <v>48</v>
      </c>
      <c r="J289" s="36">
        <v>13472.22</v>
      </c>
      <c r="K289" s="36">
        <v>23742.29</v>
      </c>
      <c r="L289" s="36">
        <f t="shared" si="20"/>
        <v>10270.070000000002</v>
      </c>
      <c r="M289" s="37">
        <f t="shared" si="21"/>
        <v>0.76231459996941875</v>
      </c>
      <c r="N289" s="17" t="str">
        <f t="shared" si="22"/>
        <v>Over Budget</v>
      </c>
      <c r="O289" s="38">
        <f t="shared" si="23"/>
        <v>23742.29</v>
      </c>
      <c r="P289" s="39">
        <f t="shared" si="24"/>
        <v>45689</v>
      </c>
    </row>
    <row r="290" spans="1:16" ht="15.5" x14ac:dyDescent="0.35">
      <c r="A290" s="17" t="s">
        <v>338</v>
      </c>
      <c r="B290" s="35">
        <v>46134</v>
      </c>
      <c r="C290" s="17" t="s">
        <v>25</v>
      </c>
      <c r="D290" s="17" t="s">
        <v>32</v>
      </c>
      <c r="E290" s="17" t="s">
        <v>109</v>
      </c>
      <c r="F290" s="17" t="s">
        <v>15</v>
      </c>
      <c r="G290" s="17" t="s">
        <v>29</v>
      </c>
      <c r="H290" s="17" t="s">
        <v>2590</v>
      </c>
      <c r="I290" s="17" t="s">
        <v>23</v>
      </c>
      <c r="J290" s="36">
        <v>7142.86</v>
      </c>
      <c r="K290" s="36">
        <v>10967.94</v>
      </c>
      <c r="L290" s="36">
        <f t="shared" si="20"/>
        <v>3825.0800000000008</v>
      </c>
      <c r="M290" s="37">
        <f t="shared" si="21"/>
        <v>0.53551098579560585</v>
      </c>
      <c r="N290" s="17" t="str">
        <f t="shared" si="22"/>
        <v>Over Budget</v>
      </c>
      <c r="O290" s="38">
        <f t="shared" si="23"/>
        <v>10967.94</v>
      </c>
      <c r="P290" s="39">
        <f t="shared" si="24"/>
        <v>46113</v>
      </c>
    </row>
    <row r="291" spans="1:16" ht="15.5" x14ac:dyDescent="0.35">
      <c r="A291" s="17" t="s">
        <v>339</v>
      </c>
      <c r="B291" s="35">
        <v>45872</v>
      </c>
      <c r="C291" s="17" t="s">
        <v>25</v>
      </c>
      <c r="D291" s="17" t="s">
        <v>32</v>
      </c>
      <c r="E291" s="17" t="s">
        <v>33</v>
      </c>
      <c r="F291" s="17" t="s">
        <v>21</v>
      </c>
      <c r="G291" s="17" t="s">
        <v>22</v>
      </c>
      <c r="H291" s="17" t="s">
        <v>2594</v>
      </c>
      <c r="I291" s="17" t="s">
        <v>30</v>
      </c>
      <c r="J291" s="36">
        <v>10416.67</v>
      </c>
      <c r="K291" s="36">
        <v>4693.6099999999997</v>
      </c>
      <c r="L291" s="36">
        <f t="shared" si="20"/>
        <v>-5723.06</v>
      </c>
      <c r="M291" s="37">
        <f t="shared" si="21"/>
        <v>-0.54941358418765307</v>
      </c>
      <c r="N291" s="17" t="str">
        <f t="shared" si="22"/>
        <v>Under Budget</v>
      </c>
      <c r="O291" s="38">
        <f t="shared" si="23"/>
        <v>4693.6099999999997</v>
      </c>
      <c r="P291" s="39">
        <f t="shared" si="24"/>
        <v>45870</v>
      </c>
    </row>
    <row r="292" spans="1:16" ht="15.5" x14ac:dyDescent="0.35">
      <c r="A292" s="17" t="s">
        <v>340</v>
      </c>
      <c r="B292" s="35">
        <v>46118</v>
      </c>
      <c r="C292" s="17" t="s">
        <v>25</v>
      </c>
      <c r="D292" s="17" t="s">
        <v>32</v>
      </c>
      <c r="E292" s="17" t="s">
        <v>33</v>
      </c>
      <c r="F292" s="17" t="s">
        <v>15</v>
      </c>
      <c r="G292" s="17" t="s">
        <v>38</v>
      </c>
      <c r="H292" s="17" t="s">
        <v>2597</v>
      </c>
      <c r="I292" s="17" t="s">
        <v>23</v>
      </c>
      <c r="J292" s="36">
        <v>8333.33</v>
      </c>
      <c r="K292" s="36">
        <v>6863.15</v>
      </c>
      <c r="L292" s="36">
        <f t="shared" si="20"/>
        <v>-1470.1800000000003</v>
      </c>
      <c r="M292" s="37">
        <f t="shared" si="21"/>
        <v>-0.17642167056866825</v>
      </c>
      <c r="N292" s="17" t="str">
        <f t="shared" si="22"/>
        <v>Under Budget</v>
      </c>
      <c r="O292" s="38">
        <f t="shared" si="23"/>
        <v>6863.15</v>
      </c>
      <c r="P292" s="39">
        <f t="shared" si="24"/>
        <v>46113</v>
      </c>
    </row>
    <row r="293" spans="1:16" ht="15.5" x14ac:dyDescent="0.35">
      <c r="A293" s="17" t="s">
        <v>341</v>
      </c>
      <c r="B293" s="35">
        <v>45730</v>
      </c>
      <c r="C293" s="17" t="s">
        <v>12</v>
      </c>
      <c r="D293" s="17" t="s">
        <v>26</v>
      </c>
      <c r="E293" s="17" t="s">
        <v>47</v>
      </c>
      <c r="F293" s="17" t="s">
        <v>52</v>
      </c>
      <c r="G293" s="17" t="s">
        <v>22</v>
      </c>
      <c r="H293" s="17" t="s">
        <v>2588</v>
      </c>
      <c r="I293" s="17" t="s">
        <v>39</v>
      </c>
      <c r="J293" s="36">
        <v>4375</v>
      </c>
      <c r="K293" s="36">
        <v>4151.1400000000003</v>
      </c>
      <c r="L293" s="36">
        <f t="shared" si="20"/>
        <v>-223.85999999999967</v>
      </c>
      <c r="M293" s="37">
        <f t="shared" si="21"/>
        <v>-5.1167999999999922E-2</v>
      </c>
      <c r="N293" s="17" t="str">
        <f t="shared" si="22"/>
        <v>Under Budget</v>
      </c>
      <c r="O293" s="38">
        <f t="shared" si="23"/>
        <v>-4151.1400000000003</v>
      </c>
      <c r="P293" s="39">
        <f t="shared" si="24"/>
        <v>45717</v>
      </c>
    </row>
    <row r="294" spans="1:16" ht="15.5" x14ac:dyDescent="0.35">
      <c r="A294" s="17" t="s">
        <v>342</v>
      </c>
      <c r="B294" s="35">
        <v>45772</v>
      </c>
      <c r="C294" s="17" t="s">
        <v>12</v>
      </c>
      <c r="D294" s="17" t="s">
        <v>36</v>
      </c>
      <c r="E294" s="17" t="s">
        <v>47</v>
      </c>
      <c r="F294" s="17" t="s">
        <v>52</v>
      </c>
      <c r="G294" s="17" t="s">
        <v>43</v>
      </c>
      <c r="H294" s="17" t="s">
        <v>80</v>
      </c>
      <c r="I294" s="17" t="s">
        <v>23</v>
      </c>
      <c r="J294" s="36">
        <v>4375</v>
      </c>
      <c r="K294" s="36">
        <v>934.56</v>
      </c>
      <c r="L294" s="36">
        <f t="shared" si="20"/>
        <v>-3440.44</v>
      </c>
      <c r="M294" s="37">
        <f t="shared" si="21"/>
        <v>-0.7863862857142857</v>
      </c>
      <c r="N294" s="17" t="str">
        <f t="shared" si="22"/>
        <v>Under Budget</v>
      </c>
      <c r="O294" s="38">
        <f t="shared" si="23"/>
        <v>-934.56</v>
      </c>
      <c r="P294" s="39">
        <f t="shared" si="24"/>
        <v>45748</v>
      </c>
    </row>
    <row r="295" spans="1:16" ht="15.5" x14ac:dyDescent="0.35">
      <c r="A295" s="17" t="s">
        <v>343</v>
      </c>
      <c r="B295" s="35">
        <v>45662</v>
      </c>
      <c r="C295" s="17" t="s">
        <v>25</v>
      </c>
      <c r="D295" s="17" t="s">
        <v>13</v>
      </c>
      <c r="E295" s="17" t="s">
        <v>27</v>
      </c>
      <c r="F295" s="17" t="s">
        <v>52</v>
      </c>
      <c r="G295" s="17" t="s">
        <v>38</v>
      </c>
      <c r="H295" s="17" t="s">
        <v>2591</v>
      </c>
      <c r="I295" s="17" t="s">
        <v>30</v>
      </c>
      <c r="J295" s="36">
        <v>11085.71</v>
      </c>
      <c r="K295" s="36">
        <v>802.54</v>
      </c>
      <c r="L295" s="36">
        <f t="shared" si="20"/>
        <v>-10283.169999999998</v>
      </c>
      <c r="M295" s="37">
        <f t="shared" si="21"/>
        <v>-0.92760589984764164</v>
      </c>
      <c r="N295" s="17" t="str">
        <f t="shared" si="22"/>
        <v>Under Budget</v>
      </c>
      <c r="O295" s="38">
        <f t="shared" si="23"/>
        <v>802.54</v>
      </c>
      <c r="P295" s="39">
        <f t="shared" si="24"/>
        <v>45658</v>
      </c>
    </row>
    <row r="296" spans="1:16" ht="15.5" x14ac:dyDescent="0.35">
      <c r="A296" s="17" t="s">
        <v>344</v>
      </c>
      <c r="B296" s="35">
        <v>46059</v>
      </c>
      <c r="C296" s="17" t="s">
        <v>12</v>
      </c>
      <c r="D296" s="17" t="s">
        <v>19</v>
      </c>
      <c r="E296" s="17" t="s">
        <v>20</v>
      </c>
      <c r="F296" s="17" t="s">
        <v>34</v>
      </c>
      <c r="G296" s="17" t="s">
        <v>29</v>
      </c>
      <c r="H296" s="17" t="s">
        <v>2598</v>
      </c>
      <c r="I296" s="17" t="s">
        <v>23</v>
      </c>
      <c r="J296" s="36">
        <v>2182.5</v>
      </c>
      <c r="K296" s="36">
        <v>905.57</v>
      </c>
      <c r="L296" s="36">
        <f t="shared" si="20"/>
        <v>-1276.9299999999998</v>
      </c>
      <c r="M296" s="37">
        <f t="shared" si="21"/>
        <v>-0.5850767468499426</v>
      </c>
      <c r="N296" s="17" t="str">
        <f t="shared" si="22"/>
        <v>Under Budget</v>
      </c>
      <c r="O296" s="38">
        <f t="shared" si="23"/>
        <v>-905.57</v>
      </c>
      <c r="P296" s="39">
        <f t="shared" si="24"/>
        <v>46054</v>
      </c>
    </row>
    <row r="297" spans="1:16" ht="15.5" x14ac:dyDescent="0.35">
      <c r="A297" s="17" t="s">
        <v>345</v>
      </c>
      <c r="B297" s="35">
        <v>45970</v>
      </c>
      <c r="C297" s="17" t="s">
        <v>25</v>
      </c>
      <c r="D297" s="17" t="s">
        <v>13</v>
      </c>
      <c r="E297" s="17" t="s">
        <v>33</v>
      </c>
      <c r="F297" s="17" t="s">
        <v>34</v>
      </c>
      <c r="G297" s="17" t="s">
        <v>38</v>
      </c>
      <c r="H297" s="17" t="s">
        <v>2596</v>
      </c>
      <c r="I297" s="17" t="s">
        <v>48</v>
      </c>
      <c r="J297" s="36">
        <v>13125</v>
      </c>
      <c r="K297" s="36">
        <v>16764.259999999998</v>
      </c>
      <c r="L297" s="36">
        <f t="shared" si="20"/>
        <v>3639.2599999999984</v>
      </c>
      <c r="M297" s="37">
        <f t="shared" si="21"/>
        <v>0.27727695238095224</v>
      </c>
      <c r="N297" s="17" t="str">
        <f t="shared" si="22"/>
        <v>Over Budget</v>
      </c>
      <c r="O297" s="38">
        <f t="shared" si="23"/>
        <v>16764.259999999998</v>
      </c>
      <c r="P297" s="39">
        <f t="shared" si="24"/>
        <v>45962</v>
      </c>
    </row>
    <row r="298" spans="1:16" ht="15.5" x14ac:dyDescent="0.35">
      <c r="A298" s="17" t="s">
        <v>346</v>
      </c>
      <c r="B298" s="35">
        <v>45691</v>
      </c>
      <c r="C298" s="17" t="s">
        <v>12</v>
      </c>
      <c r="D298" s="17" t="s">
        <v>26</v>
      </c>
      <c r="E298" s="17" t="s">
        <v>37</v>
      </c>
      <c r="F298" s="17" t="s">
        <v>52</v>
      </c>
      <c r="G298" s="17" t="s">
        <v>38</v>
      </c>
      <c r="H298" s="17" t="s">
        <v>2594</v>
      </c>
      <c r="I298" s="17" t="s">
        <v>23</v>
      </c>
      <c r="J298" s="36">
        <v>6790</v>
      </c>
      <c r="K298" s="36">
        <v>1124.74</v>
      </c>
      <c r="L298" s="36">
        <f t="shared" si="20"/>
        <v>-5665.26</v>
      </c>
      <c r="M298" s="37">
        <f t="shared" si="21"/>
        <v>-0.83435346097201768</v>
      </c>
      <c r="N298" s="17" t="str">
        <f t="shared" si="22"/>
        <v>Under Budget</v>
      </c>
      <c r="O298" s="38">
        <f t="shared" si="23"/>
        <v>-1124.74</v>
      </c>
      <c r="P298" s="39">
        <f t="shared" si="24"/>
        <v>45689</v>
      </c>
    </row>
    <row r="299" spans="1:16" ht="15.5" x14ac:dyDescent="0.35">
      <c r="A299" s="17" t="s">
        <v>347</v>
      </c>
      <c r="B299" s="35">
        <v>46098</v>
      </c>
      <c r="C299" s="17" t="s">
        <v>12</v>
      </c>
      <c r="D299" s="17" t="s">
        <v>13</v>
      </c>
      <c r="E299" s="17" t="s">
        <v>45</v>
      </c>
      <c r="F299" s="17" t="s">
        <v>52</v>
      </c>
      <c r="G299" s="17" t="s">
        <v>38</v>
      </c>
      <c r="H299" s="17" t="s">
        <v>80</v>
      </c>
      <c r="I299" s="17" t="s">
        <v>23</v>
      </c>
      <c r="J299" s="36">
        <v>7200</v>
      </c>
      <c r="K299" s="36">
        <v>15379.86</v>
      </c>
      <c r="L299" s="36">
        <f t="shared" si="20"/>
        <v>8179.8600000000006</v>
      </c>
      <c r="M299" s="37">
        <f t="shared" si="21"/>
        <v>1.1360916666666667</v>
      </c>
      <c r="N299" s="17" t="str">
        <f t="shared" si="22"/>
        <v>Over Budget</v>
      </c>
      <c r="O299" s="38">
        <f t="shared" si="23"/>
        <v>-15379.86</v>
      </c>
      <c r="P299" s="39">
        <f t="shared" si="24"/>
        <v>46082</v>
      </c>
    </row>
    <row r="300" spans="1:16" ht="15.5" x14ac:dyDescent="0.35">
      <c r="A300" s="17" t="s">
        <v>348</v>
      </c>
      <c r="B300" s="35">
        <v>45719</v>
      </c>
      <c r="C300" s="17" t="s">
        <v>12</v>
      </c>
      <c r="D300" s="17" t="s">
        <v>32</v>
      </c>
      <c r="E300" s="17" t="s">
        <v>74</v>
      </c>
      <c r="F300" s="17" t="s">
        <v>52</v>
      </c>
      <c r="G300" s="17" t="s">
        <v>22</v>
      </c>
      <c r="H300" s="17" t="s">
        <v>2597</v>
      </c>
      <c r="I300" s="17" t="s">
        <v>2583</v>
      </c>
      <c r="J300" s="36">
        <v>8000</v>
      </c>
      <c r="K300" s="36">
        <v>4526.22</v>
      </c>
      <c r="L300" s="36">
        <f t="shared" si="20"/>
        <v>-3473.7799999999997</v>
      </c>
      <c r="M300" s="37">
        <f t="shared" si="21"/>
        <v>-0.43422249999999996</v>
      </c>
      <c r="N300" s="17" t="str">
        <f t="shared" si="22"/>
        <v>Under Budget</v>
      </c>
      <c r="O300" s="38">
        <f t="shared" si="23"/>
        <v>-4526.22</v>
      </c>
      <c r="P300" s="39">
        <f t="shared" si="24"/>
        <v>45717</v>
      </c>
    </row>
    <row r="301" spans="1:16" ht="15.5" x14ac:dyDescent="0.35">
      <c r="A301" s="17" t="s">
        <v>349</v>
      </c>
      <c r="B301" s="35">
        <v>46119</v>
      </c>
      <c r="C301" s="17" t="s">
        <v>25</v>
      </c>
      <c r="D301" s="17" t="s">
        <v>19</v>
      </c>
      <c r="E301" s="17" t="s">
        <v>109</v>
      </c>
      <c r="F301" s="17" t="s">
        <v>52</v>
      </c>
      <c r="G301" s="17" t="s">
        <v>38</v>
      </c>
      <c r="H301" s="17" t="s">
        <v>2594</v>
      </c>
      <c r="I301" s="17" t="s">
        <v>39</v>
      </c>
      <c r="J301" s="36">
        <v>7142.86</v>
      </c>
      <c r="K301" s="36">
        <v>5008.3</v>
      </c>
      <c r="L301" s="36">
        <f t="shared" si="20"/>
        <v>-2134.5599999999995</v>
      </c>
      <c r="M301" s="37">
        <f t="shared" si="21"/>
        <v>-0.29883828046468774</v>
      </c>
      <c r="N301" s="17" t="str">
        <f t="shared" si="22"/>
        <v>Under Budget</v>
      </c>
      <c r="O301" s="38">
        <f t="shared" si="23"/>
        <v>5008.3</v>
      </c>
      <c r="P301" s="39">
        <f t="shared" si="24"/>
        <v>46113</v>
      </c>
    </row>
    <row r="302" spans="1:16" ht="15.5" x14ac:dyDescent="0.35">
      <c r="A302" s="17" t="s">
        <v>350</v>
      </c>
      <c r="B302" s="35">
        <v>45992</v>
      </c>
      <c r="C302" s="17" t="s">
        <v>12</v>
      </c>
      <c r="D302" s="17" t="s">
        <v>19</v>
      </c>
      <c r="E302" s="17" t="s">
        <v>41</v>
      </c>
      <c r="F302" s="17" t="s">
        <v>52</v>
      </c>
      <c r="G302" s="17" t="s">
        <v>22</v>
      </c>
      <c r="H302" s="17" t="s">
        <v>2588</v>
      </c>
      <c r="I302" s="17" t="s">
        <v>23</v>
      </c>
      <c r="J302" s="36">
        <v>5250</v>
      </c>
      <c r="K302" s="36">
        <v>10154.84</v>
      </c>
      <c r="L302" s="36">
        <f t="shared" si="20"/>
        <v>4904.84</v>
      </c>
      <c r="M302" s="37">
        <f t="shared" si="21"/>
        <v>0.93425523809523814</v>
      </c>
      <c r="N302" s="17" t="str">
        <f t="shared" si="22"/>
        <v>Over Budget</v>
      </c>
      <c r="O302" s="38">
        <f t="shared" si="23"/>
        <v>-10154.84</v>
      </c>
      <c r="P302" s="39">
        <f t="shared" si="24"/>
        <v>45992</v>
      </c>
    </row>
    <row r="303" spans="1:16" ht="15.5" x14ac:dyDescent="0.35">
      <c r="A303" s="17" t="s">
        <v>351</v>
      </c>
      <c r="B303" s="35">
        <v>46134</v>
      </c>
      <c r="C303" s="17" t="s">
        <v>12</v>
      </c>
      <c r="D303" s="17" t="s">
        <v>19</v>
      </c>
      <c r="E303" s="17" t="s">
        <v>41</v>
      </c>
      <c r="F303" s="17" t="s">
        <v>34</v>
      </c>
      <c r="G303" s="17" t="s">
        <v>22</v>
      </c>
      <c r="H303" s="17" t="s">
        <v>2589</v>
      </c>
      <c r="I303" s="17" t="s">
        <v>23</v>
      </c>
      <c r="J303" s="36">
        <v>10833.33</v>
      </c>
      <c r="K303" s="36">
        <v>6460.67</v>
      </c>
      <c r="L303" s="36">
        <f t="shared" si="20"/>
        <v>-4372.66</v>
      </c>
      <c r="M303" s="37">
        <f t="shared" si="21"/>
        <v>-0.40363027804008555</v>
      </c>
      <c r="N303" s="17" t="str">
        <f t="shared" si="22"/>
        <v>Under Budget</v>
      </c>
      <c r="O303" s="38">
        <f t="shared" si="23"/>
        <v>-6460.67</v>
      </c>
      <c r="P303" s="39">
        <f t="shared" si="24"/>
        <v>46113</v>
      </c>
    </row>
    <row r="304" spans="1:16" ht="15.5" x14ac:dyDescent="0.35">
      <c r="A304" s="17" t="s">
        <v>352</v>
      </c>
      <c r="B304" s="35">
        <v>45870</v>
      </c>
      <c r="C304" s="17" t="s">
        <v>12</v>
      </c>
      <c r="D304" s="17" t="s">
        <v>19</v>
      </c>
      <c r="E304" s="17" t="s">
        <v>45</v>
      </c>
      <c r="F304" s="17" t="s">
        <v>52</v>
      </c>
      <c r="G304" s="17" t="s">
        <v>16</v>
      </c>
      <c r="H304" s="17" t="s">
        <v>2598</v>
      </c>
      <c r="I304" s="17" t="s">
        <v>23</v>
      </c>
      <c r="J304" s="36">
        <v>8181.82</v>
      </c>
      <c r="K304" s="36">
        <v>2930.11</v>
      </c>
      <c r="L304" s="36">
        <f t="shared" si="20"/>
        <v>-5251.7099999999991</v>
      </c>
      <c r="M304" s="37">
        <f t="shared" si="21"/>
        <v>-0.64187552402766124</v>
      </c>
      <c r="N304" s="17" t="str">
        <f t="shared" si="22"/>
        <v>Under Budget</v>
      </c>
      <c r="O304" s="38">
        <f t="shared" si="23"/>
        <v>-2930.11</v>
      </c>
      <c r="P304" s="39">
        <f t="shared" si="24"/>
        <v>45870</v>
      </c>
    </row>
    <row r="305" spans="1:16" ht="15.5" x14ac:dyDescent="0.35">
      <c r="A305" s="17" t="s">
        <v>353</v>
      </c>
      <c r="B305" s="35">
        <v>45741</v>
      </c>
      <c r="C305" s="17" t="s">
        <v>12</v>
      </c>
      <c r="D305" s="17" t="s">
        <v>13</v>
      </c>
      <c r="E305" s="17" t="s">
        <v>45</v>
      </c>
      <c r="F305" s="17" t="s">
        <v>21</v>
      </c>
      <c r="G305" s="17" t="s">
        <v>16</v>
      </c>
      <c r="H305" s="17" t="s">
        <v>80</v>
      </c>
      <c r="I305" s="17" t="s">
        <v>17</v>
      </c>
      <c r="J305" s="36">
        <v>6000</v>
      </c>
      <c r="K305" s="36">
        <v>11664.01</v>
      </c>
      <c r="L305" s="36">
        <f t="shared" si="20"/>
        <v>5664.01</v>
      </c>
      <c r="M305" s="37">
        <f t="shared" si="21"/>
        <v>0.94400166666666674</v>
      </c>
      <c r="N305" s="17" t="str">
        <f t="shared" si="22"/>
        <v>Over Budget</v>
      </c>
      <c r="O305" s="38">
        <f t="shared" si="23"/>
        <v>-11664.01</v>
      </c>
      <c r="P305" s="39">
        <f t="shared" si="24"/>
        <v>45717</v>
      </c>
    </row>
    <row r="306" spans="1:16" ht="15.5" x14ac:dyDescent="0.35">
      <c r="A306" s="17" t="s">
        <v>354</v>
      </c>
      <c r="B306" s="35">
        <v>46138</v>
      </c>
      <c r="C306" s="17" t="s">
        <v>25</v>
      </c>
      <c r="D306" s="17" t="s">
        <v>19</v>
      </c>
      <c r="E306" s="17" t="s">
        <v>109</v>
      </c>
      <c r="F306" s="17" t="s">
        <v>34</v>
      </c>
      <c r="G306" s="17" t="s">
        <v>22</v>
      </c>
      <c r="H306" s="17" t="s">
        <v>2588</v>
      </c>
      <c r="I306" s="17" t="s">
        <v>17</v>
      </c>
      <c r="J306" s="36">
        <v>7142.86</v>
      </c>
      <c r="K306" s="36">
        <v>10781.63</v>
      </c>
      <c r="L306" s="36">
        <f t="shared" si="20"/>
        <v>3638.7699999999995</v>
      </c>
      <c r="M306" s="37">
        <f t="shared" si="21"/>
        <v>0.5094275962289615</v>
      </c>
      <c r="N306" s="17" t="str">
        <f t="shared" si="22"/>
        <v>Over Budget</v>
      </c>
      <c r="O306" s="38">
        <f t="shared" si="23"/>
        <v>10781.63</v>
      </c>
      <c r="P306" s="39">
        <f t="shared" si="24"/>
        <v>46113</v>
      </c>
    </row>
    <row r="307" spans="1:16" ht="15.5" x14ac:dyDescent="0.35">
      <c r="A307" s="17" t="s">
        <v>355</v>
      </c>
      <c r="B307" s="35">
        <v>45865</v>
      </c>
      <c r="C307" s="17" t="s">
        <v>25</v>
      </c>
      <c r="D307" s="17" t="s">
        <v>36</v>
      </c>
      <c r="E307" s="17" t="s">
        <v>33</v>
      </c>
      <c r="F307" s="17" t="s">
        <v>34</v>
      </c>
      <c r="G307" s="17" t="s">
        <v>38</v>
      </c>
      <c r="H307" s="17" t="s">
        <v>60</v>
      </c>
      <c r="I307" s="17" t="s">
        <v>48</v>
      </c>
      <c r="J307" s="36">
        <v>12500</v>
      </c>
      <c r="K307" s="36">
        <v>12241.83</v>
      </c>
      <c r="L307" s="36">
        <f t="shared" si="20"/>
        <v>-258.17000000000007</v>
      </c>
      <c r="M307" s="37">
        <f t="shared" si="21"/>
        <v>-2.0653600000000005E-2</v>
      </c>
      <c r="N307" s="17" t="str">
        <f t="shared" si="22"/>
        <v>Under Budget</v>
      </c>
      <c r="O307" s="38">
        <f t="shared" si="23"/>
        <v>12241.83</v>
      </c>
      <c r="P307" s="39">
        <f t="shared" si="24"/>
        <v>45839</v>
      </c>
    </row>
    <row r="308" spans="1:16" ht="15.5" x14ac:dyDescent="0.35">
      <c r="A308" s="17" t="s">
        <v>356</v>
      </c>
      <c r="B308" s="35">
        <v>46122</v>
      </c>
      <c r="C308" s="17" t="s">
        <v>12</v>
      </c>
      <c r="D308" s="17" t="s">
        <v>13</v>
      </c>
      <c r="E308" s="17" t="s">
        <v>77</v>
      </c>
      <c r="F308" s="17" t="s">
        <v>21</v>
      </c>
      <c r="G308" s="17" t="s">
        <v>43</v>
      </c>
      <c r="H308" s="17" t="s">
        <v>2588</v>
      </c>
      <c r="I308" s="17" t="s">
        <v>39</v>
      </c>
      <c r="J308" s="36">
        <v>2750</v>
      </c>
      <c r="K308" s="36">
        <v>2637.88</v>
      </c>
      <c r="L308" s="36">
        <f t="shared" si="20"/>
        <v>-112.11999999999989</v>
      </c>
      <c r="M308" s="37">
        <f t="shared" si="21"/>
        <v>-4.0770909090909052E-2</v>
      </c>
      <c r="N308" s="17" t="str">
        <f t="shared" si="22"/>
        <v>Under Budget</v>
      </c>
      <c r="O308" s="38">
        <f t="shared" si="23"/>
        <v>-2637.88</v>
      </c>
      <c r="P308" s="39">
        <f t="shared" si="24"/>
        <v>46113</v>
      </c>
    </row>
    <row r="309" spans="1:16" ht="15.5" x14ac:dyDescent="0.35">
      <c r="A309" s="17" t="s">
        <v>357</v>
      </c>
      <c r="B309" s="35">
        <v>45671</v>
      </c>
      <c r="C309" s="17" t="s">
        <v>25</v>
      </c>
      <c r="D309" s="17" t="s">
        <v>36</v>
      </c>
      <c r="E309" s="17" t="s">
        <v>33</v>
      </c>
      <c r="F309" s="17" t="s">
        <v>34</v>
      </c>
      <c r="G309" s="17" t="s">
        <v>38</v>
      </c>
      <c r="H309" s="17" t="s">
        <v>2592</v>
      </c>
      <c r="I309" s="17" t="s">
        <v>39</v>
      </c>
      <c r="J309" s="36">
        <v>11022.73</v>
      </c>
      <c r="K309" s="36">
        <v>21875.49</v>
      </c>
      <c r="L309" s="36">
        <f t="shared" si="20"/>
        <v>10852.760000000002</v>
      </c>
      <c r="M309" s="37">
        <f t="shared" si="21"/>
        <v>0.98458004505236019</v>
      </c>
      <c r="N309" s="17" t="str">
        <f t="shared" si="22"/>
        <v>Over Budget</v>
      </c>
      <c r="O309" s="38">
        <f t="shared" si="23"/>
        <v>21875.49</v>
      </c>
      <c r="P309" s="39">
        <f t="shared" si="24"/>
        <v>45658</v>
      </c>
    </row>
    <row r="310" spans="1:16" ht="15.5" x14ac:dyDescent="0.35">
      <c r="A310" s="17" t="s">
        <v>358</v>
      </c>
      <c r="B310" s="35">
        <v>45757</v>
      </c>
      <c r="C310" s="17" t="s">
        <v>12</v>
      </c>
      <c r="D310" s="17" t="s">
        <v>2585</v>
      </c>
      <c r="E310" s="17" t="s">
        <v>51</v>
      </c>
      <c r="F310" s="17" t="s">
        <v>28</v>
      </c>
      <c r="G310" s="17" t="s">
        <v>22</v>
      </c>
      <c r="H310" s="17" t="s">
        <v>2598</v>
      </c>
      <c r="I310" s="17" t="s">
        <v>30</v>
      </c>
      <c r="J310" s="36">
        <v>3750</v>
      </c>
      <c r="K310" s="36">
        <v>4935.22</v>
      </c>
      <c r="L310" s="36">
        <f t="shared" si="20"/>
        <v>1185.2200000000003</v>
      </c>
      <c r="M310" s="37">
        <f t="shared" si="21"/>
        <v>0.31605866666666671</v>
      </c>
      <c r="N310" s="17" t="str">
        <f t="shared" si="22"/>
        <v>Over Budget</v>
      </c>
      <c r="O310" s="38">
        <f t="shared" si="23"/>
        <v>-4935.22</v>
      </c>
      <c r="P310" s="39">
        <f t="shared" si="24"/>
        <v>45748</v>
      </c>
    </row>
    <row r="311" spans="1:16" ht="15.5" x14ac:dyDescent="0.35">
      <c r="A311" s="17" t="s">
        <v>359</v>
      </c>
      <c r="B311" s="35">
        <v>45677</v>
      </c>
      <c r="C311" s="17" t="s">
        <v>12</v>
      </c>
      <c r="D311" s="17" t="s">
        <v>32</v>
      </c>
      <c r="E311" s="17" t="s">
        <v>20</v>
      </c>
      <c r="F311" s="17" t="s">
        <v>52</v>
      </c>
      <c r="G311" s="17" t="s">
        <v>38</v>
      </c>
      <c r="H311" s="17" t="s">
        <v>2591</v>
      </c>
      <c r="I311" s="17" t="s">
        <v>30</v>
      </c>
      <c r="J311" s="36">
        <v>1746</v>
      </c>
      <c r="K311" s="36">
        <v>300.26</v>
      </c>
      <c r="L311" s="36">
        <f t="shared" si="20"/>
        <v>-1445.74</v>
      </c>
      <c r="M311" s="37">
        <f t="shared" si="21"/>
        <v>-0.82802978235967928</v>
      </c>
      <c r="N311" s="17" t="str">
        <f t="shared" si="22"/>
        <v>Under Budget</v>
      </c>
      <c r="O311" s="38">
        <f t="shared" si="23"/>
        <v>-300.26</v>
      </c>
      <c r="P311" s="39">
        <f t="shared" si="24"/>
        <v>45658</v>
      </c>
    </row>
    <row r="312" spans="1:16" ht="15.5" x14ac:dyDescent="0.35">
      <c r="A312" s="17" t="s">
        <v>360</v>
      </c>
      <c r="B312" s="35">
        <v>45866</v>
      </c>
      <c r="C312" s="17" t="s">
        <v>25</v>
      </c>
      <c r="D312" s="17" t="s">
        <v>32</v>
      </c>
      <c r="E312" s="17" t="s">
        <v>33</v>
      </c>
      <c r="F312" s="17" t="s">
        <v>28</v>
      </c>
      <c r="G312" s="17" t="s">
        <v>16</v>
      </c>
      <c r="H312" s="17" t="s">
        <v>2595</v>
      </c>
      <c r="I312" s="17" t="s">
        <v>30</v>
      </c>
      <c r="J312" s="36">
        <v>12500</v>
      </c>
      <c r="K312" s="36">
        <v>20466.97</v>
      </c>
      <c r="L312" s="36">
        <f t="shared" si="20"/>
        <v>7966.9700000000012</v>
      </c>
      <c r="M312" s="37">
        <f t="shared" si="21"/>
        <v>0.63735760000000008</v>
      </c>
      <c r="N312" s="17" t="str">
        <f t="shared" si="22"/>
        <v>Over Budget</v>
      </c>
      <c r="O312" s="38">
        <f t="shared" si="23"/>
        <v>20466.97</v>
      </c>
      <c r="P312" s="39">
        <f t="shared" si="24"/>
        <v>45839</v>
      </c>
    </row>
    <row r="313" spans="1:16" ht="15.5" x14ac:dyDescent="0.35">
      <c r="A313" s="17" t="s">
        <v>361</v>
      </c>
      <c r="B313" s="35">
        <v>45971</v>
      </c>
      <c r="C313" s="17" t="s">
        <v>12</v>
      </c>
      <c r="D313" s="17" t="s">
        <v>2584</v>
      </c>
      <c r="E313" s="17" t="s">
        <v>74</v>
      </c>
      <c r="F313" s="17" t="s">
        <v>15</v>
      </c>
      <c r="G313" s="17" t="s">
        <v>82</v>
      </c>
      <c r="H313" s="17" t="s">
        <v>2587</v>
      </c>
      <c r="I313" s="17" t="s">
        <v>48</v>
      </c>
      <c r="J313" s="36">
        <v>4666.67</v>
      </c>
      <c r="K313" s="36">
        <v>448.02</v>
      </c>
      <c r="L313" s="36">
        <f t="shared" si="20"/>
        <v>-4218.6499999999996</v>
      </c>
      <c r="M313" s="37">
        <f t="shared" si="21"/>
        <v>-0.90399578286015503</v>
      </c>
      <c r="N313" s="17" t="str">
        <f t="shared" si="22"/>
        <v>Under Budget</v>
      </c>
      <c r="O313" s="38">
        <f t="shared" si="23"/>
        <v>-448.02</v>
      </c>
      <c r="P313" s="39">
        <f t="shared" si="24"/>
        <v>45962</v>
      </c>
    </row>
    <row r="314" spans="1:16" ht="15.5" x14ac:dyDescent="0.35">
      <c r="A314" s="17" t="s">
        <v>362</v>
      </c>
      <c r="B314" s="35">
        <v>46199</v>
      </c>
      <c r="C314" s="17" t="s">
        <v>25</v>
      </c>
      <c r="D314" s="17" t="s">
        <v>36</v>
      </c>
      <c r="E314" s="17" t="s">
        <v>27</v>
      </c>
      <c r="F314" s="17" t="s">
        <v>34</v>
      </c>
      <c r="G314" s="17" t="s">
        <v>29</v>
      </c>
      <c r="H314" s="17" t="s">
        <v>2588</v>
      </c>
      <c r="I314" s="17" t="s">
        <v>30</v>
      </c>
      <c r="J314" s="36">
        <v>7272.73</v>
      </c>
      <c r="K314" s="36">
        <v>367.63</v>
      </c>
      <c r="L314" s="36">
        <f t="shared" si="20"/>
        <v>-6905.0999999999995</v>
      </c>
      <c r="M314" s="37">
        <f t="shared" si="21"/>
        <v>-0.94945089395591475</v>
      </c>
      <c r="N314" s="17" t="str">
        <f t="shared" si="22"/>
        <v>Under Budget</v>
      </c>
      <c r="O314" s="38">
        <f t="shared" si="23"/>
        <v>367.63</v>
      </c>
      <c r="P314" s="39">
        <f t="shared" si="24"/>
        <v>46174</v>
      </c>
    </row>
    <row r="315" spans="1:16" ht="15.5" x14ac:dyDescent="0.35">
      <c r="A315" s="17" t="s">
        <v>363</v>
      </c>
      <c r="B315" s="35">
        <v>46049</v>
      </c>
      <c r="C315" s="17" t="s">
        <v>25</v>
      </c>
      <c r="D315" s="17" t="s">
        <v>19</v>
      </c>
      <c r="E315" s="17" t="s">
        <v>169</v>
      </c>
      <c r="F315" s="17" t="s">
        <v>34</v>
      </c>
      <c r="G315" s="17" t="s">
        <v>22</v>
      </c>
      <c r="H315" s="17" t="s">
        <v>2589</v>
      </c>
      <c r="I315" s="17" t="s">
        <v>48</v>
      </c>
      <c r="J315" s="36">
        <v>19400</v>
      </c>
      <c r="K315" s="36">
        <v>2708.84</v>
      </c>
      <c r="L315" s="36">
        <f t="shared" si="20"/>
        <v>-16691.16</v>
      </c>
      <c r="M315" s="37">
        <f t="shared" si="21"/>
        <v>-0.8603690721649484</v>
      </c>
      <c r="N315" s="17" t="str">
        <f t="shared" si="22"/>
        <v>Under Budget</v>
      </c>
      <c r="O315" s="38">
        <f t="shared" si="23"/>
        <v>2708.84</v>
      </c>
      <c r="P315" s="39">
        <f t="shared" si="24"/>
        <v>46023</v>
      </c>
    </row>
    <row r="316" spans="1:16" ht="15.5" x14ac:dyDescent="0.35">
      <c r="A316" s="17" t="s">
        <v>364</v>
      </c>
      <c r="B316" s="35">
        <v>46134</v>
      </c>
      <c r="C316" s="17" t="s">
        <v>25</v>
      </c>
      <c r="D316" s="17" t="s">
        <v>13</v>
      </c>
      <c r="E316" s="17" t="s">
        <v>33</v>
      </c>
      <c r="F316" s="17" t="s">
        <v>52</v>
      </c>
      <c r="G316" s="17" t="s">
        <v>22</v>
      </c>
      <c r="H316" s="17" t="s">
        <v>2587</v>
      </c>
      <c r="I316" s="17" t="s">
        <v>23</v>
      </c>
      <c r="J316" s="36">
        <v>8333.33</v>
      </c>
      <c r="K316" s="36">
        <v>3987.47</v>
      </c>
      <c r="L316" s="36">
        <f t="shared" si="20"/>
        <v>-4345.8600000000006</v>
      </c>
      <c r="M316" s="37">
        <f t="shared" si="21"/>
        <v>-0.52150340860136346</v>
      </c>
      <c r="N316" s="17" t="str">
        <f t="shared" si="22"/>
        <v>Under Budget</v>
      </c>
      <c r="O316" s="38">
        <f t="shared" si="23"/>
        <v>3987.47</v>
      </c>
      <c r="P316" s="39">
        <f t="shared" si="24"/>
        <v>46113</v>
      </c>
    </row>
    <row r="317" spans="1:16" ht="15.5" x14ac:dyDescent="0.35">
      <c r="A317" s="17" t="s">
        <v>365</v>
      </c>
      <c r="B317" s="35">
        <v>45849</v>
      </c>
      <c r="C317" s="17" t="s">
        <v>12</v>
      </c>
      <c r="D317" s="17" t="s">
        <v>2585</v>
      </c>
      <c r="E317" s="17" t="s">
        <v>20</v>
      </c>
      <c r="F317" s="17" t="s">
        <v>52</v>
      </c>
      <c r="G317" s="17" t="s">
        <v>82</v>
      </c>
      <c r="H317" s="17" t="s">
        <v>2593</v>
      </c>
      <c r="I317" s="17" t="s">
        <v>30</v>
      </c>
      <c r="J317" s="36">
        <v>2250</v>
      </c>
      <c r="K317" s="36">
        <v>1646.36</v>
      </c>
      <c r="L317" s="36">
        <f t="shared" si="20"/>
        <v>-603.6400000000001</v>
      </c>
      <c r="M317" s="37">
        <f t="shared" si="21"/>
        <v>-0.26828444444444449</v>
      </c>
      <c r="N317" s="17" t="str">
        <f t="shared" si="22"/>
        <v>Under Budget</v>
      </c>
      <c r="O317" s="38">
        <f t="shared" si="23"/>
        <v>-1646.36</v>
      </c>
      <c r="P317" s="39">
        <f t="shared" si="24"/>
        <v>45839</v>
      </c>
    </row>
    <row r="318" spans="1:16" ht="15.5" x14ac:dyDescent="0.35">
      <c r="A318" s="17" t="s">
        <v>366</v>
      </c>
      <c r="B318" s="35">
        <v>46175</v>
      </c>
      <c r="C318" s="17" t="s">
        <v>12</v>
      </c>
      <c r="D318" s="17" t="s">
        <v>2585</v>
      </c>
      <c r="E318" s="17" t="s">
        <v>77</v>
      </c>
      <c r="F318" s="17" t="s">
        <v>52</v>
      </c>
      <c r="G318" s="17" t="s">
        <v>29</v>
      </c>
      <c r="H318" s="17" t="s">
        <v>2596</v>
      </c>
      <c r="I318" s="17" t="s">
        <v>39</v>
      </c>
      <c r="J318" s="36">
        <v>3142.86</v>
      </c>
      <c r="K318" s="36">
        <v>2823.88</v>
      </c>
      <c r="L318" s="36">
        <f t="shared" si="20"/>
        <v>-318.98</v>
      </c>
      <c r="M318" s="37">
        <f t="shared" si="21"/>
        <v>-0.10149354409677809</v>
      </c>
      <c r="N318" s="17" t="str">
        <f t="shared" si="22"/>
        <v>Under Budget</v>
      </c>
      <c r="O318" s="38">
        <f t="shared" si="23"/>
        <v>-2823.88</v>
      </c>
      <c r="P318" s="39">
        <f t="shared" si="24"/>
        <v>46174</v>
      </c>
    </row>
    <row r="319" spans="1:16" ht="15.5" x14ac:dyDescent="0.35">
      <c r="A319" s="17" t="s">
        <v>367</v>
      </c>
      <c r="B319" s="35">
        <v>45753</v>
      </c>
      <c r="C319" s="17" t="s">
        <v>12</v>
      </c>
      <c r="D319" s="17" t="s">
        <v>2584</v>
      </c>
      <c r="E319" s="17" t="s">
        <v>45</v>
      </c>
      <c r="F319" s="17" t="s">
        <v>28</v>
      </c>
      <c r="G319" s="17" t="s">
        <v>38</v>
      </c>
      <c r="H319" s="17" t="s">
        <v>2586</v>
      </c>
      <c r="I319" s="17" t="s">
        <v>23</v>
      </c>
      <c r="J319" s="36">
        <v>13846.15</v>
      </c>
      <c r="K319" s="36">
        <v>9523.67</v>
      </c>
      <c r="L319" s="36">
        <f t="shared" si="20"/>
        <v>-4322.4799999999996</v>
      </c>
      <c r="M319" s="37">
        <f t="shared" si="21"/>
        <v>-0.31217919782755493</v>
      </c>
      <c r="N319" s="17" t="str">
        <f t="shared" si="22"/>
        <v>Under Budget</v>
      </c>
      <c r="O319" s="38">
        <f t="shared" si="23"/>
        <v>-9523.67</v>
      </c>
      <c r="P319" s="39">
        <f t="shared" si="24"/>
        <v>45748</v>
      </c>
    </row>
    <row r="320" spans="1:16" ht="15.5" x14ac:dyDescent="0.35">
      <c r="A320" s="17" t="s">
        <v>368</v>
      </c>
      <c r="B320" s="35">
        <v>45733</v>
      </c>
      <c r="C320" s="17" t="s">
        <v>12</v>
      </c>
      <c r="D320" s="17" t="s">
        <v>36</v>
      </c>
      <c r="E320" s="17" t="s">
        <v>74</v>
      </c>
      <c r="F320" s="17" t="s">
        <v>28</v>
      </c>
      <c r="G320" s="17" t="s">
        <v>22</v>
      </c>
      <c r="H320" s="17" t="s">
        <v>2595</v>
      </c>
      <c r="I320" s="17" t="s">
        <v>48</v>
      </c>
      <c r="J320" s="36">
        <v>8000</v>
      </c>
      <c r="K320" s="36">
        <v>2020.04</v>
      </c>
      <c r="L320" s="36">
        <f t="shared" si="20"/>
        <v>-5979.96</v>
      </c>
      <c r="M320" s="37">
        <f t="shared" si="21"/>
        <v>-0.74749500000000002</v>
      </c>
      <c r="N320" s="17" t="str">
        <f t="shared" si="22"/>
        <v>Under Budget</v>
      </c>
      <c r="O320" s="38">
        <f t="shared" si="23"/>
        <v>-2020.04</v>
      </c>
      <c r="P320" s="39">
        <f t="shared" si="24"/>
        <v>45717</v>
      </c>
    </row>
    <row r="321" spans="1:16" ht="15.5" x14ac:dyDescent="0.35">
      <c r="A321" s="17" t="s">
        <v>369</v>
      </c>
      <c r="B321" s="35">
        <v>45717</v>
      </c>
      <c r="C321" s="17" t="s">
        <v>12</v>
      </c>
      <c r="D321" s="17" t="s">
        <v>13</v>
      </c>
      <c r="E321" s="17" t="s">
        <v>65</v>
      </c>
      <c r="F321" s="17" t="s">
        <v>52</v>
      </c>
      <c r="G321" s="17" t="s">
        <v>22</v>
      </c>
      <c r="H321" s="17" t="s">
        <v>2592</v>
      </c>
      <c r="I321" s="17" t="s">
        <v>23</v>
      </c>
      <c r="J321" s="36">
        <v>3928.57</v>
      </c>
      <c r="K321" s="36">
        <v>517.85</v>
      </c>
      <c r="L321" s="36">
        <f t="shared" si="20"/>
        <v>-3410.7200000000003</v>
      </c>
      <c r="M321" s="37">
        <f t="shared" si="21"/>
        <v>-0.86818358843039578</v>
      </c>
      <c r="N321" s="17" t="str">
        <f t="shared" si="22"/>
        <v>Under Budget</v>
      </c>
      <c r="O321" s="38">
        <f t="shared" si="23"/>
        <v>-517.85</v>
      </c>
      <c r="P321" s="39">
        <f t="shared" si="24"/>
        <v>45717</v>
      </c>
    </row>
    <row r="322" spans="1:16" ht="15.5" x14ac:dyDescent="0.35">
      <c r="A322" s="17" t="s">
        <v>370</v>
      </c>
      <c r="B322" s="35">
        <v>46103</v>
      </c>
      <c r="C322" s="17" t="s">
        <v>12</v>
      </c>
      <c r="D322" s="17" t="s">
        <v>2584</v>
      </c>
      <c r="E322" s="17" t="s">
        <v>41</v>
      </c>
      <c r="F322" s="17" t="s">
        <v>28</v>
      </c>
      <c r="G322" s="17" t="s">
        <v>38</v>
      </c>
      <c r="H322" s="17" t="s">
        <v>2592</v>
      </c>
      <c r="I322" s="17" t="s">
        <v>23</v>
      </c>
      <c r="J322" s="36">
        <v>6500</v>
      </c>
      <c r="K322" s="36">
        <v>8237.4699999999993</v>
      </c>
      <c r="L322" s="36">
        <f t="shared" si="20"/>
        <v>1737.4699999999993</v>
      </c>
      <c r="M322" s="37">
        <f t="shared" si="21"/>
        <v>0.26730307692307681</v>
      </c>
      <c r="N322" s="17" t="str">
        <f t="shared" si="22"/>
        <v>Over Budget</v>
      </c>
      <c r="O322" s="38">
        <f t="shared" si="23"/>
        <v>-8237.4699999999993</v>
      </c>
      <c r="P322" s="39">
        <f t="shared" si="24"/>
        <v>46082</v>
      </c>
    </row>
    <row r="323" spans="1:16" ht="15.5" x14ac:dyDescent="0.35">
      <c r="A323" s="17" t="s">
        <v>371</v>
      </c>
      <c r="B323" s="35">
        <v>45908</v>
      </c>
      <c r="C323" s="17" t="s">
        <v>12</v>
      </c>
      <c r="D323" s="17" t="s">
        <v>2585</v>
      </c>
      <c r="E323" s="17" t="s">
        <v>45</v>
      </c>
      <c r="F323" s="17" t="s">
        <v>21</v>
      </c>
      <c r="G323" s="17" t="s">
        <v>22</v>
      </c>
      <c r="H323" s="17" t="s">
        <v>2592</v>
      </c>
      <c r="I323" s="17" t="s">
        <v>39</v>
      </c>
      <c r="J323" s="36">
        <v>7500</v>
      </c>
      <c r="K323" s="36">
        <v>13717.35</v>
      </c>
      <c r="L323" s="36">
        <f t="shared" ref="L323:L386" si="25">K323-J323</f>
        <v>6217.35</v>
      </c>
      <c r="M323" s="37">
        <f t="shared" ref="M323:M386" si="26">IF(J323=0,0,L323/J323)</f>
        <v>0.82898000000000005</v>
      </c>
      <c r="N323" s="17" t="str">
        <f t="shared" ref="N323:N386" si="27">IF(J323=0,"No Budget",IF(K323&gt;J323,"Over Budget",IF(K323&lt;J323,"Under Budget","On Budget")))</f>
        <v>Over Budget</v>
      </c>
      <c r="O323" s="38">
        <f t="shared" ref="O323:O386" si="28">IF(C323="Revenue",K323,-K323)</f>
        <v>-13717.35</v>
      </c>
      <c r="P323" s="39">
        <f t="shared" ref="P323:P386" si="29">DATE(YEAR(B323),MONTH(B323),1)</f>
        <v>45901</v>
      </c>
    </row>
    <row r="324" spans="1:16" ht="15.5" x14ac:dyDescent="0.35">
      <c r="A324" s="17" t="s">
        <v>372</v>
      </c>
      <c r="B324" s="35">
        <v>45800</v>
      </c>
      <c r="C324" s="17" t="s">
        <v>12</v>
      </c>
      <c r="D324" s="17" t="s">
        <v>19</v>
      </c>
      <c r="E324" s="17" t="s">
        <v>45</v>
      </c>
      <c r="F324" s="17" t="s">
        <v>21</v>
      </c>
      <c r="G324" s="17" t="s">
        <v>38</v>
      </c>
      <c r="H324" s="17" t="s">
        <v>2591</v>
      </c>
      <c r="I324" s="17" t="s">
        <v>23</v>
      </c>
      <c r="J324" s="36">
        <v>7200</v>
      </c>
      <c r="K324" s="36">
        <v>1247.5</v>
      </c>
      <c r="L324" s="36">
        <f t="shared" si="25"/>
        <v>-5952.5</v>
      </c>
      <c r="M324" s="37">
        <f t="shared" si="26"/>
        <v>-0.82673611111111112</v>
      </c>
      <c r="N324" s="17" t="str">
        <f t="shared" si="27"/>
        <v>Under Budget</v>
      </c>
      <c r="O324" s="38">
        <f t="shared" si="28"/>
        <v>-1247.5</v>
      </c>
      <c r="P324" s="39">
        <f t="shared" si="29"/>
        <v>45778</v>
      </c>
    </row>
    <row r="325" spans="1:16" ht="15.5" x14ac:dyDescent="0.35">
      <c r="A325" s="17" t="s">
        <v>373</v>
      </c>
      <c r="B325" s="35">
        <v>45850</v>
      </c>
      <c r="C325" s="17" t="s">
        <v>12</v>
      </c>
      <c r="D325" s="17" t="s">
        <v>36</v>
      </c>
      <c r="E325" s="17" t="s">
        <v>65</v>
      </c>
      <c r="F325" s="17" t="s">
        <v>28</v>
      </c>
      <c r="G325" s="17" t="s">
        <v>16</v>
      </c>
      <c r="H325" s="17" t="s">
        <v>2597</v>
      </c>
      <c r="I325" s="17" t="s">
        <v>30</v>
      </c>
      <c r="J325" s="36">
        <v>3437.5</v>
      </c>
      <c r="K325" s="36">
        <v>4224.4799999999996</v>
      </c>
      <c r="L325" s="36">
        <f t="shared" si="25"/>
        <v>786.97999999999956</v>
      </c>
      <c r="M325" s="37">
        <f t="shared" si="26"/>
        <v>0.22893963636363623</v>
      </c>
      <c r="N325" s="17" t="str">
        <f t="shared" si="27"/>
        <v>Over Budget</v>
      </c>
      <c r="O325" s="38">
        <f t="shared" si="28"/>
        <v>-4224.4799999999996</v>
      </c>
      <c r="P325" s="39">
        <f t="shared" si="29"/>
        <v>45839</v>
      </c>
    </row>
    <row r="326" spans="1:16" ht="15.5" x14ac:dyDescent="0.35">
      <c r="A326" s="17" t="s">
        <v>374</v>
      </c>
      <c r="B326" s="35">
        <v>46083</v>
      </c>
      <c r="C326" s="17" t="s">
        <v>25</v>
      </c>
      <c r="D326" s="17" t="s">
        <v>19</v>
      </c>
      <c r="E326" s="17" t="s">
        <v>33</v>
      </c>
      <c r="F326" s="17" t="s">
        <v>28</v>
      </c>
      <c r="G326" s="17" t="s">
        <v>29</v>
      </c>
      <c r="H326" s="17" t="s">
        <v>2592</v>
      </c>
      <c r="I326" s="17" t="s">
        <v>30</v>
      </c>
      <c r="J326" s="36">
        <v>11363.64</v>
      </c>
      <c r="K326" s="36">
        <v>2582.87</v>
      </c>
      <c r="L326" s="36">
        <f t="shared" si="25"/>
        <v>-8780.77</v>
      </c>
      <c r="M326" s="37">
        <f t="shared" si="26"/>
        <v>-0.77270751273359606</v>
      </c>
      <c r="N326" s="17" t="str">
        <f t="shared" si="27"/>
        <v>Under Budget</v>
      </c>
      <c r="O326" s="38">
        <f t="shared" si="28"/>
        <v>2582.87</v>
      </c>
      <c r="P326" s="39">
        <f t="shared" si="29"/>
        <v>46082</v>
      </c>
    </row>
    <row r="327" spans="1:16" ht="15.5" x14ac:dyDescent="0.35">
      <c r="A327" s="17" t="s">
        <v>375</v>
      </c>
      <c r="B327" s="35">
        <v>45896</v>
      </c>
      <c r="C327" s="17" t="s">
        <v>12</v>
      </c>
      <c r="D327" s="17" t="s">
        <v>19</v>
      </c>
      <c r="E327" s="17" t="s">
        <v>37</v>
      </c>
      <c r="F327" s="17" t="s">
        <v>52</v>
      </c>
      <c r="G327" s="17" t="s">
        <v>43</v>
      </c>
      <c r="H327" s="17" t="s">
        <v>2590</v>
      </c>
      <c r="I327" s="17" t="s">
        <v>23</v>
      </c>
      <c r="J327" s="36">
        <v>4666.67</v>
      </c>
      <c r="K327" s="36">
        <v>188.01</v>
      </c>
      <c r="L327" s="36">
        <f t="shared" si="25"/>
        <v>-4478.66</v>
      </c>
      <c r="M327" s="37">
        <f t="shared" si="26"/>
        <v>-0.95971217163416311</v>
      </c>
      <c r="N327" s="17" t="str">
        <f t="shared" si="27"/>
        <v>Under Budget</v>
      </c>
      <c r="O327" s="38">
        <f t="shared" si="28"/>
        <v>-188.01</v>
      </c>
      <c r="P327" s="39">
        <f t="shared" si="29"/>
        <v>45870</v>
      </c>
    </row>
    <row r="328" spans="1:16" ht="15.5" x14ac:dyDescent="0.35">
      <c r="A328" s="17" t="s">
        <v>376</v>
      </c>
      <c r="B328" s="35">
        <v>46087</v>
      </c>
      <c r="C328" s="17" t="s">
        <v>25</v>
      </c>
      <c r="D328" s="17" t="s">
        <v>13</v>
      </c>
      <c r="E328" s="17" t="s">
        <v>27</v>
      </c>
      <c r="F328" s="17" t="s">
        <v>21</v>
      </c>
      <c r="G328" s="17" t="s">
        <v>38</v>
      </c>
      <c r="H328" s="17" t="s">
        <v>2592</v>
      </c>
      <c r="I328" s="17" t="s">
        <v>48</v>
      </c>
      <c r="J328" s="36">
        <v>10000</v>
      </c>
      <c r="K328" s="36">
        <v>3993.42</v>
      </c>
      <c r="L328" s="36">
        <f t="shared" si="25"/>
        <v>-6006.58</v>
      </c>
      <c r="M328" s="37">
        <f t="shared" si="26"/>
        <v>-0.60065800000000003</v>
      </c>
      <c r="N328" s="17" t="str">
        <f t="shared" si="27"/>
        <v>Under Budget</v>
      </c>
      <c r="O328" s="38">
        <f t="shared" si="28"/>
        <v>3993.42</v>
      </c>
      <c r="P328" s="39">
        <f t="shared" si="29"/>
        <v>46082</v>
      </c>
    </row>
    <row r="329" spans="1:16" ht="15.5" x14ac:dyDescent="0.35">
      <c r="A329" s="17" t="s">
        <v>377</v>
      </c>
      <c r="B329" s="35">
        <v>45821</v>
      </c>
      <c r="C329" s="17" t="s">
        <v>12</v>
      </c>
      <c r="D329" s="17" t="s">
        <v>19</v>
      </c>
      <c r="E329" s="17" t="s">
        <v>51</v>
      </c>
      <c r="F329" s="17" t="s">
        <v>15</v>
      </c>
      <c r="G329" s="17" t="s">
        <v>38</v>
      </c>
      <c r="H329" s="17" t="s">
        <v>2593</v>
      </c>
      <c r="I329" s="17" t="s">
        <v>30</v>
      </c>
      <c r="J329" s="36">
        <v>5000</v>
      </c>
      <c r="K329" s="36">
        <v>7081.08</v>
      </c>
      <c r="L329" s="36">
        <f t="shared" si="25"/>
        <v>2081.08</v>
      </c>
      <c r="M329" s="37">
        <f t="shared" si="26"/>
        <v>0.41621599999999997</v>
      </c>
      <c r="N329" s="17" t="str">
        <f t="shared" si="27"/>
        <v>Over Budget</v>
      </c>
      <c r="O329" s="38">
        <f t="shared" si="28"/>
        <v>-7081.08</v>
      </c>
      <c r="P329" s="39">
        <f t="shared" si="29"/>
        <v>45809</v>
      </c>
    </row>
    <row r="330" spans="1:16" ht="15.5" x14ac:dyDescent="0.35">
      <c r="A330" s="17" t="s">
        <v>378</v>
      </c>
      <c r="B330" s="35">
        <v>46149</v>
      </c>
      <c r="C330" s="17" t="s">
        <v>12</v>
      </c>
      <c r="D330" s="17" t="s">
        <v>26</v>
      </c>
      <c r="E330" s="17" t="s">
        <v>47</v>
      </c>
      <c r="F330" s="17" t="s">
        <v>52</v>
      </c>
      <c r="G330" s="17" t="s">
        <v>38</v>
      </c>
      <c r="H330" s="17" t="s">
        <v>2588</v>
      </c>
      <c r="I330" s="17" t="s">
        <v>48</v>
      </c>
      <c r="J330" s="36">
        <v>2692.31</v>
      </c>
      <c r="K330" s="36">
        <v>1513.91</v>
      </c>
      <c r="L330" s="36">
        <f t="shared" si="25"/>
        <v>-1178.3999999999999</v>
      </c>
      <c r="M330" s="37">
        <f t="shared" si="26"/>
        <v>-0.43769105340766845</v>
      </c>
      <c r="N330" s="17" t="str">
        <f t="shared" si="27"/>
        <v>Under Budget</v>
      </c>
      <c r="O330" s="38">
        <f t="shared" si="28"/>
        <v>-1513.91</v>
      </c>
      <c r="P330" s="39">
        <f t="shared" si="29"/>
        <v>46143</v>
      </c>
    </row>
    <row r="331" spans="1:16" ht="15.5" x14ac:dyDescent="0.35">
      <c r="A331" s="17" t="s">
        <v>379</v>
      </c>
      <c r="B331" s="35">
        <v>46112</v>
      </c>
      <c r="C331" s="17" t="s">
        <v>12</v>
      </c>
      <c r="D331" s="17" t="s">
        <v>2584</v>
      </c>
      <c r="E331" s="17" t="s">
        <v>47</v>
      </c>
      <c r="F331" s="17" t="s">
        <v>52</v>
      </c>
      <c r="G331" s="17" t="s">
        <v>16</v>
      </c>
      <c r="H331" s="17" t="s">
        <v>80</v>
      </c>
      <c r="I331" s="17" t="s">
        <v>23</v>
      </c>
      <c r="J331" s="36">
        <v>3181.82</v>
      </c>
      <c r="K331" s="36">
        <v>2375.5700000000002</v>
      </c>
      <c r="L331" s="36">
        <f t="shared" si="25"/>
        <v>-806.25</v>
      </c>
      <c r="M331" s="37">
        <f t="shared" si="26"/>
        <v>-0.25339271234702149</v>
      </c>
      <c r="N331" s="17" t="str">
        <f t="shared" si="27"/>
        <v>Under Budget</v>
      </c>
      <c r="O331" s="38">
        <f t="shared" si="28"/>
        <v>-2375.5700000000002</v>
      </c>
      <c r="P331" s="39">
        <f t="shared" si="29"/>
        <v>46082</v>
      </c>
    </row>
    <row r="332" spans="1:16" ht="15.5" x14ac:dyDescent="0.35">
      <c r="A332" s="17" t="s">
        <v>380</v>
      </c>
      <c r="B332" s="35">
        <v>46047</v>
      </c>
      <c r="C332" s="17" t="s">
        <v>12</v>
      </c>
      <c r="D332" s="17" t="s">
        <v>19</v>
      </c>
      <c r="E332" s="17" t="s">
        <v>47</v>
      </c>
      <c r="F332" s="17" t="s">
        <v>15</v>
      </c>
      <c r="G332" s="17" t="s">
        <v>43</v>
      </c>
      <c r="H332" s="17" t="s">
        <v>2591</v>
      </c>
      <c r="I332" s="17" t="s">
        <v>30</v>
      </c>
      <c r="J332" s="36">
        <v>3395</v>
      </c>
      <c r="K332" s="36">
        <v>1526.15</v>
      </c>
      <c r="L332" s="36">
        <f t="shared" si="25"/>
        <v>-1868.85</v>
      </c>
      <c r="M332" s="37">
        <f t="shared" si="26"/>
        <v>-0.55047128129602352</v>
      </c>
      <c r="N332" s="17" t="str">
        <f t="shared" si="27"/>
        <v>Under Budget</v>
      </c>
      <c r="O332" s="38">
        <f t="shared" si="28"/>
        <v>-1526.15</v>
      </c>
      <c r="P332" s="39">
        <f t="shared" si="29"/>
        <v>46023</v>
      </c>
    </row>
    <row r="333" spans="1:16" ht="15.5" x14ac:dyDescent="0.35">
      <c r="A333" s="17" t="s">
        <v>381</v>
      </c>
      <c r="B333" s="35">
        <v>45660</v>
      </c>
      <c r="C333" s="17" t="s">
        <v>12</v>
      </c>
      <c r="D333" s="17" t="s">
        <v>2584</v>
      </c>
      <c r="E333" s="17" t="s">
        <v>74</v>
      </c>
      <c r="F333" s="17" t="s">
        <v>21</v>
      </c>
      <c r="G333" s="17" t="s">
        <v>22</v>
      </c>
      <c r="H333" s="17" t="s">
        <v>2592</v>
      </c>
      <c r="I333" s="17" t="s">
        <v>30</v>
      </c>
      <c r="J333" s="36">
        <v>5542.86</v>
      </c>
      <c r="K333" s="36">
        <v>4911.41</v>
      </c>
      <c r="L333" s="36">
        <f t="shared" si="25"/>
        <v>-631.44999999999982</v>
      </c>
      <c r="M333" s="37">
        <f t="shared" si="26"/>
        <v>-0.11392133303024068</v>
      </c>
      <c r="N333" s="17" t="str">
        <f t="shared" si="27"/>
        <v>Under Budget</v>
      </c>
      <c r="O333" s="38">
        <f t="shared" si="28"/>
        <v>-4911.41</v>
      </c>
      <c r="P333" s="39">
        <f t="shared" si="29"/>
        <v>45658</v>
      </c>
    </row>
    <row r="334" spans="1:16" ht="15.5" x14ac:dyDescent="0.35">
      <c r="A334" s="17" t="s">
        <v>382</v>
      </c>
      <c r="B334" s="35">
        <v>45771</v>
      </c>
      <c r="C334" s="17" t="s">
        <v>12</v>
      </c>
      <c r="D334" s="17" t="s">
        <v>26</v>
      </c>
      <c r="E334" s="17" t="s">
        <v>45</v>
      </c>
      <c r="F334" s="17" t="s">
        <v>28</v>
      </c>
      <c r="G334" s="17" t="s">
        <v>38</v>
      </c>
      <c r="H334" s="17" t="s">
        <v>2594</v>
      </c>
      <c r="I334" s="17" t="s">
        <v>23</v>
      </c>
      <c r="J334" s="36">
        <v>13846.15</v>
      </c>
      <c r="K334" s="36">
        <v>15259.97</v>
      </c>
      <c r="L334" s="36">
        <f t="shared" si="25"/>
        <v>1413.8199999999997</v>
      </c>
      <c r="M334" s="37">
        <f t="shared" si="26"/>
        <v>0.10210925058590292</v>
      </c>
      <c r="N334" s="17" t="str">
        <f t="shared" si="27"/>
        <v>Over Budget</v>
      </c>
      <c r="O334" s="38">
        <f t="shared" si="28"/>
        <v>-15259.97</v>
      </c>
      <c r="P334" s="39">
        <f t="shared" si="29"/>
        <v>45748</v>
      </c>
    </row>
    <row r="335" spans="1:16" ht="15.5" x14ac:dyDescent="0.35">
      <c r="A335" s="17" t="s">
        <v>383</v>
      </c>
      <c r="B335" s="35">
        <v>45758</v>
      </c>
      <c r="C335" s="17" t="s">
        <v>12</v>
      </c>
      <c r="D335" s="17" t="s">
        <v>36</v>
      </c>
      <c r="E335" s="17" t="s">
        <v>14</v>
      </c>
      <c r="F335" s="17" t="s">
        <v>34</v>
      </c>
      <c r="G335" s="17" t="s">
        <v>43</v>
      </c>
      <c r="H335" s="17" t="s">
        <v>2595</v>
      </c>
      <c r="I335" s="17" t="s">
        <v>48</v>
      </c>
      <c r="J335" s="36">
        <v>5333.33</v>
      </c>
      <c r="K335" s="36">
        <v>4087.52</v>
      </c>
      <c r="L335" s="36">
        <f t="shared" si="25"/>
        <v>-1245.81</v>
      </c>
      <c r="M335" s="37">
        <f t="shared" si="26"/>
        <v>-0.23358952099345062</v>
      </c>
      <c r="N335" s="17" t="str">
        <f t="shared" si="27"/>
        <v>Under Budget</v>
      </c>
      <c r="O335" s="38">
        <f t="shared" si="28"/>
        <v>-4087.52</v>
      </c>
      <c r="P335" s="39">
        <f t="shared" si="29"/>
        <v>45748</v>
      </c>
    </row>
    <row r="336" spans="1:16" ht="15.5" x14ac:dyDescent="0.35">
      <c r="A336" s="17" t="s">
        <v>384</v>
      </c>
      <c r="B336" s="35">
        <v>45813</v>
      </c>
      <c r="C336" s="17" t="s">
        <v>12</v>
      </c>
      <c r="D336" s="17" t="s">
        <v>2584</v>
      </c>
      <c r="E336" s="17" t="s">
        <v>47</v>
      </c>
      <c r="F336" s="17" t="s">
        <v>21</v>
      </c>
      <c r="G336" s="17" t="s">
        <v>16</v>
      </c>
      <c r="H336" s="17" t="s">
        <v>2594</v>
      </c>
      <c r="I336" s="17" t="s">
        <v>48</v>
      </c>
      <c r="J336" s="36">
        <v>4375</v>
      </c>
      <c r="K336" s="36">
        <v>2413.5100000000002</v>
      </c>
      <c r="L336" s="36">
        <f t="shared" si="25"/>
        <v>-1961.4899999999998</v>
      </c>
      <c r="M336" s="37">
        <f t="shared" si="26"/>
        <v>-0.44834057142857137</v>
      </c>
      <c r="N336" s="17" t="str">
        <f t="shared" si="27"/>
        <v>Under Budget</v>
      </c>
      <c r="O336" s="38">
        <f t="shared" si="28"/>
        <v>-2413.5100000000002</v>
      </c>
      <c r="P336" s="39">
        <f t="shared" si="29"/>
        <v>45809</v>
      </c>
    </row>
    <row r="337" spans="1:16" ht="15.5" x14ac:dyDescent="0.35">
      <c r="A337" s="17" t="s">
        <v>385</v>
      </c>
      <c r="B337" s="35">
        <v>46015</v>
      </c>
      <c r="C337" s="17" t="s">
        <v>12</v>
      </c>
      <c r="D337" s="17" t="s">
        <v>2585</v>
      </c>
      <c r="E337" s="17" t="s">
        <v>45</v>
      </c>
      <c r="F337" s="17" t="s">
        <v>21</v>
      </c>
      <c r="G337" s="17" t="s">
        <v>38</v>
      </c>
      <c r="H337" s="17" t="s">
        <v>2596</v>
      </c>
      <c r="I337" s="17" t="s">
        <v>39</v>
      </c>
      <c r="J337" s="36">
        <v>7875</v>
      </c>
      <c r="K337" s="36">
        <v>5707.37</v>
      </c>
      <c r="L337" s="36">
        <f t="shared" si="25"/>
        <v>-2167.63</v>
      </c>
      <c r="M337" s="37">
        <f t="shared" si="26"/>
        <v>-0.27525460317460321</v>
      </c>
      <c r="N337" s="17" t="str">
        <f t="shared" si="27"/>
        <v>Under Budget</v>
      </c>
      <c r="O337" s="38">
        <f t="shared" si="28"/>
        <v>-5707.37</v>
      </c>
      <c r="P337" s="39">
        <f t="shared" si="29"/>
        <v>45992</v>
      </c>
    </row>
    <row r="338" spans="1:16" ht="15.5" x14ac:dyDescent="0.35">
      <c r="A338" s="17" t="s">
        <v>386</v>
      </c>
      <c r="B338" s="35">
        <v>45751</v>
      </c>
      <c r="C338" s="17" t="s">
        <v>12</v>
      </c>
      <c r="D338" s="17" t="s">
        <v>26</v>
      </c>
      <c r="E338" s="17" t="s">
        <v>74</v>
      </c>
      <c r="F338" s="17" t="s">
        <v>15</v>
      </c>
      <c r="G338" s="17" t="s">
        <v>82</v>
      </c>
      <c r="H338" s="17" t="s">
        <v>2598</v>
      </c>
      <c r="I338" s="17" t="s">
        <v>23</v>
      </c>
      <c r="J338" s="36">
        <v>5714.29</v>
      </c>
      <c r="K338" s="36">
        <v>5273.07</v>
      </c>
      <c r="L338" s="36">
        <f t="shared" si="25"/>
        <v>-441.22000000000025</v>
      </c>
      <c r="M338" s="37">
        <f t="shared" si="26"/>
        <v>-7.7213442089918483E-2</v>
      </c>
      <c r="N338" s="17" t="str">
        <f t="shared" si="27"/>
        <v>Under Budget</v>
      </c>
      <c r="O338" s="38">
        <f t="shared" si="28"/>
        <v>-5273.07</v>
      </c>
      <c r="P338" s="39">
        <f t="shared" si="29"/>
        <v>45748</v>
      </c>
    </row>
    <row r="339" spans="1:16" ht="15.5" x14ac:dyDescent="0.35">
      <c r="A339" s="17" t="s">
        <v>387</v>
      </c>
      <c r="B339" s="35">
        <v>46095</v>
      </c>
      <c r="C339" s="17" t="s">
        <v>25</v>
      </c>
      <c r="D339" s="17" t="s">
        <v>13</v>
      </c>
      <c r="E339" s="17" t="s">
        <v>33</v>
      </c>
      <c r="F339" s="17" t="s">
        <v>34</v>
      </c>
      <c r="G339" s="17" t="s">
        <v>38</v>
      </c>
      <c r="H339" s="17" t="s">
        <v>2596</v>
      </c>
      <c r="I339" s="17" t="s">
        <v>30</v>
      </c>
      <c r="J339" s="36">
        <v>11363.64</v>
      </c>
      <c r="K339" s="36">
        <v>17343.3</v>
      </c>
      <c r="L339" s="36">
        <f t="shared" si="25"/>
        <v>5979.66</v>
      </c>
      <c r="M339" s="37">
        <f t="shared" si="26"/>
        <v>0.52620991161282826</v>
      </c>
      <c r="N339" s="17" t="str">
        <f t="shared" si="27"/>
        <v>Over Budget</v>
      </c>
      <c r="O339" s="38">
        <f t="shared" si="28"/>
        <v>17343.3</v>
      </c>
      <c r="P339" s="39">
        <f t="shared" si="29"/>
        <v>46082</v>
      </c>
    </row>
    <row r="340" spans="1:16" ht="15.5" x14ac:dyDescent="0.35">
      <c r="A340" s="17" t="s">
        <v>388</v>
      </c>
      <c r="B340" s="35">
        <v>45963</v>
      </c>
      <c r="C340" s="17" t="s">
        <v>12</v>
      </c>
      <c r="D340" s="17" t="s">
        <v>26</v>
      </c>
      <c r="E340" s="17" t="s">
        <v>14</v>
      </c>
      <c r="F340" s="17" t="s">
        <v>34</v>
      </c>
      <c r="G340" s="17" t="s">
        <v>29</v>
      </c>
      <c r="H340" s="17" t="s">
        <v>2591</v>
      </c>
      <c r="I340" s="17" t="s">
        <v>23</v>
      </c>
      <c r="J340" s="36">
        <v>5600</v>
      </c>
      <c r="K340" s="36">
        <v>1317.18</v>
      </c>
      <c r="L340" s="36">
        <f t="shared" si="25"/>
        <v>-4282.82</v>
      </c>
      <c r="M340" s="37">
        <f t="shared" si="26"/>
        <v>-0.76478928571428562</v>
      </c>
      <c r="N340" s="17" t="str">
        <f t="shared" si="27"/>
        <v>Under Budget</v>
      </c>
      <c r="O340" s="38">
        <f t="shared" si="28"/>
        <v>-1317.18</v>
      </c>
      <c r="P340" s="39">
        <f t="shared" si="29"/>
        <v>45962</v>
      </c>
    </row>
    <row r="341" spans="1:16" ht="15.5" x14ac:dyDescent="0.35">
      <c r="A341" s="17" t="s">
        <v>389</v>
      </c>
      <c r="B341" s="35">
        <v>45822</v>
      </c>
      <c r="C341" s="17" t="s">
        <v>25</v>
      </c>
      <c r="D341" s="17" t="s">
        <v>32</v>
      </c>
      <c r="E341" s="17" t="s">
        <v>27</v>
      </c>
      <c r="F341" s="17" t="s">
        <v>15</v>
      </c>
      <c r="G341" s="17" t="s">
        <v>38</v>
      </c>
      <c r="H341" s="17" t="s">
        <v>2598</v>
      </c>
      <c r="I341" s="17" t="s">
        <v>39</v>
      </c>
      <c r="J341" s="36">
        <v>5333.33</v>
      </c>
      <c r="K341" s="36">
        <v>4075.11</v>
      </c>
      <c r="L341" s="36">
        <f t="shared" si="25"/>
        <v>-1258.2199999999998</v>
      </c>
      <c r="M341" s="37">
        <f t="shared" si="26"/>
        <v>-0.23591639744774837</v>
      </c>
      <c r="N341" s="17" t="str">
        <f t="shared" si="27"/>
        <v>Under Budget</v>
      </c>
      <c r="O341" s="38">
        <f t="shared" si="28"/>
        <v>4075.11</v>
      </c>
      <c r="P341" s="39">
        <f t="shared" si="29"/>
        <v>45809</v>
      </c>
    </row>
    <row r="342" spans="1:16" ht="15.5" x14ac:dyDescent="0.35">
      <c r="A342" s="17" t="s">
        <v>390</v>
      </c>
      <c r="B342" s="35">
        <v>45940</v>
      </c>
      <c r="C342" s="17" t="s">
        <v>12</v>
      </c>
      <c r="D342" s="17" t="s">
        <v>2584</v>
      </c>
      <c r="E342" s="17" t="s">
        <v>65</v>
      </c>
      <c r="F342" s="17" t="s">
        <v>21</v>
      </c>
      <c r="G342" s="17" t="s">
        <v>16</v>
      </c>
      <c r="H342" s="17" t="s">
        <v>2595</v>
      </c>
      <c r="I342" s="17" t="s">
        <v>23</v>
      </c>
      <c r="J342" s="36">
        <v>3928.57</v>
      </c>
      <c r="K342" s="36">
        <v>1761.06</v>
      </c>
      <c r="L342" s="36">
        <f t="shared" si="25"/>
        <v>-2167.5100000000002</v>
      </c>
      <c r="M342" s="37">
        <f t="shared" si="26"/>
        <v>-0.55173001881091599</v>
      </c>
      <c r="N342" s="17" t="str">
        <f t="shared" si="27"/>
        <v>Under Budget</v>
      </c>
      <c r="O342" s="38">
        <f t="shared" si="28"/>
        <v>-1761.06</v>
      </c>
      <c r="P342" s="39">
        <f t="shared" si="29"/>
        <v>45931</v>
      </c>
    </row>
    <row r="343" spans="1:16" ht="15.5" x14ac:dyDescent="0.35">
      <c r="A343" s="17" t="s">
        <v>391</v>
      </c>
      <c r="B343" s="35">
        <v>45745</v>
      </c>
      <c r="C343" s="17" t="s">
        <v>12</v>
      </c>
      <c r="D343" s="17" t="s">
        <v>26</v>
      </c>
      <c r="E343" s="17" t="s">
        <v>45</v>
      </c>
      <c r="F343" s="17" t="s">
        <v>28</v>
      </c>
      <c r="G343" s="17" t="s">
        <v>38</v>
      </c>
      <c r="H343" s="17" t="s">
        <v>2594</v>
      </c>
      <c r="I343" s="17" t="s">
        <v>48</v>
      </c>
      <c r="J343" s="36">
        <v>6000</v>
      </c>
      <c r="K343" s="36">
        <v>10346.73</v>
      </c>
      <c r="L343" s="36">
        <f t="shared" si="25"/>
        <v>4346.7299999999996</v>
      </c>
      <c r="M343" s="37">
        <f t="shared" si="26"/>
        <v>0.72445499999999996</v>
      </c>
      <c r="N343" s="17" t="str">
        <f t="shared" si="27"/>
        <v>Over Budget</v>
      </c>
      <c r="O343" s="38">
        <f t="shared" si="28"/>
        <v>-10346.73</v>
      </c>
      <c r="P343" s="39">
        <f t="shared" si="29"/>
        <v>45717</v>
      </c>
    </row>
    <row r="344" spans="1:16" ht="15.5" x14ac:dyDescent="0.35">
      <c r="A344" s="17" t="s">
        <v>392</v>
      </c>
      <c r="B344" s="35">
        <v>46094</v>
      </c>
      <c r="C344" s="17" t="s">
        <v>12</v>
      </c>
      <c r="D344" s="17" t="s">
        <v>2585</v>
      </c>
      <c r="E344" s="17" t="s">
        <v>41</v>
      </c>
      <c r="F344" s="17" t="s">
        <v>21</v>
      </c>
      <c r="G344" s="17" t="s">
        <v>38</v>
      </c>
      <c r="H344" s="17" t="s">
        <v>2593</v>
      </c>
      <c r="I344" s="17" t="s">
        <v>17</v>
      </c>
      <c r="J344" s="36">
        <v>6500</v>
      </c>
      <c r="K344" s="36">
        <v>3384.54</v>
      </c>
      <c r="L344" s="36">
        <f t="shared" si="25"/>
        <v>-3115.46</v>
      </c>
      <c r="M344" s="37">
        <f t="shared" si="26"/>
        <v>-0.47930153846153845</v>
      </c>
      <c r="N344" s="17" t="str">
        <f t="shared" si="27"/>
        <v>Under Budget</v>
      </c>
      <c r="O344" s="38">
        <f t="shared" si="28"/>
        <v>-3384.54</v>
      </c>
      <c r="P344" s="39">
        <f t="shared" si="29"/>
        <v>46082</v>
      </c>
    </row>
    <row r="345" spans="1:16" ht="15.5" x14ac:dyDescent="0.35">
      <c r="A345" s="17" t="s">
        <v>393</v>
      </c>
      <c r="B345" s="35">
        <v>46128</v>
      </c>
      <c r="C345" s="17" t="s">
        <v>12</v>
      </c>
      <c r="D345" s="17" t="s">
        <v>36</v>
      </c>
      <c r="E345" s="17" t="s">
        <v>45</v>
      </c>
      <c r="F345" s="17" t="s">
        <v>52</v>
      </c>
      <c r="G345" s="17" t="s">
        <v>38</v>
      </c>
      <c r="H345" s="17" t="s">
        <v>2594</v>
      </c>
      <c r="I345" s="17" t="s">
        <v>17</v>
      </c>
      <c r="J345" s="36">
        <v>8571.43</v>
      </c>
      <c r="K345" s="36">
        <v>9348.84</v>
      </c>
      <c r="L345" s="36">
        <f t="shared" si="25"/>
        <v>777.40999999999985</v>
      </c>
      <c r="M345" s="37">
        <f t="shared" si="26"/>
        <v>9.0697818217030282E-2</v>
      </c>
      <c r="N345" s="17" t="str">
        <f t="shared" si="27"/>
        <v>Over Budget</v>
      </c>
      <c r="O345" s="38">
        <f t="shared" si="28"/>
        <v>-9348.84</v>
      </c>
      <c r="P345" s="39">
        <f t="shared" si="29"/>
        <v>46113</v>
      </c>
    </row>
    <row r="346" spans="1:16" ht="15.5" x14ac:dyDescent="0.35">
      <c r="A346" s="17" t="s">
        <v>394</v>
      </c>
      <c r="B346" s="35">
        <v>45948</v>
      </c>
      <c r="C346" s="17" t="s">
        <v>25</v>
      </c>
      <c r="D346" s="17" t="s">
        <v>2585</v>
      </c>
      <c r="E346" s="17" t="s">
        <v>27</v>
      </c>
      <c r="F346" s="17" t="s">
        <v>34</v>
      </c>
      <c r="G346" s="17" t="s">
        <v>43</v>
      </c>
      <c r="H346" s="17" t="s">
        <v>2596</v>
      </c>
      <c r="I346" s="17" t="s">
        <v>48</v>
      </c>
      <c r="J346" s="36">
        <v>4705.88</v>
      </c>
      <c r="K346" s="36">
        <v>6970.51</v>
      </c>
      <c r="L346" s="36">
        <f t="shared" si="25"/>
        <v>2264.63</v>
      </c>
      <c r="M346" s="37">
        <f t="shared" si="26"/>
        <v>0.48123411561705781</v>
      </c>
      <c r="N346" s="17" t="str">
        <f t="shared" si="27"/>
        <v>Over Budget</v>
      </c>
      <c r="O346" s="38">
        <f t="shared" si="28"/>
        <v>6970.51</v>
      </c>
      <c r="P346" s="39">
        <f t="shared" si="29"/>
        <v>45931</v>
      </c>
    </row>
    <row r="347" spans="1:16" ht="15.5" x14ac:dyDescent="0.35">
      <c r="A347" s="17" t="s">
        <v>395</v>
      </c>
      <c r="B347" s="35">
        <v>45896</v>
      </c>
      <c r="C347" s="17" t="s">
        <v>12</v>
      </c>
      <c r="D347" s="17" t="s">
        <v>26</v>
      </c>
      <c r="E347" s="17" t="s">
        <v>45</v>
      </c>
      <c r="F347" s="17" t="s">
        <v>15</v>
      </c>
      <c r="G347" s="17" t="s">
        <v>22</v>
      </c>
      <c r="H347" s="17" t="s">
        <v>2592</v>
      </c>
      <c r="I347" s="17" t="s">
        <v>39</v>
      </c>
      <c r="J347" s="36">
        <v>8181.82</v>
      </c>
      <c r="K347" s="36">
        <v>2046.23</v>
      </c>
      <c r="L347" s="36">
        <f t="shared" si="25"/>
        <v>-6135.59</v>
      </c>
      <c r="M347" s="37">
        <f t="shared" si="26"/>
        <v>-0.74990527779882721</v>
      </c>
      <c r="N347" s="17" t="str">
        <f t="shared" si="27"/>
        <v>Under Budget</v>
      </c>
      <c r="O347" s="38">
        <f t="shared" si="28"/>
        <v>-2046.23</v>
      </c>
      <c r="P347" s="39">
        <f t="shared" si="29"/>
        <v>45870</v>
      </c>
    </row>
    <row r="348" spans="1:16" ht="15.5" x14ac:dyDescent="0.35">
      <c r="A348" s="17" t="s">
        <v>396</v>
      </c>
      <c r="B348" s="35">
        <v>45688</v>
      </c>
      <c r="C348" s="17" t="s">
        <v>12</v>
      </c>
      <c r="D348" s="17" t="s">
        <v>19</v>
      </c>
      <c r="E348" s="17" t="s">
        <v>45</v>
      </c>
      <c r="F348" s="17" t="s">
        <v>52</v>
      </c>
      <c r="G348" s="17" t="s">
        <v>16</v>
      </c>
      <c r="H348" s="17" t="s">
        <v>2596</v>
      </c>
      <c r="I348" s="17" t="s">
        <v>48</v>
      </c>
      <c r="J348" s="36">
        <v>7591.3</v>
      </c>
      <c r="K348" s="36">
        <v>16063.67</v>
      </c>
      <c r="L348" s="36">
        <f t="shared" si="25"/>
        <v>8472.369999999999</v>
      </c>
      <c r="M348" s="37">
        <f t="shared" si="26"/>
        <v>1.1160631248929693</v>
      </c>
      <c r="N348" s="17" t="str">
        <f t="shared" si="27"/>
        <v>Over Budget</v>
      </c>
      <c r="O348" s="38">
        <f t="shared" si="28"/>
        <v>-16063.67</v>
      </c>
      <c r="P348" s="39">
        <f t="shared" si="29"/>
        <v>45658</v>
      </c>
    </row>
    <row r="349" spans="1:16" ht="15.5" x14ac:dyDescent="0.35">
      <c r="A349" s="17" t="s">
        <v>397</v>
      </c>
      <c r="B349" s="35">
        <v>46016</v>
      </c>
      <c r="C349" s="17" t="s">
        <v>12</v>
      </c>
      <c r="D349" s="17" t="s">
        <v>36</v>
      </c>
      <c r="E349" s="17" t="s">
        <v>65</v>
      </c>
      <c r="F349" s="17" t="s">
        <v>52</v>
      </c>
      <c r="G349" s="17" t="s">
        <v>43</v>
      </c>
      <c r="H349" s="17" t="s">
        <v>2592</v>
      </c>
      <c r="I349" s="17" t="s">
        <v>48</v>
      </c>
      <c r="J349" s="36">
        <v>4125</v>
      </c>
      <c r="K349" s="36">
        <v>1317.44</v>
      </c>
      <c r="L349" s="36">
        <f t="shared" si="25"/>
        <v>-2807.56</v>
      </c>
      <c r="M349" s="37">
        <f t="shared" si="26"/>
        <v>-0.68062060606060604</v>
      </c>
      <c r="N349" s="17" t="str">
        <f t="shared" si="27"/>
        <v>Under Budget</v>
      </c>
      <c r="O349" s="38">
        <f t="shared" si="28"/>
        <v>-1317.44</v>
      </c>
      <c r="P349" s="39">
        <f t="shared" si="29"/>
        <v>45992</v>
      </c>
    </row>
    <row r="350" spans="1:16" ht="15.5" x14ac:dyDescent="0.35">
      <c r="A350" s="17" t="s">
        <v>398</v>
      </c>
      <c r="B350" s="35">
        <v>45829</v>
      </c>
      <c r="C350" s="17" t="s">
        <v>12</v>
      </c>
      <c r="D350" s="17" t="s">
        <v>2585</v>
      </c>
      <c r="E350" s="17" t="s">
        <v>41</v>
      </c>
      <c r="F350" s="17" t="s">
        <v>28</v>
      </c>
      <c r="G350" s="17" t="s">
        <v>16</v>
      </c>
      <c r="H350" s="17" t="s">
        <v>2598</v>
      </c>
      <c r="I350" s="17" t="s">
        <v>23</v>
      </c>
      <c r="J350" s="36">
        <v>8125</v>
      </c>
      <c r="K350" s="36">
        <v>11382.1</v>
      </c>
      <c r="L350" s="36">
        <f t="shared" si="25"/>
        <v>3257.1000000000004</v>
      </c>
      <c r="M350" s="37">
        <f t="shared" si="26"/>
        <v>0.40087384615384619</v>
      </c>
      <c r="N350" s="17" t="str">
        <f t="shared" si="27"/>
        <v>Over Budget</v>
      </c>
      <c r="O350" s="38">
        <f t="shared" si="28"/>
        <v>-11382.1</v>
      </c>
      <c r="P350" s="39">
        <f t="shared" si="29"/>
        <v>45809</v>
      </c>
    </row>
    <row r="351" spans="1:16" ht="15.5" x14ac:dyDescent="0.35">
      <c r="A351" s="17" t="s">
        <v>399</v>
      </c>
      <c r="B351" s="35">
        <v>45908</v>
      </c>
      <c r="C351" s="17" t="s">
        <v>12</v>
      </c>
      <c r="D351" s="17" t="s">
        <v>2585</v>
      </c>
      <c r="E351" s="17" t="s">
        <v>14</v>
      </c>
      <c r="F351" s="17" t="s">
        <v>28</v>
      </c>
      <c r="G351" s="17" t="s">
        <v>43</v>
      </c>
      <c r="H351" s="17" t="s">
        <v>2586</v>
      </c>
      <c r="I351" s="17" t="s">
        <v>17</v>
      </c>
      <c r="J351" s="36">
        <v>5333.33</v>
      </c>
      <c r="K351" s="36">
        <v>4443.3500000000004</v>
      </c>
      <c r="L351" s="36">
        <f t="shared" si="25"/>
        <v>-889.97999999999956</v>
      </c>
      <c r="M351" s="37">
        <f t="shared" si="26"/>
        <v>-0.16687135429459635</v>
      </c>
      <c r="N351" s="17" t="str">
        <f t="shared" si="27"/>
        <v>Under Budget</v>
      </c>
      <c r="O351" s="38">
        <f t="shared" si="28"/>
        <v>-4443.3500000000004</v>
      </c>
      <c r="P351" s="39">
        <f t="shared" si="29"/>
        <v>45901</v>
      </c>
    </row>
    <row r="352" spans="1:16" ht="15.5" x14ac:dyDescent="0.35">
      <c r="A352" s="17" t="s">
        <v>400</v>
      </c>
      <c r="B352" s="35">
        <v>45841</v>
      </c>
      <c r="C352" s="17" t="s">
        <v>12</v>
      </c>
      <c r="D352" s="17" t="s">
        <v>2585</v>
      </c>
      <c r="E352" s="17" t="s">
        <v>45</v>
      </c>
      <c r="F352" s="17" t="s">
        <v>52</v>
      </c>
      <c r="G352" s="17" t="s">
        <v>38</v>
      </c>
      <c r="H352" s="17" t="s">
        <v>60</v>
      </c>
      <c r="I352" s="17" t="s">
        <v>17</v>
      </c>
      <c r="J352" s="36">
        <v>6923.08</v>
      </c>
      <c r="K352" s="36">
        <v>2847.22</v>
      </c>
      <c r="L352" s="36">
        <f t="shared" si="25"/>
        <v>-4075.86</v>
      </c>
      <c r="M352" s="37">
        <f t="shared" si="26"/>
        <v>-0.58873507167330152</v>
      </c>
      <c r="N352" s="17" t="str">
        <f t="shared" si="27"/>
        <v>Under Budget</v>
      </c>
      <c r="O352" s="38">
        <f t="shared" si="28"/>
        <v>-2847.22</v>
      </c>
      <c r="P352" s="39">
        <f t="shared" si="29"/>
        <v>45839</v>
      </c>
    </row>
    <row r="353" spans="1:16" ht="15.5" x14ac:dyDescent="0.35">
      <c r="A353" s="17" t="s">
        <v>401</v>
      </c>
      <c r="B353" s="35">
        <v>46093</v>
      </c>
      <c r="C353" s="17" t="s">
        <v>25</v>
      </c>
      <c r="D353" s="17" t="s">
        <v>13</v>
      </c>
      <c r="E353" s="17" t="s">
        <v>33</v>
      </c>
      <c r="F353" s="17" t="s">
        <v>52</v>
      </c>
      <c r="G353" s="17" t="s">
        <v>38</v>
      </c>
      <c r="H353" s="17" t="s">
        <v>2593</v>
      </c>
      <c r="I353" s="17" t="s">
        <v>39</v>
      </c>
      <c r="J353" s="36">
        <v>11363.64</v>
      </c>
      <c r="K353" s="36">
        <v>17460.23</v>
      </c>
      <c r="L353" s="36">
        <f t="shared" si="25"/>
        <v>6096.59</v>
      </c>
      <c r="M353" s="37">
        <f t="shared" si="26"/>
        <v>0.53649974832008063</v>
      </c>
      <c r="N353" s="17" t="str">
        <f t="shared" si="27"/>
        <v>Over Budget</v>
      </c>
      <c r="O353" s="38">
        <f t="shared" si="28"/>
        <v>17460.23</v>
      </c>
      <c r="P353" s="39">
        <f t="shared" si="29"/>
        <v>46082</v>
      </c>
    </row>
    <row r="354" spans="1:16" ht="15.5" x14ac:dyDescent="0.35">
      <c r="A354" s="17" t="s">
        <v>402</v>
      </c>
      <c r="B354" s="35">
        <v>45942</v>
      </c>
      <c r="C354" s="17" t="s">
        <v>12</v>
      </c>
      <c r="D354" s="17" t="s">
        <v>19</v>
      </c>
      <c r="E354" s="17" t="s">
        <v>37</v>
      </c>
      <c r="F354" s="17" t="s">
        <v>34</v>
      </c>
      <c r="G354" s="17" t="s">
        <v>38</v>
      </c>
      <c r="H354" s="17" t="s">
        <v>2589</v>
      </c>
      <c r="I354" s="17" t="s">
        <v>30</v>
      </c>
      <c r="J354" s="36">
        <v>3500</v>
      </c>
      <c r="K354" s="36">
        <v>1064.31</v>
      </c>
      <c r="L354" s="36">
        <f t="shared" si="25"/>
        <v>-2435.69</v>
      </c>
      <c r="M354" s="37">
        <f t="shared" si="26"/>
        <v>-0.69591142857142863</v>
      </c>
      <c r="N354" s="17" t="str">
        <f t="shared" si="27"/>
        <v>Under Budget</v>
      </c>
      <c r="O354" s="38">
        <f t="shared" si="28"/>
        <v>-1064.31</v>
      </c>
      <c r="P354" s="39">
        <f t="shared" si="29"/>
        <v>45931</v>
      </c>
    </row>
    <row r="355" spans="1:16" ht="15.5" x14ac:dyDescent="0.35">
      <c r="A355" s="17" t="s">
        <v>403</v>
      </c>
      <c r="B355" s="35">
        <v>46189</v>
      </c>
      <c r="C355" s="17" t="s">
        <v>12</v>
      </c>
      <c r="D355" s="17" t="s">
        <v>26</v>
      </c>
      <c r="E355" s="17" t="s">
        <v>37</v>
      </c>
      <c r="F355" s="17" t="s">
        <v>21</v>
      </c>
      <c r="G355" s="17" t="s">
        <v>38</v>
      </c>
      <c r="H355" s="17" t="s">
        <v>60</v>
      </c>
      <c r="I355" s="17" t="s">
        <v>48</v>
      </c>
      <c r="J355" s="36">
        <v>5600</v>
      </c>
      <c r="K355" s="36">
        <v>2858.81</v>
      </c>
      <c r="L355" s="36">
        <f t="shared" si="25"/>
        <v>-2741.19</v>
      </c>
      <c r="M355" s="37">
        <f t="shared" si="26"/>
        <v>-0.48949821428571427</v>
      </c>
      <c r="N355" s="17" t="str">
        <f t="shared" si="27"/>
        <v>Under Budget</v>
      </c>
      <c r="O355" s="38">
        <f t="shared" si="28"/>
        <v>-2858.81</v>
      </c>
      <c r="P355" s="39">
        <f t="shared" si="29"/>
        <v>46174</v>
      </c>
    </row>
    <row r="356" spans="1:16" ht="15.5" x14ac:dyDescent="0.35">
      <c r="A356" s="17" t="s">
        <v>404</v>
      </c>
      <c r="B356" s="35">
        <v>45956</v>
      </c>
      <c r="C356" s="17" t="s">
        <v>12</v>
      </c>
      <c r="D356" s="17" t="s">
        <v>2585</v>
      </c>
      <c r="E356" s="17" t="s">
        <v>41</v>
      </c>
      <c r="F356" s="17" t="s">
        <v>52</v>
      </c>
      <c r="G356" s="17" t="s">
        <v>38</v>
      </c>
      <c r="H356" s="17" t="s">
        <v>2590</v>
      </c>
      <c r="I356" s="17" t="s">
        <v>23</v>
      </c>
      <c r="J356" s="36">
        <v>9285.7099999999991</v>
      </c>
      <c r="K356" s="36">
        <v>8673.36</v>
      </c>
      <c r="L356" s="36">
        <f t="shared" si="25"/>
        <v>-612.34999999999854</v>
      </c>
      <c r="M356" s="37">
        <f t="shared" si="26"/>
        <v>-6.5945415051729878E-2</v>
      </c>
      <c r="N356" s="17" t="str">
        <f t="shared" si="27"/>
        <v>Under Budget</v>
      </c>
      <c r="O356" s="38">
        <f t="shared" si="28"/>
        <v>-8673.36</v>
      </c>
      <c r="P356" s="39">
        <f t="shared" si="29"/>
        <v>45931</v>
      </c>
    </row>
    <row r="357" spans="1:16" ht="15.5" x14ac:dyDescent="0.35">
      <c r="A357" s="17" t="s">
        <v>405</v>
      </c>
      <c r="B357" s="35">
        <v>45761</v>
      </c>
      <c r="C357" s="17" t="s">
        <v>12</v>
      </c>
      <c r="D357" s="17" t="s">
        <v>26</v>
      </c>
      <c r="E357" s="17" t="s">
        <v>37</v>
      </c>
      <c r="F357" s="17" t="s">
        <v>34</v>
      </c>
      <c r="G357" s="17" t="s">
        <v>38</v>
      </c>
      <c r="H357" s="17" t="s">
        <v>2586</v>
      </c>
      <c r="I357" s="17" t="s">
        <v>23</v>
      </c>
      <c r="J357" s="36">
        <v>9333.33</v>
      </c>
      <c r="K357" s="36">
        <v>796.24</v>
      </c>
      <c r="L357" s="36">
        <f t="shared" si="25"/>
        <v>-8537.09</v>
      </c>
      <c r="M357" s="37">
        <f t="shared" si="26"/>
        <v>-0.91468854096019325</v>
      </c>
      <c r="N357" s="17" t="str">
        <f t="shared" si="27"/>
        <v>Under Budget</v>
      </c>
      <c r="O357" s="38">
        <f t="shared" si="28"/>
        <v>-796.24</v>
      </c>
      <c r="P357" s="39">
        <f t="shared" si="29"/>
        <v>45748</v>
      </c>
    </row>
    <row r="358" spans="1:16" ht="15.5" x14ac:dyDescent="0.35">
      <c r="A358" s="17" t="s">
        <v>406</v>
      </c>
      <c r="B358" s="35">
        <v>45699</v>
      </c>
      <c r="C358" s="17" t="s">
        <v>12</v>
      </c>
      <c r="D358" s="17" t="s">
        <v>2584</v>
      </c>
      <c r="E358" s="17" t="s">
        <v>20</v>
      </c>
      <c r="F358" s="17" t="s">
        <v>28</v>
      </c>
      <c r="G358" s="17" t="s">
        <v>16</v>
      </c>
      <c r="H358" s="17" t="s">
        <v>2586</v>
      </c>
      <c r="I358" s="17" t="s">
        <v>30</v>
      </c>
      <c r="J358" s="36">
        <v>1940</v>
      </c>
      <c r="K358" s="36">
        <v>1476.33</v>
      </c>
      <c r="L358" s="36">
        <f t="shared" si="25"/>
        <v>-463.67000000000007</v>
      </c>
      <c r="M358" s="37">
        <f t="shared" si="26"/>
        <v>-0.23900515463917529</v>
      </c>
      <c r="N358" s="17" t="str">
        <f t="shared" si="27"/>
        <v>Under Budget</v>
      </c>
      <c r="O358" s="38">
        <f t="shared" si="28"/>
        <v>-1476.33</v>
      </c>
      <c r="P358" s="39">
        <f t="shared" si="29"/>
        <v>45689</v>
      </c>
    </row>
    <row r="359" spans="1:16" ht="15.5" x14ac:dyDescent="0.35">
      <c r="A359" s="17" t="s">
        <v>407</v>
      </c>
      <c r="B359" s="35">
        <v>45911</v>
      </c>
      <c r="C359" s="17" t="s">
        <v>12</v>
      </c>
      <c r="D359" s="17" t="s">
        <v>2584</v>
      </c>
      <c r="E359" s="17" t="s">
        <v>41</v>
      </c>
      <c r="F359" s="17" t="s">
        <v>34</v>
      </c>
      <c r="G359" s="17" t="s">
        <v>38</v>
      </c>
      <c r="H359" s="17" t="s">
        <v>2592</v>
      </c>
      <c r="I359" s="17" t="s">
        <v>23</v>
      </c>
      <c r="J359" s="36">
        <v>9285.7099999999991</v>
      </c>
      <c r="K359" s="36">
        <v>6437.06</v>
      </c>
      <c r="L359" s="36">
        <f t="shared" si="25"/>
        <v>-2848.6499999999987</v>
      </c>
      <c r="M359" s="37">
        <f t="shared" si="26"/>
        <v>-0.30677783389746172</v>
      </c>
      <c r="N359" s="17" t="str">
        <f t="shared" si="27"/>
        <v>Under Budget</v>
      </c>
      <c r="O359" s="38">
        <f t="shared" si="28"/>
        <v>-6437.06</v>
      </c>
      <c r="P359" s="39">
        <f t="shared" si="29"/>
        <v>45901</v>
      </c>
    </row>
    <row r="360" spans="1:16" ht="15.5" x14ac:dyDescent="0.35">
      <c r="A360" s="17" t="s">
        <v>408</v>
      </c>
      <c r="B360" s="35">
        <v>45884</v>
      </c>
      <c r="C360" s="17" t="s">
        <v>25</v>
      </c>
      <c r="D360" s="17" t="s">
        <v>36</v>
      </c>
      <c r="E360" s="17" t="s">
        <v>33</v>
      </c>
      <c r="F360" s="17" t="s">
        <v>52</v>
      </c>
      <c r="G360" s="17" t="s">
        <v>43</v>
      </c>
      <c r="H360" s="17" t="s">
        <v>2590</v>
      </c>
      <c r="I360" s="17" t="s">
        <v>48</v>
      </c>
      <c r="J360" s="36">
        <v>10416.67</v>
      </c>
      <c r="K360" s="36">
        <v>23295.5</v>
      </c>
      <c r="L360" s="36">
        <f t="shared" si="25"/>
        <v>12878.83</v>
      </c>
      <c r="M360" s="37">
        <f t="shared" si="26"/>
        <v>1.2363672843624689</v>
      </c>
      <c r="N360" s="17" t="str">
        <f t="shared" si="27"/>
        <v>Over Budget</v>
      </c>
      <c r="O360" s="38">
        <f t="shared" si="28"/>
        <v>23295.5</v>
      </c>
      <c r="P360" s="39">
        <f t="shared" si="29"/>
        <v>45870</v>
      </c>
    </row>
    <row r="361" spans="1:16" ht="15.5" x14ac:dyDescent="0.35">
      <c r="A361" s="17" t="s">
        <v>409</v>
      </c>
      <c r="B361" s="35">
        <v>45667</v>
      </c>
      <c r="C361" s="17" t="s">
        <v>25</v>
      </c>
      <c r="D361" s="17" t="s">
        <v>32</v>
      </c>
      <c r="E361" s="17" t="s">
        <v>2583</v>
      </c>
      <c r="F361" s="17" t="s">
        <v>28</v>
      </c>
      <c r="G361" s="17" t="s">
        <v>22</v>
      </c>
      <c r="H361" s="17" t="s">
        <v>2597</v>
      </c>
      <c r="I361" s="17" t="s">
        <v>23</v>
      </c>
      <c r="J361" s="36">
        <v>11022.73</v>
      </c>
      <c r="K361" s="36">
        <v>7154.43</v>
      </c>
      <c r="L361" s="36">
        <f t="shared" si="25"/>
        <v>-3868.2999999999993</v>
      </c>
      <c r="M361" s="37">
        <f t="shared" si="26"/>
        <v>-0.350938469870894</v>
      </c>
      <c r="N361" s="17" t="str">
        <f t="shared" si="27"/>
        <v>Under Budget</v>
      </c>
      <c r="O361" s="38">
        <f t="shared" si="28"/>
        <v>7154.43</v>
      </c>
      <c r="P361" s="39">
        <f t="shared" si="29"/>
        <v>45658</v>
      </c>
    </row>
    <row r="362" spans="1:16" ht="15.5" x14ac:dyDescent="0.35">
      <c r="A362" s="17" t="s">
        <v>410</v>
      </c>
      <c r="B362" s="35">
        <v>45726</v>
      </c>
      <c r="C362" s="17" t="s">
        <v>25</v>
      </c>
      <c r="D362" s="17" t="s">
        <v>32</v>
      </c>
      <c r="E362" s="17" t="s">
        <v>109</v>
      </c>
      <c r="F362" s="17" t="s">
        <v>52</v>
      </c>
      <c r="G362" s="17" t="s">
        <v>38</v>
      </c>
      <c r="H362" s="17" t="s">
        <v>2593</v>
      </c>
      <c r="I362" s="17" t="s">
        <v>30</v>
      </c>
      <c r="J362" s="36">
        <v>9090.91</v>
      </c>
      <c r="K362" s="36">
        <v>10096.959999999999</v>
      </c>
      <c r="L362" s="36">
        <f t="shared" si="25"/>
        <v>1006.0499999999993</v>
      </c>
      <c r="M362" s="37">
        <f t="shared" si="26"/>
        <v>0.11066548893345103</v>
      </c>
      <c r="N362" s="17" t="str">
        <f t="shared" si="27"/>
        <v>Over Budget</v>
      </c>
      <c r="O362" s="38">
        <f t="shared" si="28"/>
        <v>10096.959999999999</v>
      </c>
      <c r="P362" s="39">
        <f t="shared" si="29"/>
        <v>45717</v>
      </c>
    </row>
    <row r="363" spans="1:16" ht="15.5" x14ac:dyDescent="0.35">
      <c r="A363" s="17" t="s">
        <v>411</v>
      </c>
      <c r="B363" s="35">
        <v>45875</v>
      </c>
      <c r="C363" s="17" t="s">
        <v>25</v>
      </c>
      <c r="D363" s="17" t="s">
        <v>19</v>
      </c>
      <c r="E363" s="17" t="s">
        <v>33</v>
      </c>
      <c r="F363" s="17" t="s">
        <v>34</v>
      </c>
      <c r="G363" s="17" t="s">
        <v>29</v>
      </c>
      <c r="H363" s="17" t="s">
        <v>2587</v>
      </c>
      <c r="I363" s="17" t="s">
        <v>23</v>
      </c>
      <c r="J363" s="36">
        <v>10416.67</v>
      </c>
      <c r="K363" s="36">
        <v>15594.44</v>
      </c>
      <c r="L363" s="36">
        <f t="shared" si="25"/>
        <v>5177.7700000000004</v>
      </c>
      <c r="M363" s="37">
        <f t="shared" si="26"/>
        <v>0.49706576093895655</v>
      </c>
      <c r="N363" s="17" t="str">
        <f t="shared" si="27"/>
        <v>Over Budget</v>
      </c>
      <c r="O363" s="38">
        <f t="shared" si="28"/>
        <v>15594.44</v>
      </c>
      <c r="P363" s="39">
        <f t="shared" si="29"/>
        <v>45870</v>
      </c>
    </row>
    <row r="364" spans="1:16" ht="15.5" x14ac:dyDescent="0.35">
      <c r="A364" s="17" t="s">
        <v>412</v>
      </c>
      <c r="B364" s="35">
        <v>45872</v>
      </c>
      <c r="C364" s="17" t="s">
        <v>25</v>
      </c>
      <c r="D364" s="17" t="s">
        <v>32</v>
      </c>
      <c r="E364" s="17" t="s">
        <v>109</v>
      </c>
      <c r="F364" s="17" t="s">
        <v>15</v>
      </c>
      <c r="G364" s="17" t="s">
        <v>38</v>
      </c>
      <c r="H364" s="17" t="s">
        <v>60</v>
      </c>
      <c r="I364" s="17" t="s">
        <v>30</v>
      </c>
      <c r="J364" s="36">
        <v>7142.86</v>
      </c>
      <c r="K364" s="36">
        <v>7219.16</v>
      </c>
      <c r="L364" s="36">
        <f t="shared" si="25"/>
        <v>76.300000000000182</v>
      </c>
      <c r="M364" s="37">
        <f t="shared" si="26"/>
        <v>1.0681995727201734E-2</v>
      </c>
      <c r="N364" s="17" t="str">
        <f t="shared" si="27"/>
        <v>Over Budget</v>
      </c>
      <c r="O364" s="38">
        <f t="shared" si="28"/>
        <v>7219.16</v>
      </c>
      <c r="P364" s="39">
        <f t="shared" si="29"/>
        <v>45870</v>
      </c>
    </row>
    <row r="365" spans="1:16" ht="15.5" x14ac:dyDescent="0.35">
      <c r="A365" s="17" t="s">
        <v>413</v>
      </c>
      <c r="B365" s="35">
        <v>45921</v>
      </c>
      <c r="C365" s="17" t="s">
        <v>12</v>
      </c>
      <c r="D365" s="17" t="s">
        <v>32</v>
      </c>
      <c r="E365" s="17" t="s">
        <v>74</v>
      </c>
      <c r="F365" s="17" t="s">
        <v>34</v>
      </c>
      <c r="G365" s="17" t="s">
        <v>43</v>
      </c>
      <c r="H365" s="17" t="s">
        <v>2594</v>
      </c>
      <c r="I365" s="17" t="s">
        <v>23</v>
      </c>
      <c r="J365" s="36">
        <v>5000</v>
      </c>
      <c r="K365" s="36">
        <v>5548.76</v>
      </c>
      <c r="L365" s="36">
        <f t="shared" si="25"/>
        <v>548.76000000000022</v>
      </c>
      <c r="M365" s="37">
        <f t="shared" si="26"/>
        <v>0.10975200000000004</v>
      </c>
      <c r="N365" s="17" t="str">
        <f t="shared" si="27"/>
        <v>Over Budget</v>
      </c>
      <c r="O365" s="38">
        <f t="shared" si="28"/>
        <v>-5548.76</v>
      </c>
      <c r="P365" s="39">
        <f t="shared" si="29"/>
        <v>45901</v>
      </c>
    </row>
    <row r="366" spans="1:16" ht="15.5" x14ac:dyDescent="0.35">
      <c r="A366" s="17" t="s">
        <v>414</v>
      </c>
      <c r="B366" s="35">
        <v>45940</v>
      </c>
      <c r="C366" s="17" t="s">
        <v>12</v>
      </c>
      <c r="D366" s="17" t="s">
        <v>36</v>
      </c>
      <c r="E366" s="17" t="s">
        <v>37</v>
      </c>
      <c r="F366" s="17" t="s">
        <v>21</v>
      </c>
      <c r="G366" s="17" t="s">
        <v>38</v>
      </c>
      <c r="H366" s="17" t="s">
        <v>2588</v>
      </c>
      <c r="I366" s="17" t="s">
        <v>39</v>
      </c>
      <c r="J366" s="36">
        <v>3500</v>
      </c>
      <c r="K366" s="36">
        <v>0</v>
      </c>
      <c r="L366" s="36">
        <f t="shared" si="25"/>
        <v>-3500</v>
      </c>
      <c r="M366" s="37">
        <f t="shared" si="26"/>
        <v>-1</v>
      </c>
      <c r="N366" s="17" t="str">
        <f t="shared" si="27"/>
        <v>Under Budget</v>
      </c>
      <c r="O366" s="38">
        <f t="shared" si="28"/>
        <v>0</v>
      </c>
      <c r="P366" s="39">
        <f t="shared" si="29"/>
        <v>45931</v>
      </c>
    </row>
    <row r="367" spans="1:16" ht="15.5" x14ac:dyDescent="0.35">
      <c r="A367" s="17" t="s">
        <v>415</v>
      </c>
      <c r="B367" s="35">
        <v>46082</v>
      </c>
      <c r="C367" s="17" t="s">
        <v>25</v>
      </c>
      <c r="D367" s="17" t="s">
        <v>26</v>
      </c>
      <c r="E367" s="17" t="s">
        <v>33</v>
      </c>
      <c r="F367" s="17" t="s">
        <v>34</v>
      </c>
      <c r="G367" s="17" t="s">
        <v>43</v>
      </c>
      <c r="H367" s="17" t="s">
        <v>60</v>
      </c>
      <c r="I367" s="17" t="s">
        <v>39</v>
      </c>
      <c r="J367" s="36">
        <v>11363.64</v>
      </c>
      <c r="K367" s="36">
        <v>1875.77</v>
      </c>
      <c r="L367" s="36">
        <f t="shared" si="25"/>
        <v>-9487.869999999999</v>
      </c>
      <c r="M367" s="37">
        <f t="shared" si="26"/>
        <v>-0.83493229282166626</v>
      </c>
      <c r="N367" s="17" t="str">
        <f t="shared" si="27"/>
        <v>Under Budget</v>
      </c>
      <c r="O367" s="38">
        <f t="shared" si="28"/>
        <v>1875.77</v>
      </c>
      <c r="P367" s="39">
        <f t="shared" si="29"/>
        <v>46082</v>
      </c>
    </row>
    <row r="368" spans="1:16" ht="15.5" x14ac:dyDescent="0.35">
      <c r="A368" s="17" t="s">
        <v>416</v>
      </c>
      <c r="B368" s="35">
        <v>45917</v>
      </c>
      <c r="C368" s="17" t="s">
        <v>12</v>
      </c>
      <c r="D368" s="17" t="s">
        <v>26</v>
      </c>
      <c r="E368" s="17" t="s">
        <v>77</v>
      </c>
      <c r="F368" s="17" t="s">
        <v>15</v>
      </c>
      <c r="G368" s="17" t="s">
        <v>43</v>
      </c>
      <c r="H368" s="17" t="s">
        <v>2594</v>
      </c>
      <c r="I368" s="17" t="s">
        <v>48</v>
      </c>
      <c r="J368" s="36">
        <v>5500</v>
      </c>
      <c r="K368" s="36">
        <v>2339.92</v>
      </c>
      <c r="L368" s="36">
        <f t="shared" si="25"/>
        <v>-3160.08</v>
      </c>
      <c r="M368" s="37">
        <f t="shared" si="26"/>
        <v>-0.57455999999999996</v>
      </c>
      <c r="N368" s="17" t="str">
        <f t="shared" si="27"/>
        <v>Under Budget</v>
      </c>
      <c r="O368" s="38">
        <f t="shared" si="28"/>
        <v>-2339.92</v>
      </c>
      <c r="P368" s="39">
        <f t="shared" si="29"/>
        <v>45901</v>
      </c>
    </row>
    <row r="369" spans="1:16" ht="15.5" x14ac:dyDescent="0.35">
      <c r="A369" s="17" t="s">
        <v>417</v>
      </c>
      <c r="B369" s="35">
        <v>46060</v>
      </c>
      <c r="C369" s="17" t="s">
        <v>25</v>
      </c>
      <c r="D369" s="17" t="s">
        <v>32</v>
      </c>
      <c r="E369" s="17" t="s">
        <v>33</v>
      </c>
      <c r="F369" s="17" t="s">
        <v>52</v>
      </c>
      <c r="G369" s="17" t="s">
        <v>16</v>
      </c>
      <c r="H369" s="17" t="s">
        <v>2589</v>
      </c>
      <c r="I369" s="17" t="s">
        <v>23</v>
      </c>
      <c r="J369" s="36">
        <v>12125</v>
      </c>
      <c r="K369" s="36">
        <v>24671</v>
      </c>
      <c r="L369" s="36">
        <f t="shared" si="25"/>
        <v>12546</v>
      </c>
      <c r="M369" s="37">
        <f t="shared" si="26"/>
        <v>1.0347216494845362</v>
      </c>
      <c r="N369" s="17" t="str">
        <f t="shared" si="27"/>
        <v>Over Budget</v>
      </c>
      <c r="O369" s="38">
        <f t="shared" si="28"/>
        <v>24671</v>
      </c>
      <c r="P369" s="39">
        <f t="shared" si="29"/>
        <v>46054</v>
      </c>
    </row>
    <row r="370" spans="1:16" ht="15.5" x14ac:dyDescent="0.35">
      <c r="A370" s="17" t="s">
        <v>418</v>
      </c>
      <c r="B370" s="35">
        <v>46020</v>
      </c>
      <c r="C370" s="17" t="s">
        <v>12</v>
      </c>
      <c r="D370" s="17" t="s">
        <v>19</v>
      </c>
      <c r="E370" s="17" t="s">
        <v>65</v>
      </c>
      <c r="F370" s="17" t="s">
        <v>15</v>
      </c>
      <c r="G370" s="17" t="s">
        <v>38</v>
      </c>
      <c r="H370" s="17" t="s">
        <v>2589</v>
      </c>
      <c r="I370" s="17" t="s">
        <v>17</v>
      </c>
      <c r="J370" s="36">
        <v>4125</v>
      </c>
      <c r="K370" s="36">
        <v>8631.93</v>
      </c>
      <c r="L370" s="36">
        <f t="shared" si="25"/>
        <v>4506.93</v>
      </c>
      <c r="M370" s="37">
        <f t="shared" si="26"/>
        <v>1.092589090909091</v>
      </c>
      <c r="N370" s="17" t="str">
        <f t="shared" si="27"/>
        <v>Over Budget</v>
      </c>
      <c r="O370" s="38">
        <f t="shared" si="28"/>
        <v>-8631.93</v>
      </c>
      <c r="P370" s="39">
        <f t="shared" si="29"/>
        <v>45992</v>
      </c>
    </row>
    <row r="371" spans="1:16" ht="15.5" x14ac:dyDescent="0.35">
      <c r="A371" s="17" t="s">
        <v>419</v>
      </c>
      <c r="B371" s="35">
        <v>45760</v>
      </c>
      <c r="C371" s="17" t="s">
        <v>12</v>
      </c>
      <c r="D371" s="17" t="s">
        <v>26</v>
      </c>
      <c r="E371" s="17" t="s">
        <v>47</v>
      </c>
      <c r="F371" s="17" t="s">
        <v>52</v>
      </c>
      <c r="G371" s="17" t="s">
        <v>38</v>
      </c>
      <c r="H371" s="17" t="s">
        <v>2593</v>
      </c>
      <c r="I371" s="17" t="s">
        <v>30</v>
      </c>
      <c r="J371" s="36">
        <v>4375</v>
      </c>
      <c r="K371" s="36">
        <v>869.42</v>
      </c>
      <c r="L371" s="36">
        <f t="shared" si="25"/>
        <v>-3505.58</v>
      </c>
      <c r="M371" s="37">
        <f t="shared" si="26"/>
        <v>-0.80127542857142853</v>
      </c>
      <c r="N371" s="17" t="str">
        <f t="shared" si="27"/>
        <v>Under Budget</v>
      </c>
      <c r="O371" s="38">
        <f t="shared" si="28"/>
        <v>-869.42</v>
      </c>
      <c r="P371" s="39">
        <f t="shared" si="29"/>
        <v>45748</v>
      </c>
    </row>
    <row r="372" spans="1:16" ht="15.5" x14ac:dyDescent="0.35">
      <c r="A372" s="17" t="s">
        <v>420</v>
      </c>
      <c r="B372" s="35">
        <v>45737</v>
      </c>
      <c r="C372" s="17" t="s">
        <v>12</v>
      </c>
      <c r="D372" s="17" t="s">
        <v>2585</v>
      </c>
      <c r="E372" s="17" t="s">
        <v>45</v>
      </c>
      <c r="F372" s="17" t="s">
        <v>34</v>
      </c>
      <c r="G372" s="17" t="s">
        <v>38</v>
      </c>
      <c r="H372" s="17" t="s">
        <v>2586</v>
      </c>
      <c r="I372" s="17" t="s">
        <v>23</v>
      </c>
      <c r="J372" s="36">
        <v>6000</v>
      </c>
      <c r="K372" s="36">
        <v>5222.99</v>
      </c>
      <c r="L372" s="36">
        <f t="shared" si="25"/>
        <v>-777.01000000000022</v>
      </c>
      <c r="M372" s="37">
        <f t="shared" si="26"/>
        <v>-0.12950166666666671</v>
      </c>
      <c r="N372" s="17" t="str">
        <f t="shared" si="27"/>
        <v>Under Budget</v>
      </c>
      <c r="O372" s="38">
        <f t="shared" si="28"/>
        <v>-5222.99</v>
      </c>
      <c r="P372" s="39">
        <f t="shared" si="29"/>
        <v>45717</v>
      </c>
    </row>
    <row r="373" spans="1:16" ht="15.5" x14ac:dyDescent="0.35">
      <c r="A373" s="17" t="s">
        <v>421</v>
      </c>
      <c r="B373" s="35">
        <v>45744</v>
      </c>
      <c r="C373" s="17" t="s">
        <v>25</v>
      </c>
      <c r="D373" s="17" t="s">
        <v>26</v>
      </c>
      <c r="E373" s="17" t="s">
        <v>33</v>
      </c>
      <c r="F373" s="17" t="s">
        <v>15</v>
      </c>
      <c r="G373" s="17" t="s">
        <v>22</v>
      </c>
      <c r="H373" s="17" t="s">
        <v>2588</v>
      </c>
      <c r="I373" s="17" t="s">
        <v>30</v>
      </c>
      <c r="J373" s="36">
        <v>8064.52</v>
      </c>
      <c r="K373" s="36">
        <v>3553.28</v>
      </c>
      <c r="L373" s="36">
        <f t="shared" si="25"/>
        <v>-4511.24</v>
      </c>
      <c r="M373" s="37">
        <f t="shared" si="26"/>
        <v>-0.55939349149112405</v>
      </c>
      <c r="N373" s="17" t="str">
        <f t="shared" si="27"/>
        <v>Under Budget</v>
      </c>
      <c r="O373" s="38">
        <f t="shared" si="28"/>
        <v>3553.28</v>
      </c>
      <c r="P373" s="39">
        <f t="shared" si="29"/>
        <v>45717</v>
      </c>
    </row>
    <row r="374" spans="1:16" ht="15.5" x14ac:dyDescent="0.35">
      <c r="A374" s="17" t="s">
        <v>422</v>
      </c>
      <c r="B374" s="35">
        <v>45764</v>
      </c>
      <c r="C374" s="17" t="s">
        <v>12</v>
      </c>
      <c r="D374" s="17" t="s">
        <v>19</v>
      </c>
      <c r="E374" s="17" t="s">
        <v>41</v>
      </c>
      <c r="F374" s="17" t="s">
        <v>52</v>
      </c>
      <c r="G374" s="17" t="s">
        <v>38</v>
      </c>
      <c r="H374" s="17" t="s">
        <v>2592</v>
      </c>
      <c r="I374" s="17" t="s">
        <v>39</v>
      </c>
      <c r="J374" s="36">
        <v>5416.67</v>
      </c>
      <c r="K374" s="36">
        <v>8329.25</v>
      </c>
      <c r="L374" s="36">
        <f t="shared" si="25"/>
        <v>2912.58</v>
      </c>
      <c r="M374" s="37">
        <f t="shared" si="26"/>
        <v>0.53770674602661783</v>
      </c>
      <c r="N374" s="17" t="str">
        <f t="shared" si="27"/>
        <v>Over Budget</v>
      </c>
      <c r="O374" s="38">
        <f t="shared" si="28"/>
        <v>-8329.25</v>
      </c>
      <c r="P374" s="39">
        <f t="shared" si="29"/>
        <v>45748</v>
      </c>
    </row>
    <row r="375" spans="1:16" ht="15.5" x14ac:dyDescent="0.35">
      <c r="A375" s="17" t="s">
        <v>423</v>
      </c>
      <c r="B375" s="35">
        <v>45763</v>
      </c>
      <c r="C375" s="17" t="s">
        <v>25</v>
      </c>
      <c r="D375" s="17" t="s">
        <v>36</v>
      </c>
      <c r="E375" s="17" t="s">
        <v>33</v>
      </c>
      <c r="F375" s="17" t="s">
        <v>34</v>
      </c>
      <c r="G375" s="17" t="s">
        <v>16</v>
      </c>
      <c r="H375" s="17" t="s">
        <v>2597</v>
      </c>
      <c r="I375" s="17" t="s">
        <v>30</v>
      </c>
      <c r="J375" s="36">
        <v>11363.64</v>
      </c>
      <c r="K375" s="36">
        <v>4344.32</v>
      </c>
      <c r="L375" s="36">
        <f t="shared" si="25"/>
        <v>-7019.32</v>
      </c>
      <c r="M375" s="37">
        <f t="shared" si="26"/>
        <v>-0.6176999623360121</v>
      </c>
      <c r="N375" s="17" t="str">
        <f t="shared" si="27"/>
        <v>Under Budget</v>
      </c>
      <c r="O375" s="38">
        <f t="shared" si="28"/>
        <v>4344.32</v>
      </c>
      <c r="P375" s="39">
        <f t="shared" si="29"/>
        <v>45748</v>
      </c>
    </row>
    <row r="376" spans="1:16" ht="15.5" x14ac:dyDescent="0.35">
      <c r="A376" s="17" t="s">
        <v>424</v>
      </c>
      <c r="B376" s="35">
        <v>45734</v>
      </c>
      <c r="C376" s="17" t="s">
        <v>12</v>
      </c>
      <c r="D376" s="17" t="s">
        <v>2584</v>
      </c>
      <c r="E376" s="17" t="s">
        <v>47</v>
      </c>
      <c r="F376" s="17" t="s">
        <v>52</v>
      </c>
      <c r="G376" s="17" t="s">
        <v>29</v>
      </c>
      <c r="H376" s="17" t="s">
        <v>2589</v>
      </c>
      <c r="I376" s="17" t="s">
        <v>23</v>
      </c>
      <c r="J376" s="36">
        <v>4375</v>
      </c>
      <c r="K376" s="36">
        <v>3310.06</v>
      </c>
      <c r="L376" s="36">
        <f t="shared" si="25"/>
        <v>-1064.94</v>
      </c>
      <c r="M376" s="37">
        <f t="shared" si="26"/>
        <v>-0.24341485714285716</v>
      </c>
      <c r="N376" s="17" t="str">
        <f t="shared" si="27"/>
        <v>Under Budget</v>
      </c>
      <c r="O376" s="38">
        <f t="shared" si="28"/>
        <v>-3310.06</v>
      </c>
      <c r="P376" s="39">
        <f t="shared" si="29"/>
        <v>45717</v>
      </c>
    </row>
    <row r="377" spans="1:16" ht="15.5" x14ac:dyDescent="0.35">
      <c r="A377" s="17" t="s">
        <v>425</v>
      </c>
      <c r="B377" s="35">
        <v>45996</v>
      </c>
      <c r="C377" s="17" t="s">
        <v>12</v>
      </c>
      <c r="D377" s="17" t="s">
        <v>13</v>
      </c>
      <c r="E377" s="17" t="s">
        <v>45</v>
      </c>
      <c r="F377" s="17" t="s">
        <v>21</v>
      </c>
      <c r="G377" s="17" t="s">
        <v>22</v>
      </c>
      <c r="H377" s="17" t="s">
        <v>2596</v>
      </c>
      <c r="I377" s="17" t="s">
        <v>23</v>
      </c>
      <c r="J377" s="36">
        <v>7875</v>
      </c>
      <c r="K377" s="36">
        <v>2253.0700000000002</v>
      </c>
      <c r="L377" s="36">
        <f t="shared" si="25"/>
        <v>-5621.93</v>
      </c>
      <c r="M377" s="37">
        <f t="shared" si="26"/>
        <v>-0.71389587301587309</v>
      </c>
      <c r="N377" s="17" t="str">
        <f t="shared" si="27"/>
        <v>Under Budget</v>
      </c>
      <c r="O377" s="38">
        <f t="shared" si="28"/>
        <v>-2253.0700000000002</v>
      </c>
      <c r="P377" s="39">
        <f t="shared" si="29"/>
        <v>45992</v>
      </c>
    </row>
    <row r="378" spans="1:16" ht="15.5" x14ac:dyDescent="0.35">
      <c r="A378" s="17" t="s">
        <v>426</v>
      </c>
      <c r="B378" s="35">
        <v>45839</v>
      </c>
      <c r="C378" s="17" t="s">
        <v>12</v>
      </c>
      <c r="D378" s="17" t="s">
        <v>19</v>
      </c>
      <c r="E378" s="17" t="s">
        <v>65</v>
      </c>
      <c r="F378" s="17" t="s">
        <v>34</v>
      </c>
      <c r="G378" s="17" t="s">
        <v>38</v>
      </c>
      <c r="H378" s="17" t="s">
        <v>2587</v>
      </c>
      <c r="I378" s="17" t="s">
        <v>39</v>
      </c>
      <c r="J378" s="36">
        <v>3437.5</v>
      </c>
      <c r="K378" s="36">
        <v>6930.04</v>
      </c>
      <c r="L378" s="36">
        <f t="shared" si="25"/>
        <v>3492.54</v>
      </c>
      <c r="M378" s="37">
        <f t="shared" si="26"/>
        <v>1.0160116363636365</v>
      </c>
      <c r="N378" s="17" t="str">
        <f t="shared" si="27"/>
        <v>Over Budget</v>
      </c>
      <c r="O378" s="38">
        <f t="shared" si="28"/>
        <v>-6930.04</v>
      </c>
      <c r="P378" s="39">
        <f t="shared" si="29"/>
        <v>45839</v>
      </c>
    </row>
    <row r="379" spans="1:16" ht="15.5" x14ac:dyDescent="0.35">
      <c r="A379" s="17" t="s">
        <v>427</v>
      </c>
      <c r="B379" s="35">
        <v>46078</v>
      </c>
      <c r="C379" s="17" t="s">
        <v>25</v>
      </c>
      <c r="D379" s="17" t="s">
        <v>32</v>
      </c>
      <c r="E379" s="17" t="s">
        <v>33</v>
      </c>
      <c r="F379" s="17" t="s">
        <v>21</v>
      </c>
      <c r="G379" s="17" t="s">
        <v>22</v>
      </c>
      <c r="H379" s="17" t="s">
        <v>60</v>
      </c>
      <c r="I379" s="17" t="s">
        <v>39</v>
      </c>
      <c r="J379" s="36">
        <v>12125</v>
      </c>
      <c r="K379" s="36">
        <v>10073.950000000001</v>
      </c>
      <c r="L379" s="36">
        <f t="shared" si="25"/>
        <v>-2051.0499999999993</v>
      </c>
      <c r="M379" s="37">
        <f t="shared" si="26"/>
        <v>-0.16915876288659787</v>
      </c>
      <c r="N379" s="17" t="str">
        <f t="shared" si="27"/>
        <v>Under Budget</v>
      </c>
      <c r="O379" s="38">
        <f t="shared" si="28"/>
        <v>10073.950000000001</v>
      </c>
      <c r="P379" s="39">
        <f t="shared" si="29"/>
        <v>46054</v>
      </c>
    </row>
    <row r="380" spans="1:16" ht="15.5" x14ac:dyDescent="0.35">
      <c r="A380" s="17" t="s">
        <v>428</v>
      </c>
      <c r="B380" s="35">
        <v>45753</v>
      </c>
      <c r="C380" s="17" t="s">
        <v>25</v>
      </c>
      <c r="D380" s="17" t="s">
        <v>13</v>
      </c>
      <c r="E380" s="17" t="s">
        <v>33</v>
      </c>
      <c r="F380" s="17" t="s">
        <v>28</v>
      </c>
      <c r="G380" s="17" t="s">
        <v>16</v>
      </c>
      <c r="H380" s="17" t="s">
        <v>2589</v>
      </c>
      <c r="I380" s="17" t="s">
        <v>23</v>
      </c>
      <c r="J380" s="36">
        <v>11363.64</v>
      </c>
      <c r="K380" s="36">
        <v>15219.46</v>
      </c>
      <c r="L380" s="36">
        <f t="shared" si="25"/>
        <v>3855.8199999999997</v>
      </c>
      <c r="M380" s="37">
        <f t="shared" si="26"/>
        <v>0.33931205142014353</v>
      </c>
      <c r="N380" s="17" t="str">
        <f t="shared" si="27"/>
        <v>Over Budget</v>
      </c>
      <c r="O380" s="38">
        <f t="shared" si="28"/>
        <v>15219.46</v>
      </c>
      <c r="P380" s="39">
        <f t="shared" si="29"/>
        <v>45748</v>
      </c>
    </row>
    <row r="381" spans="1:16" ht="15.5" x14ac:dyDescent="0.35">
      <c r="A381" s="17" t="s">
        <v>429</v>
      </c>
      <c r="B381" s="35">
        <v>45861</v>
      </c>
      <c r="C381" s="17" t="s">
        <v>25</v>
      </c>
      <c r="D381" s="17" t="s">
        <v>2584</v>
      </c>
      <c r="E381" s="17" t="s">
        <v>169</v>
      </c>
      <c r="F381" s="17" t="s">
        <v>52</v>
      </c>
      <c r="G381" s="17" t="s">
        <v>38</v>
      </c>
      <c r="H381" s="17" t="s">
        <v>2598</v>
      </c>
      <c r="I381" s="17" t="s">
        <v>39</v>
      </c>
      <c r="J381" s="36">
        <v>4000</v>
      </c>
      <c r="K381" s="36">
        <v>3127.15</v>
      </c>
      <c r="L381" s="36">
        <f t="shared" si="25"/>
        <v>-872.84999999999991</v>
      </c>
      <c r="M381" s="37">
        <f t="shared" si="26"/>
        <v>-0.21821249999999998</v>
      </c>
      <c r="N381" s="17" t="str">
        <f t="shared" si="27"/>
        <v>Under Budget</v>
      </c>
      <c r="O381" s="38">
        <f t="shared" si="28"/>
        <v>3127.15</v>
      </c>
      <c r="P381" s="39">
        <f t="shared" si="29"/>
        <v>45839</v>
      </c>
    </row>
    <row r="382" spans="1:16" ht="15.5" x14ac:dyDescent="0.35">
      <c r="A382" s="17" t="s">
        <v>430</v>
      </c>
      <c r="B382" s="35">
        <v>46148</v>
      </c>
      <c r="C382" s="17" t="s">
        <v>12</v>
      </c>
      <c r="D382" s="17" t="s">
        <v>2584</v>
      </c>
      <c r="E382" s="17" t="s">
        <v>51</v>
      </c>
      <c r="F382" s="17" t="s">
        <v>15</v>
      </c>
      <c r="G382" s="17" t="s">
        <v>22</v>
      </c>
      <c r="H382" s="17" t="s">
        <v>2594</v>
      </c>
      <c r="I382" s="17" t="s">
        <v>39</v>
      </c>
      <c r="J382" s="36">
        <v>2727.27</v>
      </c>
      <c r="K382" s="36">
        <v>6121.36</v>
      </c>
      <c r="L382" s="36">
        <f t="shared" si="25"/>
        <v>3394.0899999999997</v>
      </c>
      <c r="M382" s="37">
        <f t="shared" si="26"/>
        <v>1.2445009111675778</v>
      </c>
      <c r="N382" s="17" t="str">
        <f t="shared" si="27"/>
        <v>Over Budget</v>
      </c>
      <c r="O382" s="38">
        <f t="shared" si="28"/>
        <v>-6121.36</v>
      </c>
      <c r="P382" s="39">
        <f t="shared" si="29"/>
        <v>46143</v>
      </c>
    </row>
    <row r="383" spans="1:16" ht="15.5" x14ac:dyDescent="0.35">
      <c r="A383" s="17" t="s">
        <v>431</v>
      </c>
      <c r="B383" s="35">
        <v>46029</v>
      </c>
      <c r="C383" s="17" t="s">
        <v>25</v>
      </c>
      <c r="D383" s="17" t="s">
        <v>32</v>
      </c>
      <c r="E383" s="17" t="s">
        <v>27</v>
      </c>
      <c r="F383" s="17" t="s">
        <v>21</v>
      </c>
      <c r="G383" s="17" t="s">
        <v>43</v>
      </c>
      <c r="H383" s="17" t="s">
        <v>80</v>
      </c>
      <c r="I383" s="17" t="s">
        <v>48</v>
      </c>
      <c r="J383" s="36">
        <v>8622.2199999999993</v>
      </c>
      <c r="K383" s="36">
        <v>5222.74</v>
      </c>
      <c r="L383" s="36">
        <f t="shared" si="25"/>
        <v>-3399.4799999999996</v>
      </c>
      <c r="M383" s="37">
        <f t="shared" si="26"/>
        <v>-0.39426968924476524</v>
      </c>
      <c r="N383" s="17" t="str">
        <f t="shared" si="27"/>
        <v>Under Budget</v>
      </c>
      <c r="O383" s="38">
        <f t="shared" si="28"/>
        <v>5222.74</v>
      </c>
      <c r="P383" s="39">
        <f t="shared" si="29"/>
        <v>46023</v>
      </c>
    </row>
    <row r="384" spans="1:16" ht="15.5" x14ac:dyDescent="0.35">
      <c r="A384" s="17" t="s">
        <v>432</v>
      </c>
      <c r="B384" s="35">
        <v>45909</v>
      </c>
      <c r="C384" s="17" t="s">
        <v>25</v>
      </c>
      <c r="D384" s="17" t="s">
        <v>32</v>
      </c>
      <c r="E384" s="17" t="s">
        <v>33</v>
      </c>
      <c r="F384" s="17" t="s">
        <v>28</v>
      </c>
      <c r="G384" s="17" t="s">
        <v>38</v>
      </c>
      <c r="H384" s="17" t="s">
        <v>2592</v>
      </c>
      <c r="I384" s="17" t="s">
        <v>30</v>
      </c>
      <c r="J384" s="36">
        <v>11904.76</v>
      </c>
      <c r="K384" s="36">
        <v>15105.37</v>
      </c>
      <c r="L384" s="36">
        <f t="shared" si="25"/>
        <v>3200.6100000000006</v>
      </c>
      <c r="M384" s="37">
        <f t="shared" si="26"/>
        <v>0.26885128301620531</v>
      </c>
      <c r="N384" s="17" t="str">
        <f t="shared" si="27"/>
        <v>Over Budget</v>
      </c>
      <c r="O384" s="38">
        <f t="shared" si="28"/>
        <v>15105.37</v>
      </c>
      <c r="P384" s="39">
        <f t="shared" si="29"/>
        <v>45901</v>
      </c>
    </row>
    <row r="385" spans="1:16" ht="15.5" x14ac:dyDescent="0.35">
      <c r="A385" s="17" t="s">
        <v>433</v>
      </c>
      <c r="B385" s="35">
        <v>45832</v>
      </c>
      <c r="C385" s="17" t="s">
        <v>12</v>
      </c>
      <c r="D385" s="17" t="s">
        <v>36</v>
      </c>
      <c r="E385" s="17" t="s">
        <v>20</v>
      </c>
      <c r="F385" s="17" t="s">
        <v>28</v>
      </c>
      <c r="G385" s="17" t="s">
        <v>38</v>
      </c>
      <c r="H385" s="17" t="s">
        <v>2594</v>
      </c>
      <c r="I385" s="17" t="s">
        <v>30</v>
      </c>
      <c r="J385" s="36">
        <v>2000</v>
      </c>
      <c r="K385" s="36">
        <v>1330.35</v>
      </c>
      <c r="L385" s="36">
        <f t="shared" si="25"/>
        <v>-669.65000000000009</v>
      </c>
      <c r="M385" s="37">
        <f t="shared" si="26"/>
        <v>-0.33482500000000004</v>
      </c>
      <c r="N385" s="17" t="str">
        <f t="shared" si="27"/>
        <v>Under Budget</v>
      </c>
      <c r="O385" s="38">
        <f t="shared" si="28"/>
        <v>-1330.35</v>
      </c>
      <c r="P385" s="39">
        <f t="shared" si="29"/>
        <v>45809</v>
      </c>
    </row>
    <row r="386" spans="1:16" ht="15.5" x14ac:dyDescent="0.35">
      <c r="A386" s="17" t="s">
        <v>434</v>
      </c>
      <c r="B386" s="35">
        <v>45695</v>
      </c>
      <c r="C386" s="17" t="s">
        <v>12</v>
      </c>
      <c r="D386" s="17" t="s">
        <v>19</v>
      </c>
      <c r="E386" s="17" t="s">
        <v>14</v>
      </c>
      <c r="F386" s="17" t="s">
        <v>34</v>
      </c>
      <c r="G386" s="17" t="s">
        <v>43</v>
      </c>
      <c r="H386" s="17" t="s">
        <v>2596</v>
      </c>
      <c r="I386" s="17" t="s">
        <v>23</v>
      </c>
      <c r="J386" s="36">
        <v>6208</v>
      </c>
      <c r="K386" s="36">
        <v>2461.8000000000002</v>
      </c>
      <c r="L386" s="36">
        <f t="shared" si="25"/>
        <v>-3746.2</v>
      </c>
      <c r="M386" s="37">
        <f t="shared" si="26"/>
        <v>-0.60344716494845363</v>
      </c>
      <c r="N386" s="17" t="str">
        <f t="shared" si="27"/>
        <v>Under Budget</v>
      </c>
      <c r="O386" s="38">
        <f t="shared" si="28"/>
        <v>-2461.8000000000002</v>
      </c>
      <c r="P386" s="39">
        <f t="shared" si="29"/>
        <v>45689</v>
      </c>
    </row>
    <row r="387" spans="1:16" ht="15.5" x14ac:dyDescent="0.35">
      <c r="A387" s="17" t="s">
        <v>435</v>
      </c>
      <c r="B387" s="35">
        <v>45788</v>
      </c>
      <c r="C387" s="17" t="s">
        <v>25</v>
      </c>
      <c r="D387" s="17" t="s">
        <v>2585</v>
      </c>
      <c r="E387" s="17" t="s">
        <v>109</v>
      </c>
      <c r="F387" s="17" t="s">
        <v>28</v>
      </c>
      <c r="G387" s="17" t="s">
        <v>38</v>
      </c>
      <c r="H387" s="17" t="s">
        <v>2598</v>
      </c>
      <c r="I387" s="17" t="s">
        <v>48</v>
      </c>
      <c r="J387" s="36">
        <v>9090.91</v>
      </c>
      <c r="K387" s="36">
        <v>13816.68</v>
      </c>
      <c r="L387" s="36">
        <f t="shared" ref="L387:L450" si="30">K387-J387</f>
        <v>4725.7700000000004</v>
      </c>
      <c r="M387" s="37">
        <f t="shared" ref="M387:M450" si="31">IF(J387=0,0,L387/J387)</f>
        <v>0.51983464801653523</v>
      </c>
      <c r="N387" s="17" t="str">
        <f t="shared" ref="N387:N450" si="32">IF(J387=0,"No Budget",IF(K387&gt;J387,"Over Budget",IF(K387&lt;J387,"Under Budget","On Budget")))</f>
        <v>Over Budget</v>
      </c>
      <c r="O387" s="38">
        <f t="shared" ref="O387:O450" si="33">IF(C387="Revenue",K387,-K387)</f>
        <v>13816.68</v>
      </c>
      <c r="P387" s="39">
        <f t="shared" ref="P387:P450" si="34">DATE(YEAR(B387),MONTH(B387),1)</f>
        <v>45778</v>
      </c>
    </row>
    <row r="388" spans="1:16" ht="15.5" x14ac:dyDescent="0.35">
      <c r="A388" s="17" t="s">
        <v>436</v>
      </c>
      <c r="B388" s="35">
        <v>46065</v>
      </c>
      <c r="C388" s="17" t="s">
        <v>12</v>
      </c>
      <c r="D388" s="17" t="s">
        <v>19</v>
      </c>
      <c r="E388" s="17" t="s">
        <v>14</v>
      </c>
      <c r="F388" s="17" t="s">
        <v>15</v>
      </c>
      <c r="G388" s="17" t="s">
        <v>22</v>
      </c>
      <c r="H388" s="17" t="s">
        <v>2588</v>
      </c>
      <c r="I388" s="17" t="s">
        <v>23</v>
      </c>
      <c r="J388" s="36">
        <v>5173.33</v>
      </c>
      <c r="K388" s="36">
        <v>5974.3</v>
      </c>
      <c r="L388" s="36">
        <f t="shared" si="30"/>
        <v>800.97000000000025</v>
      </c>
      <c r="M388" s="37">
        <f t="shared" si="31"/>
        <v>0.15482677501725201</v>
      </c>
      <c r="N388" s="17" t="str">
        <f t="shared" si="32"/>
        <v>Over Budget</v>
      </c>
      <c r="O388" s="38">
        <f t="shared" si="33"/>
        <v>-5974.3</v>
      </c>
      <c r="P388" s="39">
        <f t="shared" si="34"/>
        <v>46054</v>
      </c>
    </row>
    <row r="389" spans="1:16" ht="15.5" x14ac:dyDescent="0.35">
      <c r="A389" s="17" t="s">
        <v>437</v>
      </c>
      <c r="B389" s="35">
        <v>45802</v>
      </c>
      <c r="C389" s="17" t="s">
        <v>12</v>
      </c>
      <c r="D389" s="17" t="s">
        <v>36</v>
      </c>
      <c r="E389" s="17" t="s">
        <v>65</v>
      </c>
      <c r="F389" s="17" t="s">
        <v>52</v>
      </c>
      <c r="G389" s="17" t="s">
        <v>29</v>
      </c>
      <c r="H389" s="17" t="s">
        <v>2587</v>
      </c>
      <c r="I389" s="17" t="s">
        <v>17</v>
      </c>
      <c r="J389" s="36">
        <v>5500</v>
      </c>
      <c r="K389" s="36">
        <v>8592.8700000000008</v>
      </c>
      <c r="L389" s="36">
        <f t="shared" si="30"/>
        <v>3092.8700000000008</v>
      </c>
      <c r="M389" s="37">
        <f t="shared" si="31"/>
        <v>0.56234000000000017</v>
      </c>
      <c r="N389" s="17" t="str">
        <f t="shared" si="32"/>
        <v>Over Budget</v>
      </c>
      <c r="O389" s="38">
        <f t="shared" si="33"/>
        <v>-8592.8700000000008</v>
      </c>
      <c r="P389" s="39">
        <f t="shared" si="34"/>
        <v>45778</v>
      </c>
    </row>
    <row r="390" spans="1:16" ht="15.5" x14ac:dyDescent="0.35">
      <c r="A390" s="17" t="s">
        <v>438</v>
      </c>
      <c r="B390" s="35">
        <v>45816</v>
      </c>
      <c r="C390" s="17" t="s">
        <v>12</v>
      </c>
      <c r="D390" s="17" t="s">
        <v>2585</v>
      </c>
      <c r="E390" s="17" t="s">
        <v>65</v>
      </c>
      <c r="F390" s="17" t="s">
        <v>15</v>
      </c>
      <c r="G390" s="17" t="s">
        <v>38</v>
      </c>
      <c r="H390" s="17" t="s">
        <v>2592</v>
      </c>
      <c r="I390" s="17" t="s">
        <v>23</v>
      </c>
      <c r="J390" s="36">
        <v>5500</v>
      </c>
      <c r="K390" s="36">
        <v>1924.22</v>
      </c>
      <c r="L390" s="36">
        <f t="shared" si="30"/>
        <v>-3575.7799999999997</v>
      </c>
      <c r="M390" s="37">
        <f t="shared" si="31"/>
        <v>-0.65014181818181815</v>
      </c>
      <c r="N390" s="17" t="str">
        <f t="shared" si="32"/>
        <v>Under Budget</v>
      </c>
      <c r="O390" s="38">
        <f t="shared" si="33"/>
        <v>-1924.22</v>
      </c>
      <c r="P390" s="39">
        <f t="shared" si="34"/>
        <v>45809</v>
      </c>
    </row>
    <row r="391" spans="1:16" ht="15.5" x14ac:dyDescent="0.35">
      <c r="A391" s="17" t="s">
        <v>439</v>
      </c>
      <c r="B391" s="35">
        <v>45863</v>
      </c>
      <c r="C391" s="17" t="s">
        <v>12</v>
      </c>
      <c r="D391" s="17" t="s">
        <v>2585</v>
      </c>
      <c r="E391" s="17" t="s">
        <v>37</v>
      </c>
      <c r="F391" s="17" t="s">
        <v>34</v>
      </c>
      <c r="G391" s="17" t="s">
        <v>38</v>
      </c>
      <c r="H391" s="17" t="s">
        <v>2591</v>
      </c>
      <c r="I391" s="17" t="s">
        <v>23</v>
      </c>
      <c r="J391" s="36">
        <v>4666.67</v>
      </c>
      <c r="K391" s="36">
        <v>625.47</v>
      </c>
      <c r="L391" s="36">
        <f t="shared" si="30"/>
        <v>-4041.2</v>
      </c>
      <c r="M391" s="37">
        <f t="shared" si="31"/>
        <v>-0.86597081002084997</v>
      </c>
      <c r="N391" s="17" t="str">
        <f t="shared" si="32"/>
        <v>Under Budget</v>
      </c>
      <c r="O391" s="38">
        <f t="shared" si="33"/>
        <v>-625.47</v>
      </c>
      <c r="P391" s="39">
        <f t="shared" si="34"/>
        <v>45839</v>
      </c>
    </row>
    <row r="392" spans="1:16" ht="15.5" x14ac:dyDescent="0.35">
      <c r="A392" s="17" t="s">
        <v>440</v>
      </c>
      <c r="B392" s="35">
        <v>46013</v>
      </c>
      <c r="C392" s="17" t="s">
        <v>25</v>
      </c>
      <c r="D392" s="17" t="s">
        <v>32</v>
      </c>
      <c r="E392" s="17" t="s">
        <v>33</v>
      </c>
      <c r="F392" s="17" t="s">
        <v>52</v>
      </c>
      <c r="G392" s="17" t="s">
        <v>22</v>
      </c>
      <c r="H392" s="17" t="s">
        <v>2593</v>
      </c>
      <c r="I392" s="17" t="s">
        <v>23</v>
      </c>
      <c r="J392" s="36">
        <v>15441.18</v>
      </c>
      <c r="K392" s="36">
        <v>5084.32</v>
      </c>
      <c r="L392" s="36">
        <f t="shared" si="30"/>
        <v>-10356.86</v>
      </c>
      <c r="M392" s="37">
        <f t="shared" si="31"/>
        <v>-0.67072982764270606</v>
      </c>
      <c r="N392" s="17" t="str">
        <f t="shared" si="32"/>
        <v>Under Budget</v>
      </c>
      <c r="O392" s="38">
        <f t="shared" si="33"/>
        <v>5084.32</v>
      </c>
      <c r="P392" s="39">
        <f t="shared" si="34"/>
        <v>45992</v>
      </c>
    </row>
    <row r="393" spans="1:16" ht="15.5" x14ac:dyDescent="0.35">
      <c r="A393" s="17" t="s">
        <v>441</v>
      </c>
      <c r="B393" s="35">
        <v>45998</v>
      </c>
      <c r="C393" s="17" t="s">
        <v>12</v>
      </c>
      <c r="D393" s="17" t="s">
        <v>19</v>
      </c>
      <c r="E393" s="17" t="s">
        <v>20</v>
      </c>
      <c r="F393" s="17" t="s">
        <v>52</v>
      </c>
      <c r="G393" s="17" t="s">
        <v>43</v>
      </c>
      <c r="H393" s="17" t="s">
        <v>2591</v>
      </c>
      <c r="I393" s="17" t="s">
        <v>17</v>
      </c>
      <c r="J393" s="36">
        <v>2100</v>
      </c>
      <c r="K393" s="36">
        <v>222.05</v>
      </c>
      <c r="L393" s="36">
        <f t="shared" si="30"/>
        <v>-1877.95</v>
      </c>
      <c r="M393" s="37">
        <f t="shared" si="31"/>
        <v>-0.89426190476190481</v>
      </c>
      <c r="N393" s="17" t="str">
        <f t="shared" si="32"/>
        <v>Under Budget</v>
      </c>
      <c r="O393" s="38">
        <f t="shared" si="33"/>
        <v>-222.05</v>
      </c>
      <c r="P393" s="39">
        <f t="shared" si="34"/>
        <v>45992</v>
      </c>
    </row>
    <row r="394" spans="1:16" ht="15.5" x14ac:dyDescent="0.35">
      <c r="A394" s="17" t="s">
        <v>442</v>
      </c>
      <c r="B394" s="35">
        <v>45969</v>
      </c>
      <c r="C394" s="17" t="s">
        <v>25</v>
      </c>
      <c r="D394" s="17" t="s">
        <v>32</v>
      </c>
      <c r="E394" s="17" t="s">
        <v>27</v>
      </c>
      <c r="F394" s="17" t="s">
        <v>52</v>
      </c>
      <c r="G394" s="17" t="s">
        <v>29</v>
      </c>
      <c r="H394" s="17" t="s">
        <v>2596</v>
      </c>
      <c r="I394" s="17" t="s">
        <v>23</v>
      </c>
      <c r="J394" s="36">
        <v>8400</v>
      </c>
      <c r="K394" s="36">
        <v>2496.37</v>
      </c>
      <c r="L394" s="36">
        <f t="shared" si="30"/>
        <v>-5903.63</v>
      </c>
      <c r="M394" s="37">
        <f t="shared" si="31"/>
        <v>-0.70281309523809521</v>
      </c>
      <c r="N394" s="17" t="str">
        <f t="shared" si="32"/>
        <v>Under Budget</v>
      </c>
      <c r="O394" s="38">
        <f t="shared" si="33"/>
        <v>2496.37</v>
      </c>
      <c r="P394" s="39">
        <f t="shared" si="34"/>
        <v>45962</v>
      </c>
    </row>
    <row r="395" spans="1:16" ht="15.5" x14ac:dyDescent="0.35">
      <c r="A395" s="17" t="s">
        <v>443</v>
      </c>
      <c r="B395" s="35">
        <v>45806</v>
      </c>
      <c r="C395" s="17" t="s">
        <v>12</v>
      </c>
      <c r="D395" s="17" t="s">
        <v>13</v>
      </c>
      <c r="E395" s="17" t="s">
        <v>41</v>
      </c>
      <c r="F395" s="17" t="s">
        <v>52</v>
      </c>
      <c r="G395" s="17" t="s">
        <v>38</v>
      </c>
      <c r="H395" s="17" t="s">
        <v>2596</v>
      </c>
      <c r="I395" s="17" t="s">
        <v>39</v>
      </c>
      <c r="J395" s="36">
        <v>4642.8599999999997</v>
      </c>
      <c r="K395" s="36">
        <v>10655.13</v>
      </c>
      <c r="L395" s="36">
        <f t="shared" si="30"/>
        <v>6012.2699999999995</v>
      </c>
      <c r="M395" s="37">
        <f t="shared" si="31"/>
        <v>1.2949496646463603</v>
      </c>
      <c r="N395" s="17" t="str">
        <f t="shared" si="32"/>
        <v>Over Budget</v>
      </c>
      <c r="O395" s="38">
        <f t="shared" si="33"/>
        <v>-10655.13</v>
      </c>
      <c r="P395" s="39">
        <f t="shared" si="34"/>
        <v>45778</v>
      </c>
    </row>
    <row r="396" spans="1:16" ht="15.5" x14ac:dyDescent="0.35">
      <c r="A396" s="17" t="s">
        <v>444</v>
      </c>
      <c r="B396" s="35">
        <v>45822</v>
      </c>
      <c r="C396" s="17" t="s">
        <v>25</v>
      </c>
      <c r="D396" s="17" t="s">
        <v>32</v>
      </c>
      <c r="E396" s="17" t="s">
        <v>33</v>
      </c>
      <c r="F396" s="17" t="s">
        <v>52</v>
      </c>
      <c r="G396" s="17" t="s">
        <v>82</v>
      </c>
      <c r="H396" s="17" t="s">
        <v>2594</v>
      </c>
      <c r="I396" s="17" t="s">
        <v>48</v>
      </c>
      <c r="J396" s="36">
        <v>9615.3799999999992</v>
      </c>
      <c r="K396" s="36">
        <v>2127.7399999999998</v>
      </c>
      <c r="L396" s="36">
        <f t="shared" si="30"/>
        <v>-7487.6399999999994</v>
      </c>
      <c r="M396" s="37">
        <f t="shared" si="31"/>
        <v>-0.77871493378316825</v>
      </c>
      <c r="N396" s="17" t="str">
        <f t="shared" si="32"/>
        <v>Under Budget</v>
      </c>
      <c r="O396" s="38">
        <f t="shared" si="33"/>
        <v>2127.7399999999998</v>
      </c>
      <c r="P396" s="39">
        <f t="shared" si="34"/>
        <v>45809</v>
      </c>
    </row>
    <row r="397" spans="1:16" ht="15.5" x14ac:dyDescent="0.35">
      <c r="A397" s="17" t="s">
        <v>445</v>
      </c>
      <c r="B397" s="35">
        <v>46081</v>
      </c>
      <c r="C397" s="17" t="s">
        <v>12</v>
      </c>
      <c r="D397" s="17" t="s">
        <v>13</v>
      </c>
      <c r="E397" s="17" t="s">
        <v>45</v>
      </c>
      <c r="F397" s="17" t="s">
        <v>34</v>
      </c>
      <c r="G397" s="17" t="s">
        <v>38</v>
      </c>
      <c r="H397" s="17" t="s">
        <v>60</v>
      </c>
      <c r="I397" s="17" t="s">
        <v>2583</v>
      </c>
      <c r="J397" s="36">
        <v>9189.4699999999993</v>
      </c>
      <c r="K397" s="36">
        <v>11133.84</v>
      </c>
      <c r="L397" s="36">
        <f t="shared" si="30"/>
        <v>1944.3700000000008</v>
      </c>
      <c r="M397" s="37">
        <f t="shared" si="31"/>
        <v>0.21158674004050299</v>
      </c>
      <c r="N397" s="17" t="str">
        <f t="shared" si="32"/>
        <v>Over Budget</v>
      </c>
      <c r="O397" s="38">
        <f t="shared" si="33"/>
        <v>-11133.84</v>
      </c>
      <c r="P397" s="39">
        <f t="shared" si="34"/>
        <v>46054</v>
      </c>
    </row>
    <row r="398" spans="1:16" ht="15.5" x14ac:dyDescent="0.35">
      <c r="A398" s="17" t="s">
        <v>446</v>
      </c>
      <c r="B398" s="35">
        <v>45953</v>
      </c>
      <c r="C398" s="17" t="s">
        <v>12</v>
      </c>
      <c r="D398" s="17" t="s">
        <v>13</v>
      </c>
      <c r="E398" s="17" t="s">
        <v>74</v>
      </c>
      <c r="F398" s="17" t="s">
        <v>15</v>
      </c>
      <c r="G398" s="17" t="s">
        <v>43</v>
      </c>
      <c r="H398" s="17" t="s">
        <v>2587</v>
      </c>
      <c r="I398" s="17" t="s">
        <v>23</v>
      </c>
      <c r="J398" s="36">
        <v>3333.33</v>
      </c>
      <c r="K398" s="36">
        <v>4307.95</v>
      </c>
      <c r="L398" s="36">
        <f t="shared" si="30"/>
        <v>974.61999999999989</v>
      </c>
      <c r="M398" s="37">
        <f t="shared" si="31"/>
        <v>0.29238629238629238</v>
      </c>
      <c r="N398" s="17" t="str">
        <f t="shared" si="32"/>
        <v>Over Budget</v>
      </c>
      <c r="O398" s="38">
        <f t="shared" si="33"/>
        <v>-4307.95</v>
      </c>
      <c r="P398" s="39">
        <f t="shared" si="34"/>
        <v>45931</v>
      </c>
    </row>
    <row r="399" spans="1:16" ht="15.5" x14ac:dyDescent="0.35">
      <c r="A399" s="17" t="s">
        <v>447</v>
      </c>
      <c r="B399" s="35">
        <v>45727</v>
      </c>
      <c r="C399" s="17" t="s">
        <v>12</v>
      </c>
      <c r="D399" s="17" t="s">
        <v>2584</v>
      </c>
      <c r="E399" s="17" t="s">
        <v>45</v>
      </c>
      <c r="F399" s="17" t="s">
        <v>52</v>
      </c>
      <c r="G399" s="17" t="s">
        <v>22</v>
      </c>
      <c r="H399" s="17" t="s">
        <v>80</v>
      </c>
      <c r="I399" s="17" t="s">
        <v>23</v>
      </c>
      <c r="J399" s="36">
        <v>6000</v>
      </c>
      <c r="K399" s="36">
        <v>16916.66</v>
      </c>
      <c r="L399" s="36">
        <f t="shared" si="30"/>
        <v>10916.66</v>
      </c>
      <c r="M399" s="37">
        <f t="shared" si="31"/>
        <v>1.8194433333333333</v>
      </c>
      <c r="N399" s="17" t="str">
        <f t="shared" si="32"/>
        <v>Over Budget</v>
      </c>
      <c r="O399" s="38">
        <f t="shared" si="33"/>
        <v>-16916.66</v>
      </c>
      <c r="P399" s="39">
        <f t="shared" si="34"/>
        <v>45717</v>
      </c>
    </row>
    <row r="400" spans="1:16" ht="15.5" x14ac:dyDescent="0.35">
      <c r="A400" s="17" t="s">
        <v>448</v>
      </c>
      <c r="B400" s="35">
        <v>45672</v>
      </c>
      <c r="C400" s="17" t="s">
        <v>25</v>
      </c>
      <c r="D400" s="17" t="s">
        <v>13</v>
      </c>
      <c r="E400" s="17" t="s">
        <v>109</v>
      </c>
      <c r="F400" s="17" t="s">
        <v>28</v>
      </c>
      <c r="G400" s="17" t="s">
        <v>38</v>
      </c>
      <c r="H400" s="17" t="s">
        <v>2597</v>
      </c>
      <c r="I400" s="17" t="s">
        <v>23</v>
      </c>
      <c r="J400" s="36">
        <v>9700</v>
      </c>
      <c r="K400" s="36">
        <v>3007.73</v>
      </c>
      <c r="L400" s="36">
        <f t="shared" si="30"/>
        <v>-6692.27</v>
      </c>
      <c r="M400" s="37">
        <f t="shared" si="31"/>
        <v>-0.68992474226804124</v>
      </c>
      <c r="N400" s="17" t="str">
        <f t="shared" si="32"/>
        <v>Under Budget</v>
      </c>
      <c r="O400" s="38">
        <f t="shared" si="33"/>
        <v>3007.73</v>
      </c>
      <c r="P400" s="39">
        <f t="shared" si="34"/>
        <v>45658</v>
      </c>
    </row>
    <row r="401" spans="1:16" ht="15.5" x14ac:dyDescent="0.35">
      <c r="A401" s="17" t="s">
        <v>449</v>
      </c>
      <c r="B401" s="35">
        <v>45791</v>
      </c>
      <c r="C401" s="17" t="s">
        <v>12</v>
      </c>
      <c r="D401" s="17" t="s">
        <v>26</v>
      </c>
      <c r="E401" s="17" t="s">
        <v>77</v>
      </c>
      <c r="F401" s="17" t="s">
        <v>52</v>
      </c>
      <c r="G401" s="17" t="s">
        <v>38</v>
      </c>
      <c r="H401" s="17" t="s">
        <v>2588</v>
      </c>
      <c r="I401" s="17" t="s">
        <v>30</v>
      </c>
      <c r="J401" s="36">
        <v>5500</v>
      </c>
      <c r="K401" s="36">
        <v>2309.04</v>
      </c>
      <c r="L401" s="36">
        <f t="shared" si="30"/>
        <v>-3190.96</v>
      </c>
      <c r="M401" s="37">
        <f t="shared" si="31"/>
        <v>-0.5801745454545455</v>
      </c>
      <c r="N401" s="17" t="str">
        <f t="shared" si="32"/>
        <v>Under Budget</v>
      </c>
      <c r="O401" s="38">
        <f t="shared" si="33"/>
        <v>-2309.04</v>
      </c>
      <c r="P401" s="39">
        <f t="shared" si="34"/>
        <v>45778</v>
      </c>
    </row>
    <row r="402" spans="1:16" ht="15.5" x14ac:dyDescent="0.35">
      <c r="A402" s="17" t="s">
        <v>450</v>
      </c>
      <c r="B402" s="35">
        <v>45951</v>
      </c>
      <c r="C402" s="17" t="s">
        <v>12</v>
      </c>
      <c r="D402" s="17" t="s">
        <v>2585</v>
      </c>
      <c r="E402" s="17" t="s">
        <v>74</v>
      </c>
      <c r="F402" s="17" t="s">
        <v>28</v>
      </c>
      <c r="G402" s="17" t="s">
        <v>38</v>
      </c>
      <c r="H402" s="17" t="s">
        <v>2586</v>
      </c>
      <c r="I402" s="17" t="s">
        <v>23</v>
      </c>
      <c r="J402" s="36">
        <v>3333.33</v>
      </c>
      <c r="K402" s="36">
        <v>5580.2</v>
      </c>
      <c r="L402" s="36">
        <f t="shared" si="30"/>
        <v>2246.87</v>
      </c>
      <c r="M402" s="37">
        <f t="shared" si="31"/>
        <v>0.67406167406167405</v>
      </c>
      <c r="N402" s="17" t="str">
        <f t="shared" si="32"/>
        <v>Over Budget</v>
      </c>
      <c r="O402" s="38">
        <f t="shared" si="33"/>
        <v>-5580.2</v>
      </c>
      <c r="P402" s="39">
        <f t="shared" si="34"/>
        <v>45931</v>
      </c>
    </row>
    <row r="403" spans="1:16" ht="15.5" x14ac:dyDescent="0.35">
      <c r="A403" s="17" t="s">
        <v>451</v>
      </c>
      <c r="B403" s="35">
        <v>45773</v>
      </c>
      <c r="C403" s="17" t="s">
        <v>25</v>
      </c>
      <c r="D403" s="17" t="s">
        <v>2584</v>
      </c>
      <c r="E403" s="17" t="s">
        <v>33</v>
      </c>
      <c r="F403" s="17" t="s">
        <v>34</v>
      </c>
      <c r="G403" s="17" t="s">
        <v>38</v>
      </c>
      <c r="H403" s="17" t="s">
        <v>2587</v>
      </c>
      <c r="I403" s="17" t="s">
        <v>17</v>
      </c>
      <c r="J403" s="36">
        <v>11363.64</v>
      </c>
      <c r="K403" s="36">
        <v>19849.96</v>
      </c>
      <c r="L403" s="36">
        <f t="shared" si="30"/>
        <v>8486.32</v>
      </c>
      <c r="M403" s="37">
        <f t="shared" si="31"/>
        <v>0.74679592102530523</v>
      </c>
      <c r="N403" s="17" t="str">
        <f t="shared" si="32"/>
        <v>Over Budget</v>
      </c>
      <c r="O403" s="38">
        <f t="shared" si="33"/>
        <v>19849.96</v>
      </c>
      <c r="P403" s="39">
        <f t="shared" si="34"/>
        <v>45748</v>
      </c>
    </row>
    <row r="404" spans="1:16" ht="15.5" x14ac:dyDescent="0.35">
      <c r="A404" s="17" t="s">
        <v>452</v>
      </c>
      <c r="B404" s="35">
        <v>45796</v>
      </c>
      <c r="C404" s="17" t="s">
        <v>25</v>
      </c>
      <c r="D404" s="17" t="s">
        <v>32</v>
      </c>
      <c r="E404" s="17" t="s">
        <v>33</v>
      </c>
      <c r="F404" s="17" t="s">
        <v>21</v>
      </c>
      <c r="G404" s="17" t="s">
        <v>16</v>
      </c>
      <c r="H404" s="17" t="s">
        <v>2594</v>
      </c>
      <c r="I404" s="17" t="s">
        <v>39</v>
      </c>
      <c r="J404" s="36">
        <v>9615.3799999999992</v>
      </c>
      <c r="K404" s="36">
        <v>7146.44</v>
      </c>
      <c r="L404" s="36">
        <f t="shared" si="30"/>
        <v>-2468.9399999999996</v>
      </c>
      <c r="M404" s="37">
        <f t="shared" si="31"/>
        <v>-0.25676988324954392</v>
      </c>
      <c r="N404" s="17" t="str">
        <f t="shared" si="32"/>
        <v>Under Budget</v>
      </c>
      <c r="O404" s="38">
        <f t="shared" si="33"/>
        <v>7146.44</v>
      </c>
      <c r="P404" s="39">
        <f t="shared" si="34"/>
        <v>45778</v>
      </c>
    </row>
    <row r="405" spans="1:16" ht="15.5" x14ac:dyDescent="0.35">
      <c r="A405" s="17" t="s">
        <v>453</v>
      </c>
      <c r="B405" s="35">
        <v>45760</v>
      </c>
      <c r="C405" s="17" t="s">
        <v>12</v>
      </c>
      <c r="D405" s="17" t="s">
        <v>36</v>
      </c>
      <c r="E405" s="17" t="s">
        <v>41</v>
      </c>
      <c r="F405" s="17" t="s">
        <v>34</v>
      </c>
      <c r="G405" s="17" t="s">
        <v>22</v>
      </c>
      <c r="H405" s="17" t="s">
        <v>2593</v>
      </c>
      <c r="I405" s="17" t="s">
        <v>23</v>
      </c>
      <c r="J405" s="36">
        <v>5416.67</v>
      </c>
      <c r="K405" s="36">
        <v>8656.89</v>
      </c>
      <c r="L405" s="36">
        <f t="shared" si="30"/>
        <v>3240.2199999999993</v>
      </c>
      <c r="M405" s="37">
        <f t="shared" si="31"/>
        <v>0.5981940934190193</v>
      </c>
      <c r="N405" s="17" t="str">
        <f t="shared" si="32"/>
        <v>Over Budget</v>
      </c>
      <c r="O405" s="38">
        <f t="shared" si="33"/>
        <v>-8656.89</v>
      </c>
      <c r="P405" s="39">
        <f t="shared" si="34"/>
        <v>45748</v>
      </c>
    </row>
    <row r="406" spans="1:16" ht="15.5" x14ac:dyDescent="0.35">
      <c r="A406" s="17" t="s">
        <v>454</v>
      </c>
      <c r="B406" s="35">
        <v>45730</v>
      </c>
      <c r="C406" s="17" t="s">
        <v>25</v>
      </c>
      <c r="D406" s="17" t="s">
        <v>32</v>
      </c>
      <c r="E406" s="17" t="s">
        <v>33</v>
      </c>
      <c r="F406" s="17" t="s">
        <v>28</v>
      </c>
      <c r="G406" s="17" t="s">
        <v>38</v>
      </c>
      <c r="H406" s="17" t="s">
        <v>2595</v>
      </c>
      <c r="I406" s="17" t="s">
        <v>48</v>
      </c>
      <c r="J406" s="36">
        <v>8064.52</v>
      </c>
      <c r="K406" s="36">
        <v>23871.06</v>
      </c>
      <c r="L406" s="36">
        <f t="shared" si="30"/>
        <v>15806.54</v>
      </c>
      <c r="M406" s="37">
        <f t="shared" si="31"/>
        <v>1.9600100191951908</v>
      </c>
      <c r="N406" s="17" t="str">
        <f t="shared" si="32"/>
        <v>Over Budget</v>
      </c>
      <c r="O406" s="38">
        <f t="shared" si="33"/>
        <v>23871.06</v>
      </c>
      <c r="P406" s="39">
        <f t="shared" si="34"/>
        <v>45717</v>
      </c>
    </row>
    <row r="407" spans="1:16" ht="15.5" x14ac:dyDescent="0.35">
      <c r="A407" s="17" t="s">
        <v>455</v>
      </c>
      <c r="B407" s="35">
        <v>46017</v>
      </c>
      <c r="C407" s="17" t="s">
        <v>12</v>
      </c>
      <c r="D407" s="17" t="s">
        <v>26</v>
      </c>
      <c r="E407" s="17" t="s">
        <v>74</v>
      </c>
      <c r="F407" s="17" t="s">
        <v>34</v>
      </c>
      <c r="G407" s="17" t="s">
        <v>38</v>
      </c>
      <c r="H407" s="17" t="s">
        <v>80</v>
      </c>
      <c r="I407" s="17" t="s">
        <v>30</v>
      </c>
      <c r="J407" s="36">
        <v>8400</v>
      </c>
      <c r="K407" s="36">
        <v>821.78</v>
      </c>
      <c r="L407" s="36">
        <f t="shared" si="30"/>
        <v>-7578.22</v>
      </c>
      <c r="M407" s="37">
        <f t="shared" si="31"/>
        <v>-0.9021690476190477</v>
      </c>
      <c r="N407" s="17" t="str">
        <f t="shared" si="32"/>
        <v>Under Budget</v>
      </c>
      <c r="O407" s="38">
        <f t="shared" si="33"/>
        <v>-821.78</v>
      </c>
      <c r="P407" s="39">
        <f t="shared" si="34"/>
        <v>45992</v>
      </c>
    </row>
    <row r="408" spans="1:16" ht="15.5" x14ac:dyDescent="0.35">
      <c r="A408" s="17" t="s">
        <v>456</v>
      </c>
      <c r="B408" s="35">
        <v>45992</v>
      </c>
      <c r="C408" s="17" t="s">
        <v>12</v>
      </c>
      <c r="D408" s="17" t="s">
        <v>2585</v>
      </c>
      <c r="E408" s="17" t="s">
        <v>74</v>
      </c>
      <c r="F408" s="17" t="s">
        <v>34</v>
      </c>
      <c r="G408" s="17" t="s">
        <v>38</v>
      </c>
      <c r="H408" s="17" t="s">
        <v>80</v>
      </c>
      <c r="I408" s="17" t="s">
        <v>30</v>
      </c>
      <c r="J408" s="36">
        <v>8400</v>
      </c>
      <c r="K408" s="36">
        <v>1734.88</v>
      </c>
      <c r="L408" s="36">
        <f t="shared" si="30"/>
        <v>-6665.12</v>
      </c>
      <c r="M408" s="37">
        <f t="shared" si="31"/>
        <v>-0.79346666666666665</v>
      </c>
      <c r="N408" s="17" t="str">
        <f t="shared" si="32"/>
        <v>Under Budget</v>
      </c>
      <c r="O408" s="38">
        <f t="shared" si="33"/>
        <v>-1734.88</v>
      </c>
      <c r="P408" s="39">
        <f t="shared" si="34"/>
        <v>45992</v>
      </c>
    </row>
    <row r="409" spans="1:16" ht="15.5" x14ac:dyDescent="0.35">
      <c r="A409" s="17" t="s">
        <v>457</v>
      </c>
      <c r="B409" s="35">
        <v>45705</v>
      </c>
      <c r="C409" s="17" t="s">
        <v>25</v>
      </c>
      <c r="D409" s="17" t="s">
        <v>32</v>
      </c>
      <c r="E409" s="17" t="s">
        <v>109</v>
      </c>
      <c r="F409" s="17" t="s">
        <v>34</v>
      </c>
      <c r="G409" s="17" t="s">
        <v>38</v>
      </c>
      <c r="H409" s="17" t="s">
        <v>2587</v>
      </c>
      <c r="I409" s="17" t="s">
        <v>48</v>
      </c>
      <c r="J409" s="36">
        <v>13857.14</v>
      </c>
      <c r="K409" s="36">
        <v>1888.05</v>
      </c>
      <c r="L409" s="36">
        <f t="shared" si="30"/>
        <v>-11969.09</v>
      </c>
      <c r="M409" s="37">
        <f t="shared" si="31"/>
        <v>-0.8637489409791631</v>
      </c>
      <c r="N409" s="17" t="str">
        <f t="shared" si="32"/>
        <v>Under Budget</v>
      </c>
      <c r="O409" s="38">
        <f t="shared" si="33"/>
        <v>1888.05</v>
      </c>
      <c r="P409" s="39">
        <f t="shared" si="34"/>
        <v>45689</v>
      </c>
    </row>
    <row r="410" spans="1:16" ht="15.5" x14ac:dyDescent="0.35">
      <c r="A410" s="17" t="s">
        <v>458</v>
      </c>
      <c r="B410" s="35">
        <v>46116</v>
      </c>
      <c r="C410" s="17" t="s">
        <v>25</v>
      </c>
      <c r="D410" s="17" t="s">
        <v>2585</v>
      </c>
      <c r="E410" s="17" t="s">
        <v>33</v>
      </c>
      <c r="F410" s="17" t="s">
        <v>52</v>
      </c>
      <c r="G410" s="17" t="s">
        <v>29</v>
      </c>
      <c r="H410" s="17" t="s">
        <v>2594</v>
      </c>
      <c r="I410" s="17" t="s">
        <v>39</v>
      </c>
      <c r="J410" s="36">
        <v>8333.33</v>
      </c>
      <c r="K410" s="36">
        <v>23807.94</v>
      </c>
      <c r="L410" s="36">
        <f t="shared" si="30"/>
        <v>15474.609999999999</v>
      </c>
      <c r="M410" s="37">
        <f t="shared" si="31"/>
        <v>1.8569539427815769</v>
      </c>
      <c r="N410" s="17" t="str">
        <f t="shared" si="32"/>
        <v>Over Budget</v>
      </c>
      <c r="O410" s="38">
        <f t="shared" si="33"/>
        <v>23807.94</v>
      </c>
      <c r="P410" s="39">
        <f t="shared" si="34"/>
        <v>46113</v>
      </c>
    </row>
    <row r="411" spans="1:16" ht="15.5" x14ac:dyDescent="0.35">
      <c r="A411" s="17" t="s">
        <v>459</v>
      </c>
      <c r="B411" s="35">
        <v>45752</v>
      </c>
      <c r="C411" s="17" t="s">
        <v>12</v>
      </c>
      <c r="D411" s="17" t="s">
        <v>19</v>
      </c>
      <c r="E411" s="17" t="s">
        <v>41</v>
      </c>
      <c r="F411" s="17" t="s">
        <v>34</v>
      </c>
      <c r="G411" s="17" t="s">
        <v>38</v>
      </c>
      <c r="H411" s="17" t="s">
        <v>2592</v>
      </c>
      <c r="I411" s="17" t="s">
        <v>23</v>
      </c>
      <c r="J411" s="36">
        <v>5416.67</v>
      </c>
      <c r="K411" s="36">
        <v>7092.95</v>
      </c>
      <c r="L411" s="36">
        <f t="shared" si="30"/>
        <v>1676.2799999999997</v>
      </c>
      <c r="M411" s="37">
        <f t="shared" si="31"/>
        <v>0.30946688648191595</v>
      </c>
      <c r="N411" s="17" t="str">
        <f t="shared" si="32"/>
        <v>Over Budget</v>
      </c>
      <c r="O411" s="38">
        <f t="shared" si="33"/>
        <v>-7092.95</v>
      </c>
      <c r="P411" s="39">
        <f t="shared" si="34"/>
        <v>45748</v>
      </c>
    </row>
    <row r="412" spans="1:16" ht="15.5" x14ac:dyDescent="0.35">
      <c r="A412" s="17" t="s">
        <v>460</v>
      </c>
      <c r="B412" s="35">
        <v>46004</v>
      </c>
      <c r="C412" s="17" t="s">
        <v>25</v>
      </c>
      <c r="D412" s="17" t="s">
        <v>32</v>
      </c>
      <c r="E412" s="17" t="s">
        <v>33</v>
      </c>
      <c r="F412" s="17" t="s">
        <v>34</v>
      </c>
      <c r="G412" s="17" t="s">
        <v>43</v>
      </c>
      <c r="H412" s="17" t="s">
        <v>2592</v>
      </c>
      <c r="I412" s="17" t="s">
        <v>48</v>
      </c>
      <c r="J412" s="36">
        <v>15441.18</v>
      </c>
      <c r="K412" s="36">
        <v>5091.8900000000003</v>
      </c>
      <c r="L412" s="36">
        <f t="shared" si="30"/>
        <v>-10349.290000000001</v>
      </c>
      <c r="M412" s="37">
        <f t="shared" si="31"/>
        <v>-0.67023958013571505</v>
      </c>
      <c r="N412" s="17" t="str">
        <f t="shared" si="32"/>
        <v>Under Budget</v>
      </c>
      <c r="O412" s="38">
        <f t="shared" si="33"/>
        <v>5091.8900000000003</v>
      </c>
      <c r="P412" s="39">
        <f t="shared" si="34"/>
        <v>45992</v>
      </c>
    </row>
    <row r="413" spans="1:16" ht="15.5" x14ac:dyDescent="0.35">
      <c r="A413" s="17" t="s">
        <v>461</v>
      </c>
      <c r="B413" s="35">
        <v>45678</v>
      </c>
      <c r="C413" s="17" t="s">
        <v>12</v>
      </c>
      <c r="D413" s="17" t="s">
        <v>13</v>
      </c>
      <c r="E413" s="17" t="s">
        <v>65</v>
      </c>
      <c r="F413" s="17" t="s">
        <v>34</v>
      </c>
      <c r="G413" s="17" t="s">
        <v>22</v>
      </c>
      <c r="H413" s="17" t="s">
        <v>2587</v>
      </c>
      <c r="I413" s="17" t="s">
        <v>30</v>
      </c>
      <c r="J413" s="36">
        <v>3810.71</v>
      </c>
      <c r="K413" s="36">
        <v>5337.53</v>
      </c>
      <c r="L413" s="36">
        <f t="shared" si="30"/>
        <v>1526.8199999999997</v>
      </c>
      <c r="M413" s="37">
        <f t="shared" si="31"/>
        <v>0.40066549278218488</v>
      </c>
      <c r="N413" s="17" t="str">
        <f t="shared" si="32"/>
        <v>Over Budget</v>
      </c>
      <c r="O413" s="38">
        <f t="shared" si="33"/>
        <v>-5337.53</v>
      </c>
      <c r="P413" s="39">
        <f t="shared" si="34"/>
        <v>45658</v>
      </c>
    </row>
    <row r="414" spans="1:16" ht="15.5" x14ac:dyDescent="0.35">
      <c r="A414" s="17" t="s">
        <v>462</v>
      </c>
      <c r="B414" s="35">
        <v>45860</v>
      </c>
      <c r="C414" s="17" t="s">
        <v>12</v>
      </c>
      <c r="D414" s="17" t="s">
        <v>32</v>
      </c>
      <c r="E414" s="17" t="s">
        <v>37</v>
      </c>
      <c r="F414" s="17" t="s">
        <v>28</v>
      </c>
      <c r="G414" s="17" t="s">
        <v>38</v>
      </c>
      <c r="H414" s="17" t="s">
        <v>2586</v>
      </c>
      <c r="I414" s="17" t="s">
        <v>30</v>
      </c>
      <c r="J414" s="36">
        <v>4666.67</v>
      </c>
      <c r="K414" s="36">
        <v>3303.38</v>
      </c>
      <c r="L414" s="36">
        <f t="shared" si="30"/>
        <v>-1363.29</v>
      </c>
      <c r="M414" s="37">
        <f t="shared" si="31"/>
        <v>-0.29213336276188373</v>
      </c>
      <c r="N414" s="17" t="str">
        <f t="shared" si="32"/>
        <v>Under Budget</v>
      </c>
      <c r="O414" s="38">
        <f t="shared" si="33"/>
        <v>-3303.38</v>
      </c>
      <c r="P414" s="39">
        <f t="shared" si="34"/>
        <v>45839</v>
      </c>
    </row>
    <row r="415" spans="1:16" ht="15.5" x14ac:dyDescent="0.35">
      <c r="A415" s="17" t="s">
        <v>463</v>
      </c>
      <c r="B415" s="35">
        <v>45704</v>
      </c>
      <c r="C415" s="17" t="s">
        <v>25</v>
      </c>
      <c r="D415" s="17" t="s">
        <v>32</v>
      </c>
      <c r="E415" s="17" t="s">
        <v>33</v>
      </c>
      <c r="F415" s="17" t="s">
        <v>52</v>
      </c>
      <c r="G415" s="17" t="s">
        <v>29</v>
      </c>
      <c r="H415" s="17" t="s">
        <v>2591</v>
      </c>
      <c r="I415" s="17" t="s">
        <v>30</v>
      </c>
      <c r="J415" s="36">
        <v>13472.22</v>
      </c>
      <c r="K415" s="36">
        <v>15150.62</v>
      </c>
      <c r="L415" s="36">
        <f t="shared" si="30"/>
        <v>1678.4000000000015</v>
      </c>
      <c r="M415" s="37">
        <f t="shared" si="31"/>
        <v>0.12458228859089308</v>
      </c>
      <c r="N415" s="17" t="str">
        <f t="shared" si="32"/>
        <v>Over Budget</v>
      </c>
      <c r="O415" s="38">
        <f t="shared" si="33"/>
        <v>15150.62</v>
      </c>
      <c r="P415" s="39">
        <f t="shared" si="34"/>
        <v>45689</v>
      </c>
    </row>
    <row r="416" spans="1:16" ht="15.5" x14ac:dyDescent="0.35">
      <c r="A416" s="17" t="s">
        <v>464</v>
      </c>
      <c r="B416" s="35">
        <v>45947</v>
      </c>
      <c r="C416" s="17" t="s">
        <v>12</v>
      </c>
      <c r="D416" s="17" t="s">
        <v>36</v>
      </c>
      <c r="E416" s="17" t="s">
        <v>65</v>
      </c>
      <c r="F416" s="17" t="s">
        <v>52</v>
      </c>
      <c r="G416" s="17" t="s">
        <v>38</v>
      </c>
      <c r="H416" s="17" t="s">
        <v>2588</v>
      </c>
      <c r="I416" s="17" t="s">
        <v>48</v>
      </c>
      <c r="J416" s="36">
        <v>3928.57</v>
      </c>
      <c r="K416" s="36">
        <v>6715.91</v>
      </c>
      <c r="L416" s="36">
        <f t="shared" si="30"/>
        <v>2787.3399999999997</v>
      </c>
      <c r="M416" s="37">
        <f t="shared" si="31"/>
        <v>0.70950498527453998</v>
      </c>
      <c r="N416" s="17" t="str">
        <f t="shared" si="32"/>
        <v>Over Budget</v>
      </c>
      <c r="O416" s="38">
        <f t="shared" si="33"/>
        <v>-6715.91</v>
      </c>
      <c r="P416" s="39">
        <f t="shared" si="34"/>
        <v>45931</v>
      </c>
    </row>
    <row r="417" spans="1:16" ht="15.5" x14ac:dyDescent="0.35">
      <c r="A417" s="17" t="s">
        <v>465</v>
      </c>
      <c r="B417" s="35">
        <v>45836</v>
      </c>
      <c r="C417" s="17" t="s">
        <v>12</v>
      </c>
      <c r="D417" s="17" t="s">
        <v>19</v>
      </c>
      <c r="E417" s="17" t="s">
        <v>41</v>
      </c>
      <c r="F417" s="17" t="s">
        <v>21</v>
      </c>
      <c r="G417" s="17" t="s">
        <v>38</v>
      </c>
      <c r="H417" s="17" t="s">
        <v>2597</v>
      </c>
      <c r="I417" s="17" t="s">
        <v>30</v>
      </c>
      <c r="J417" s="36">
        <v>8125</v>
      </c>
      <c r="K417" s="36">
        <v>8240.92</v>
      </c>
      <c r="L417" s="36">
        <f t="shared" si="30"/>
        <v>115.92000000000007</v>
      </c>
      <c r="M417" s="37">
        <f t="shared" si="31"/>
        <v>1.4267076923076933E-2</v>
      </c>
      <c r="N417" s="17" t="str">
        <f t="shared" si="32"/>
        <v>Over Budget</v>
      </c>
      <c r="O417" s="38">
        <f t="shared" si="33"/>
        <v>-8240.92</v>
      </c>
      <c r="P417" s="39">
        <f t="shared" si="34"/>
        <v>45809</v>
      </c>
    </row>
    <row r="418" spans="1:16" ht="15.5" x14ac:dyDescent="0.35">
      <c r="A418" s="17" t="s">
        <v>466</v>
      </c>
      <c r="B418" s="35">
        <v>46142</v>
      </c>
      <c r="C418" s="17" t="s">
        <v>25</v>
      </c>
      <c r="D418" s="17" t="s">
        <v>32</v>
      </c>
      <c r="E418" s="17" t="s">
        <v>169</v>
      </c>
      <c r="F418" s="17" t="s">
        <v>52</v>
      </c>
      <c r="G418" s="17" t="s">
        <v>38</v>
      </c>
      <c r="H418" s="17" t="s">
        <v>2595</v>
      </c>
      <c r="I418" s="17" t="s">
        <v>48</v>
      </c>
      <c r="J418" s="36">
        <v>3333.33</v>
      </c>
      <c r="K418" s="36">
        <v>228.39</v>
      </c>
      <c r="L418" s="36">
        <f t="shared" si="30"/>
        <v>-3104.94</v>
      </c>
      <c r="M418" s="37">
        <f t="shared" si="31"/>
        <v>-0.93148293148293149</v>
      </c>
      <c r="N418" s="17" t="str">
        <f t="shared" si="32"/>
        <v>Under Budget</v>
      </c>
      <c r="O418" s="38">
        <f t="shared" si="33"/>
        <v>228.39</v>
      </c>
      <c r="P418" s="39">
        <f t="shared" si="34"/>
        <v>46113</v>
      </c>
    </row>
    <row r="419" spans="1:16" ht="15.5" x14ac:dyDescent="0.35">
      <c r="A419" s="17" t="s">
        <v>467</v>
      </c>
      <c r="B419" s="35">
        <v>45840</v>
      </c>
      <c r="C419" s="17" t="s">
        <v>12</v>
      </c>
      <c r="D419" s="17" t="s">
        <v>2585</v>
      </c>
      <c r="E419" s="17" t="s">
        <v>65</v>
      </c>
      <c r="F419" s="17" t="s">
        <v>21</v>
      </c>
      <c r="G419" s="17" t="s">
        <v>38</v>
      </c>
      <c r="H419" s="17" t="s">
        <v>2595</v>
      </c>
      <c r="I419" s="17" t="s">
        <v>23</v>
      </c>
      <c r="J419" s="36">
        <v>3437.5</v>
      </c>
      <c r="K419" s="36">
        <v>3259.21</v>
      </c>
      <c r="L419" s="36">
        <f t="shared" si="30"/>
        <v>-178.28999999999996</v>
      </c>
      <c r="M419" s="37">
        <f t="shared" si="31"/>
        <v>-5.1866181818181804E-2</v>
      </c>
      <c r="N419" s="17" t="str">
        <f t="shared" si="32"/>
        <v>Under Budget</v>
      </c>
      <c r="O419" s="38">
        <f t="shared" si="33"/>
        <v>-3259.21</v>
      </c>
      <c r="P419" s="39">
        <f t="shared" si="34"/>
        <v>45839</v>
      </c>
    </row>
    <row r="420" spans="1:16" ht="15.5" x14ac:dyDescent="0.35">
      <c r="A420" s="17" t="s">
        <v>468</v>
      </c>
      <c r="B420" s="35">
        <v>46039</v>
      </c>
      <c r="C420" s="17" t="s">
        <v>12</v>
      </c>
      <c r="D420" s="17" t="s">
        <v>2585</v>
      </c>
      <c r="E420" s="17" t="s">
        <v>51</v>
      </c>
      <c r="F420" s="17" t="s">
        <v>28</v>
      </c>
      <c r="G420" s="17" t="s">
        <v>38</v>
      </c>
      <c r="H420" s="17" t="s">
        <v>2595</v>
      </c>
      <c r="I420" s="17" t="s">
        <v>23</v>
      </c>
      <c r="J420" s="36">
        <v>3637.5</v>
      </c>
      <c r="K420" s="36">
        <v>6303.87</v>
      </c>
      <c r="L420" s="36">
        <f t="shared" si="30"/>
        <v>2666.37</v>
      </c>
      <c r="M420" s="37">
        <f t="shared" si="31"/>
        <v>0.73302268041237106</v>
      </c>
      <c r="N420" s="17" t="str">
        <f t="shared" si="32"/>
        <v>Over Budget</v>
      </c>
      <c r="O420" s="38">
        <f t="shared" si="33"/>
        <v>-6303.87</v>
      </c>
      <c r="P420" s="39">
        <f t="shared" si="34"/>
        <v>46023</v>
      </c>
    </row>
    <row r="421" spans="1:16" ht="15.5" x14ac:dyDescent="0.35">
      <c r="A421" s="17" t="s">
        <v>469</v>
      </c>
      <c r="B421" s="35">
        <v>46146</v>
      </c>
      <c r="C421" s="17" t="s">
        <v>25</v>
      </c>
      <c r="D421" s="17" t="s">
        <v>32</v>
      </c>
      <c r="E421" s="17" t="s">
        <v>109</v>
      </c>
      <c r="F421" s="17" t="s">
        <v>34</v>
      </c>
      <c r="G421" s="17" t="s">
        <v>43</v>
      </c>
      <c r="H421" s="17" t="s">
        <v>2597</v>
      </c>
      <c r="I421" s="17" t="s">
        <v>39</v>
      </c>
      <c r="J421" s="36">
        <v>5882.35</v>
      </c>
      <c r="K421" s="36">
        <v>10310.49</v>
      </c>
      <c r="L421" s="36">
        <f t="shared" si="30"/>
        <v>4428.1399999999994</v>
      </c>
      <c r="M421" s="37">
        <f t="shared" si="31"/>
        <v>0.75278417639208806</v>
      </c>
      <c r="N421" s="17" t="str">
        <f t="shared" si="32"/>
        <v>Over Budget</v>
      </c>
      <c r="O421" s="38">
        <f t="shared" si="33"/>
        <v>10310.49</v>
      </c>
      <c r="P421" s="39">
        <f t="shared" si="34"/>
        <v>46143</v>
      </c>
    </row>
    <row r="422" spans="1:16" ht="15.5" x14ac:dyDescent="0.35">
      <c r="A422" s="17" t="s">
        <v>470</v>
      </c>
      <c r="B422" s="35">
        <v>46128</v>
      </c>
      <c r="C422" s="17" t="s">
        <v>25</v>
      </c>
      <c r="D422" s="17" t="s">
        <v>36</v>
      </c>
      <c r="E422" s="17" t="s">
        <v>109</v>
      </c>
      <c r="F422" s="17" t="s">
        <v>28</v>
      </c>
      <c r="G422" s="17" t="s">
        <v>43</v>
      </c>
      <c r="H422" s="17" t="s">
        <v>2589</v>
      </c>
      <c r="I422" s="17" t="s">
        <v>39</v>
      </c>
      <c r="J422" s="36">
        <v>7142.86</v>
      </c>
      <c r="K422" s="36">
        <v>6007.25</v>
      </c>
      <c r="L422" s="36">
        <f t="shared" si="30"/>
        <v>-1135.6099999999997</v>
      </c>
      <c r="M422" s="37">
        <f t="shared" si="31"/>
        <v>-0.1589853364058654</v>
      </c>
      <c r="N422" s="17" t="str">
        <f t="shared" si="32"/>
        <v>Under Budget</v>
      </c>
      <c r="O422" s="38">
        <f t="shared" si="33"/>
        <v>6007.25</v>
      </c>
      <c r="P422" s="39">
        <f t="shared" si="34"/>
        <v>46113</v>
      </c>
    </row>
    <row r="423" spans="1:16" ht="15.5" x14ac:dyDescent="0.35">
      <c r="A423" s="17" t="s">
        <v>471</v>
      </c>
      <c r="B423" s="35">
        <v>45875</v>
      </c>
      <c r="C423" s="17" t="s">
        <v>12</v>
      </c>
      <c r="D423" s="17" t="s">
        <v>32</v>
      </c>
      <c r="E423" s="17" t="s">
        <v>14</v>
      </c>
      <c r="F423" s="17" t="s">
        <v>52</v>
      </c>
      <c r="G423" s="17" t="s">
        <v>22</v>
      </c>
      <c r="H423" s="17" t="s">
        <v>2593</v>
      </c>
      <c r="I423" s="17" t="s">
        <v>48</v>
      </c>
      <c r="J423" s="36">
        <v>2285.71</v>
      </c>
      <c r="K423" s="36">
        <v>6007.87</v>
      </c>
      <c r="L423" s="36">
        <f t="shared" si="30"/>
        <v>3722.16</v>
      </c>
      <c r="M423" s="37">
        <f t="shared" si="31"/>
        <v>1.6284480533401</v>
      </c>
      <c r="N423" s="17" t="str">
        <f t="shared" si="32"/>
        <v>Over Budget</v>
      </c>
      <c r="O423" s="38">
        <f t="shared" si="33"/>
        <v>-6007.87</v>
      </c>
      <c r="P423" s="39">
        <f t="shared" si="34"/>
        <v>45870</v>
      </c>
    </row>
    <row r="424" spans="1:16" ht="15.5" x14ac:dyDescent="0.35">
      <c r="A424" s="17" t="s">
        <v>472</v>
      </c>
      <c r="B424" s="35">
        <v>45991</v>
      </c>
      <c r="C424" s="17" t="s">
        <v>12</v>
      </c>
      <c r="D424" s="17" t="s">
        <v>19</v>
      </c>
      <c r="E424" s="17" t="s">
        <v>37</v>
      </c>
      <c r="F424" s="17" t="s">
        <v>15</v>
      </c>
      <c r="G424" s="17" t="s">
        <v>29</v>
      </c>
      <c r="H424" s="17" t="s">
        <v>2597</v>
      </c>
      <c r="I424" s="17" t="s">
        <v>39</v>
      </c>
      <c r="J424" s="36">
        <v>4900</v>
      </c>
      <c r="K424" s="36">
        <v>1060.6600000000001</v>
      </c>
      <c r="L424" s="36">
        <f t="shared" si="30"/>
        <v>-3839.34</v>
      </c>
      <c r="M424" s="37">
        <f t="shared" si="31"/>
        <v>-0.78353877551020412</v>
      </c>
      <c r="N424" s="17" t="str">
        <f t="shared" si="32"/>
        <v>Under Budget</v>
      </c>
      <c r="O424" s="38">
        <f t="shared" si="33"/>
        <v>-1060.6600000000001</v>
      </c>
      <c r="P424" s="39">
        <f t="shared" si="34"/>
        <v>45962</v>
      </c>
    </row>
    <row r="425" spans="1:16" ht="15.5" x14ac:dyDescent="0.35">
      <c r="A425" s="17" t="s">
        <v>473</v>
      </c>
      <c r="B425" s="35">
        <v>45940</v>
      </c>
      <c r="C425" s="17" t="s">
        <v>12</v>
      </c>
      <c r="D425" s="17" t="s">
        <v>19</v>
      </c>
      <c r="E425" s="17" t="s">
        <v>47</v>
      </c>
      <c r="F425" s="17" t="s">
        <v>52</v>
      </c>
      <c r="G425" s="17" t="s">
        <v>38</v>
      </c>
      <c r="H425" s="17" t="s">
        <v>2598</v>
      </c>
      <c r="I425" s="17" t="s">
        <v>39</v>
      </c>
      <c r="J425" s="36">
        <v>3500</v>
      </c>
      <c r="K425" s="36">
        <v>2252.4299999999998</v>
      </c>
      <c r="L425" s="36">
        <f t="shared" si="30"/>
        <v>-1247.5700000000002</v>
      </c>
      <c r="M425" s="37">
        <f t="shared" si="31"/>
        <v>-0.35644857142857145</v>
      </c>
      <c r="N425" s="17" t="str">
        <f t="shared" si="32"/>
        <v>Under Budget</v>
      </c>
      <c r="O425" s="38">
        <f t="shared" si="33"/>
        <v>-2252.4299999999998</v>
      </c>
      <c r="P425" s="39">
        <f t="shared" si="34"/>
        <v>45931</v>
      </c>
    </row>
    <row r="426" spans="1:16" ht="15.5" x14ac:dyDescent="0.35">
      <c r="A426" s="17" t="s">
        <v>474</v>
      </c>
      <c r="B426" s="35">
        <v>45789</v>
      </c>
      <c r="C426" s="17" t="s">
        <v>25</v>
      </c>
      <c r="D426" s="17" t="s">
        <v>19</v>
      </c>
      <c r="E426" s="17" t="s">
        <v>27</v>
      </c>
      <c r="F426" s="17" t="s">
        <v>52</v>
      </c>
      <c r="G426" s="17" t="s">
        <v>43</v>
      </c>
      <c r="H426" s="17" t="s">
        <v>60</v>
      </c>
      <c r="I426" s="17" t="s">
        <v>39</v>
      </c>
      <c r="J426" s="36">
        <v>10000</v>
      </c>
      <c r="K426" s="36">
        <v>690.77</v>
      </c>
      <c r="L426" s="36">
        <f t="shared" si="30"/>
        <v>-9309.23</v>
      </c>
      <c r="M426" s="37">
        <f t="shared" si="31"/>
        <v>-0.93092299999999994</v>
      </c>
      <c r="N426" s="17" t="str">
        <f t="shared" si="32"/>
        <v>Under Budget</v>
      </c>
      <c r="O426" s="38">
        <f t="shared" si="33"/>
        <v>690.77</v>
      </c>
      <c r="P426" s="39">
        <f t="shared" si="34"/>
        <v>45778</v>
      </c>
    </row>
    <row r="427" spans="1:16" ht="15.5" x14ac:dyDescent="0.35">
      <c r="A427" s="17" t="s">
        <v>475</v>
      </c>
      <c r="B427" s="35">
        <v>46122</v>
      </c>
      <c r="C427" s="17" t="s">
        <v>12</v>
      </c>
      <c r="D427" s="17" t="s">
        <v>19</v>
      </c>
      <c r="E427" s="17" t="s">
        <v>47</v>
      </c>
      <c r="F427" s="17" t="s">
        <v>21</v>
      </c>
      <c r="G427" s="17" t="s">
        <v>22</v>
      </c>
      <c r="H427" s="17" t="s">
        <v>2587</v>
      </c>
      <c r="I427" s="17" t="s">
        <v>23</v>
      </c>
      <c r="J427" s="36">
        <v>5833.33</v>
      </c>
      <c r="K427" s="36">
        <v>4402.16</v>
      </c>
      <c r="L427" s="36">
        <f t="shared" si="30"/>
        <v>-1431.17</v>
      </c>
      <c r="M427" s="37">
        <f t="shared" si="31"/>
        <v>-0.24534356876775359</v>
      </c>
      <c r="N427" s="17" t="str">
        <f t="shared" si="32"/>
        <v>Under Budget</v>
      </c>
      <c r="O427" s="38">
        <f t="shared" si="33"/>
        <v>-4402.16</v>
      </c>
      <c r="P427" s="39">
        <f t="shared" si="34"/>
        <v>46113</v>
      </c>
    </row>
    <row r="428" spans="1:16" ht="15.5" x14ac:dyDescent="0.35">
      <c r="A428" s="17" t="s">
        <v>476</v>
      </c>
      <c r="B428" s="35">
        <v>46135</v>
      </c>
      <c r="C428" s="17" t="s">
        <v>25</v>
      </c>
      <c r="D428" s="17" t="s">
        <v>32</v>
      </c>
      <c r="E428" s="17" t="s">
        <v>109</v>
      </c>
      <c r="F428" s="17" t="s">
        <v>52</v>
      </c>
      <c r="G428" s="17" t="s">
        <v>38</v>
      </c>
      <c r="H428" s="17" t="s">
        <v>2595</v>
      </c>
      <c r="I428" s="17" t="s">
        <v>23</v>
      </c>
      <c r="J428" s="36">
        <v>7142.86</v>
      </c>
      <c r="K428" s="36">
        <v>9445.5300000000007</v>
      </c>
      <c r="L428" s="36">
        <f t="shared" si="30"/>
        <v>2302.670000000001</v>
      </c>
      <c r="M428" s="37">
        <f t="shared" si="31"/>
        <v>0.32237367105053172</v>
      </c>
      <c r="N428" s="17" t="str">
        <f t="shared" si="32"/>
        <v>Over Budget</v>
      </c>
      <c r="O428" s="38">
        <f t="shared" si="33"/>
        <v>9445.5300000000007</v>
      </c>
      <c r="P428" s="39">
        <f t="shared" si="34"/>
        <v>46113</v>
      </c>
    </row>
    <row r="429" spans="1:16" ht="15.5" x14ac:dyDescent="0.35">
      <c r="A429" s="17" t="s">
        <v>477</v>
      </c>
      <c r="B429" s="35">
        <v>45895</v>
      </c>
      <c r="C429" s="17" t="s">
        <v>12</v>
      </c>
      <c r="D429" s="17" t="s">
        <v>19</v>
      </c>
      <c r="E429" s="17" t="s">
        <v>45</v>
      </c>
      <c r="F429" s="17" t="s">
        <v>28</v>
      </c>
      <c r="G429" s="17" t="s">
        <v>43</v>
      </c>
      <c r="H429" s="17" t="s">
        <v>2592</v>
      </c>
      <c r="I429" s="17" t="s">
        <v>48</v>
      </c>
      <c r="J429" s="36">
        <v>8181.82</v>
      </c>
      <c r="K429" s="36">
        <v>15605.2</v>
      </c>
      <c r="L429" s="36">
        <f t="shared" si="30"/>
        <v>7423.380000000001</v>
      </c>
      <c r="M429" s="37">
        <f t="shared" si="31"/>
        <v>0.90730179837737834</v>
      </c>
      <c r="N429" s="17" t="str">
        <f t="shared" si="32"/>
        <v>Over Budget</v>
      </c>
      <c r="O429" s="38">
        <f t="shared" si="33"/>
        <v>-15605.2</v>
      </c>
      <c r="P429" s="39">
        <f t="shared" si="34"/>
        <v>45870</v>
      </c>
    </row>
    <row r="430" spans="1:16" ht="15.5" x14ac:dyDescent="0.35">
      <c r="A430" s="17" t="s">
        <v>478</v>
      </c>
      <c r="B430" s="35">
        <v>45846</v>
      </c>
      <c r="C430" s="17" t="s">
        <v>12</v>
      </c>
      <c r="D430" s="17" t="s">
        <v>19</v>
      </c>
      <c r="E430" s="17" t="s">
        <v>45</v>
      </c>
      <c r="F430" s="17" t="s">
        <v>21</v>
      </c>
      <c r="G430" s="17" t="s">
        <v>22</v>
      </c>
      <c r="H430" s="17" t="s">
        <v>2593</v>
      </c>
      <c r="I430" s="17" t="s">
        <v>39</v>
      </c>
      <c r="J430" s="36">
        <v>6923.08</v>
      </c>
      <c r="K430" s="36">
        <v>16697.78</v>
      </c>
      <c r="L430" s="36">
        <f t="shared" si="30"/>
        <v>9774.6999999999989</v>
      </c>
      <c r="M430" s="37">
        <f t="shared" si="31"/>
        <v>1.4119004835997848</v>
      </c>
      <c r="N430" s="17" t="str">
        <f t="shared" si="32"/>
        <v>Over Budget</v>
      </c>
      <c r="O430" s="38">
        <f t="shared" si="33"/>
        <v>-16697.78</v>
      </c>
      <c r="P430" s="39">
        <f t="shared" si="34"/>
        <v>45839</v>
      </c>
    </row>
    <row r="431" spans="1:16" ht="15.5" x14ac:dyDescent="0.35">
      <c r="A431" s="17" t="s">
        <v>479</v>
      </c>
      <c r="B431" s="35">
        <v>46150</v>
      </c>
      <c r="C431" s="17" t="s">
        <v>25</v>
      </c>
      <c r="D431" s="17" t="s">
        <v>36</v>
      </c>
      <c r="E431" s="17" t="s">
        <v>33</v>
      </c>
      <c r="F431" s="17" t="s">
        <v>28</v>
      </c>
      <c r="G431" s="17" t="s">
        <v>38</v>
      </c>
      <c r="H431" s="17" t="s">
        <v>60</v>
      </c>
      <c r="I431" s="17" t="s">
        <v>39</v>
      </c>
      <c r="J431" s="36">
        <v>10869.57</v>
      </c>
      <c r="K431" s="36">
        <v>8488.1299999999992</v>
      </c>
      <c r="L431" s="36">
        <f t="shared" si="30"/>
        <v>-2381.4400000000005</v>
      </c>
      <c r="M431" s="37">
        <f t="shared" si="31"/>
        <v>-0.21909238359935126</v>
      </c>
      <c r="N431" s="17" t="str">
        <f t="shared" si="32"/>
        <v>Under Budget</v>
      </c>
      <c r="O431" s="38">
        <f t="shared" si="33"/>
        <v>8488.1299999999992</v>
      </c>
      <c r="P431" s="39">
        <f t="shared" si="34"/>
        <v>46143</v>
      </c>
    </row>
    <row r="432" spans="1:16" ht="15.5" x14ac:dyDescent="0.35">
      <c r="A432" s="17" t="s">
        <v>480</v>
      </c>
      <c r="B432" s="35">
        <v>45830</v>
      </c>
      <c r="C432" s="17" t="s">
        <v>25</v>
      </c>
      <c r="D432" s="17" t="s">
        <v>32</v>
      </c>
      <c r="E432" s="17" t="s">
        <v>33</v>
      </c>
      <c r="F432" s="17" t="s">
        <v>28</v>
      </c>
      <c r="G432" s="17" t="s">
        <v>43</v>
      </c>
      <c r="H432" s="17" t="s">
        <v>2598</v>
      </c>
      <c r="I432" s="17" t="s">
        <v>17</v>
      </c>
      <c r="J432" s="36">
        <v>9615.3799999999992</v>
      </c>
      <c r="K432" s="36">
        <v>22022.63</v>
      </c>
      <c r="L432" s="36">
        <f t="shared" si="30"/>
        <v>12407.250000000002</v>
      </c>
      <c r="M432" s="37">
        <f t="shared" si="31"/>
        <v>1.2903546193702176</v>
      </c>
      <c r="N432" s="17" t="str">
        <f t="shared" si="32"/>
        <v>Over Budget</v>
      </c>
      <c r="O432" s="38">
        <f t="shared" si="33"/>
        <v>22022.63</v>
      </c>
      <c r="P432" s="39">
        <f t="shared" si="34"/>
        <v>45809</v>
      </c>
    </row>
    <row r="433" spans="1:16" ht="15.5" x14ac:dyDescent="0.35">
      <c r="A433" s="17" t="s">
        <v>481</v>
      </c>
      <c r="B433" s="35">
        <v>45801</v>
      </c>
      <c r="C433" s="17" t="s">
        <v>12</v>
      </c>
      <c r="D433" s="17" t="s">
        <v>2585</v>
      </c>
      <c r="E433" s="17" t="s">
        <v>41</v>
      </c>
      <c r="F433" s="17" t="s">
        <v>52</v>
      </c>
      <c r="G433" s="17" t="s">
        <v>29</v>
      </c>
      <c r="H433" s="17" t="s">
        <v>2589</v>
      </c>
      <c r="I433" s="17" t="s">
        <v>17</v>
      </c>
      <c r="J433" s="36">
        <v>4642.8599999999997</v>
      </c>
      <c r="K433" s="36">
        <v>2509.4299999999998</v>
      </c>
      <c r="L433" s="36">
        <f t="shared" si="30"/>
        <v>-2133.4299999999998</v>
      </c>
      <c r="M433" s="37">
        <f t="shared" si="31"/>
        <v>-0.45950771722602018</v>
      </c>
      <c r="N433" s="17" t="str">
        <f t="shared" si="32"/>
        <v>Under Budget</v>
      </c>
      <c r="O433" s="38">
        <f t="shared" si="33"/>
        <v>-2509.4299999999998</v>
      </c>
      <c r="P433" s="39">
        <f t="shared" si="34"/>
        <v>45778</v>
      </c>
    </row>
    <row r="434" spans="1:16" ht="15.5" x14ac:dyDescent="0.35">
      <c r="A434" s="17" t="s">
        <v>482</v>
      </c>
      <c r="B434" s="35">
        <v>45819</v>
      </c>
      <c r="C434" s="17" t="s">
        <v>12</v>
      </c>
      <c r="D434" s="17" t="s">
        <v>19</v>
      </c>
      <c r="E434" s="17" t="s">
        <v>45</v>
      </c>
      <c r="F434" s="17" t="s">
        <v>21</v>
      </c>
      <c r="G434" s="17" t="s">
        <v>38</v>
      </c>
      <c r="H434" s="17" t="s">
        <v>60</v>
      </c>
      <c r="I434" s="17" t="s">
        <v>23</v>
      </c>
      <c r="J434" s="36">
        <v>6428.57</v>
      </c>
      <c r="K434" s="36">
        <v>8559.7099999999991</v>
      </c>
      <c r="L434" s="36">
        <f t="shared" si="30"/>
        <v>2131.1399999999994</v>
      </c>
      <c r="M434" s="37">
        <f t="shared" si="31"/>
        <v>0.33151074033571998</v>
      </c>
      <c r="N434" s="17" t="str">
        <f t="shared" si="32"/>
        <v>Over Budget</v>
      </c>
      <c r="O434" s="38">
        <f t="shared" si="33"/>
        <v>-8559.7099999999991</v>
      </c>
      <c r="P434" s="39">
        <f t="shared" si="34"/>
        <v>45809</v>
      </c>
    </row>
    <row r="435" spans="1:16" ht="15.5" x14ac:dyDescent="0.35">
      <c r="A435" s="17" t="s">
        <v>483</v>
      </c>
      <c r="B435" s="35">
        <v>46057</v>
      </c>
      <c r="C435" s="17" t="s">
        <v>12</v>
      </c>
      <c r="D435" s="17" t="s">
        <v>26</v>
      </c>
      <c r="E435" s="17" t="s">
        <v>77</v>
      </c>
      <c r="F435" s="17" t="s">
        <v>15</v>
      </c>
      <c r="G435" s="17" t="s">
        <v>22</v>
      </c>
      <c r="H435" s="17" t="s">
        <v>2586</v>
      </c>
      <c r="I435" s="17" t="s">
        <v>48</v>
      </c>
      <c r="J435" s="36">
        <v>2667.5</v>
      </c>
      <c r="K435" s="36">
        <v>1379.38</v>
      </c>
      <c r="L435" s="36">
        <f t="shared" si="30"/>
        <v>-1288.1199999999999</v>
      </c>
      <c r="M435" s="37">
        <f t="shared" si="31"/>
        <v>-0.48289409559512647</v>
      </c>
      <c r="N435" s="17" t="str">
        <f t="shared" si="32"/>
        <v>Under Budget</v>
      </c>
      <c r="O435" s="38">
        <f t="shared" si="33"/>
        <v>-1379.38</v>
      </c>
      <c r="P435" s="39">
        <f t="shared" si="34"/>
        <v>46054</v>
      </c>
    </row>
    <row r="436" spans="1:16" ht="15.5" x14ac:dyDescent="0.35">
      <c r="A436" s="17" t="s">
        <v>484</v>
      </c>
      <c r="B436" s="35">
        <v>46091</v>
      </c>
      <c r="C436" s="17" t="s">
        <v>12</v>
      </c>
      <c r="D436" s="17" t="s">
        <v>2584</v>
      </c>
      <c r="E436" s="17" t="s">
        <v>47</v>
      </c>
      <c r="F436" s="17" t="s">
        <v>15</v>
      </c>
      <c r="G436" s="17" t="s">
        <v>29</v>
      </c>
      <c r="H436" s="17" t="s">
        <v>2588</v>
      </c>
      <c r="I436" s="17" t="s">
        <v>39</v>
      </c>
      <c r="J436" s="36">
        <v>3181.82</v>
      </c>
      <c r="K436" s="36">
        <v>4150.8999999999996</v>
      </c>
      <c r="L436" s="36">
        <f t="shared" si="30"/>
        <v>969.07999999999947</v>
      </c>
      <c r="M436" s="37">
        <f t="shared" si="31"/>
        <v>0.3045678259612421</v>
      </c>
      <c r="N436" s="17" t="str">
        <f t="shared" si="32"/>
        <v>Over Budget</v>
      </c>
      <c r="O436" s="38">
        <f t="shared" si="33"/>
        <v>-4150.8999999999996</v>
      </c>
      <c r="P436" s="39">
        <f t="shared" si="34"/>
        <v>46082</v>
      </c>
    </row>
    <row r="437" spans="1:16" ht="15.5" x14ac:dyDescent="0.35">
      <c r="A437" s="17" t="s">
        <v>485</v>
      </c>
      <c r="B437" s="35">
        <v>45812</v>
      </c>
      <c r="C437" s="17" t="s">
        <v>12</v>
      </c>
      <c r="D437" s="17" t="s">
        <v>2585</v>
      </c>
      <c r="E437" s="17" t="s">
        <v>14</v>
      </c>
      <c r="F437" s="17" t="s">
        <v>21</v>
      </c>
      <c r="G437" s="17" t="s">
        <v>43</v>
      </c>
      <c r="H437" s="17" t="s">
        <v>2590</v>
      </c>
      <c r="I437" s="17" t="s">
        <v>17</v>
      </c>
      <c r="J437" s="36">
        <v>4571.43</v>
      </c>
      <c r="K437" s="36">
        <v>4944.87</v>
      </c>
      <c r="L437" s="36">
        <f t="shared" si="30"/>
        <v>373.4399999999996</v>
      </c>
      <c r="M437" s="37">
        <f t="shared" si="31"/>
        <v>8.1689974471882879E-2</v>
      </c>
      <c r="N437" s="17" t="str">
        <f t="shared" si="32"/>
        <v>Over Budget</v>
      </c>
      <c r="O437" s="38">
        <f t="shared" si="33"/>
        <v>-4944.87</v>
      </c>
      <c r="P437" s="39">
        <f t="shared" si="34"/>
        <v>45809</v>
      </c>
    </row>
    <row r="438" spans="1:16" ht="15.5" x14ac:dyDescent="0.35">
      <c r="A438" s="17" t="s">
        <v>486</v>
      </c>
      <c r="B438" s="35">
        <v>46089</v>
      </c>
      <c r="C438" s="17" t="s">
        <v>12</v>
      </c>
      <c r="D438" s="17" t="s">
        <v>32</v>
      </c>
      <c r="E438" s="17" t="s">
        <v>47</v>
      </c>
      <c r="F438" s="17" t="s">
        <v>34</v>
      </c>
      <c r="G438" s="17" t="s">
        <v>38</v>
      </c>
      <c r="H438" s="17" t="s">
        <v>2598</v>
      </c>
      <c r="I438" s="17" t="s">
        <v>30</v>
      </c>
      <c r="J438" s="36">
        <v>3181.82</v>
      </c>
      <c r="K438" s="36">
        <v>4294.22</v>
      </c>
      <c r="L438" s="36">
        <f t="shared" si="30"/>
        <v>1112.4000000000001</v>
      </c>
      <c r="M438" s="37">
        <f t="shared" si="31"/>
        <v>0.34961122879358358</v>
      </c>
      <c r="N438" s="17" t="str">
        <f t="shared" si="32"/>
        <v>Over Budget</v>
      </c>
      <c r="O438" s="38">
        <f t="shared" si="33"/>
        <v>-4294.22</v>
      </c>
      <c r="P438" s="39">
        <f t="shared" si="34"/>
        <v>46082</v>
      </c>
    </row>
    <row r="439" spans="1:16" ht="15.5" x14ac:dyDescent="0.35">
      <c r="A439" s="17" t="s">
        <v>487</v>
      </c>
      <c r="B439" s="35">
        <v>45784</v>
      </c>
      <c r="C439" s="17" t="s">
        <v>12</v>
      </c>
      <c r="D439" s="17" t="s">
        <v>19</v>
      </c>
      <c r="E439" s="17" t="s">
        <v>20</v>
      </c>
      <c r="F439" s="17" t="s">
        <v>34</v>
      </c>
      <c r="G439" s="17" t="s">
        <v>38</v>
      </c>
      <c r="H439" s="17" t="s">
        <v>2591</v>
      </c>
      <c r="I439" s="17" t="s">
        <v>39</v>
      </c>
      <c r="J439" s="36">
        <v>2250</v>
      </c>
      <c r="K439" s="36">
        <v>774.55</v>
      </c>
      <c r="L439" s="36">
        <f t="shared" si="30"/>
        <v>-1475.45</v>
      </c>
      <c r="M439" s="37">
        <f t="shared" si="31"/>
        <v>-0.65575555555555554</v>
      </c>
      <c r="N439" s="17" t="str">
        <f t="shared" si="32"/>
        <v>Under Budget</v>
      </c>
      <c r="O439" s="38">
        <f t="shared" si="33"/>
        <v>-774.55</v>
      </c>
      <c r="P439" s="39">
        <f t="shared" si="34"/>
        <v>45778</v>
      </c>
    </row>
    <row r="440" spans="1:16" ht="15.5" x14ac:dyDescent="0.35">
      <c r="A440" s="17" t="s">
        <v>488</v>
      </c>
      <c r="B440" s="35">
        <v>46186</v>
      </c>
      <c r="C440" s="17" t="s">
        <v>12</v>
      </c>
      <c r="D440" s="17" t="s">
        <v>19</v>
      </c>
      <c r="E440" s="17" t="s">
        <v>37</v>
      </c>
      <c r="F440" s="17" t="s">
        <v>52</v>
      </c>
      <c r="G440" s="17" t="s">
        <v>29</v>
      </c>
      <c r="H440" s="17" t="s">
        <v>2591</v>
      </c>
      <c r="I440" s="17" t="s">
        <v>39</v>
      </c>
      <c r="J440" s="36">
        <v>5600</v>
      </c>
      <c r="K440" s="36">
        <v>2410.29</v>
      </c>
      <c r="L440" s="36">
        <f t="shared" si="30"/>
        <v>-3189.71</v>
      </c>
      <c r="M440" s="37">
        <f t="shared" si="31"/>
        <v>-0.56959107142857146</v>
      </c>
      <c r="N440" s="17" t="str">
        <f t="shared" si="32"/>
        <v>Under Budget</v>
      </c>
      <c r="O440" s="38">
        <f t="shared" si="33"/>
        <v>-2410.29</v>
      </c>
      <c r="P440" s="39">
        <f t="shared" si="34"/>
        <v>46174</v>
      </c>
    </row>
    <row r="441" spans="1:16" ht="15.5" x14ac:dyDescent="0.35">
      <c r="A441" s="17" t="s">
        <v>489</v>
      </c>
      <c r="B441" s="35">
        <v>45725</v>
      </c>
      <c r="C441" s="17" t="s">
        <v>12</v>
      </c>
      <c r="D441" s="17" t="s">
        <v>19</v>
      </c>
      <c r="E441" s="17" t="s">
        <v>74</v>
      </c>
      <c r="F441" s="17" t="s">
        <v>52</v>
      </c>
      <c r="G441" s="17" t="s">
        <v>22</v>
      </c>
      <c r="H441" s="17" t="s">
        <v>60</v>
      </c>
      <c r="I441" s="17" t="s">
        <v>17</v>
      </c>
      <c r="J441" s="36">
        <v>8000</v>
      </c>
      <c r="K441" s="36">
        <v>3715.16</v>
      </c>
      <c r="L441" s="36">
        <f t="shared" si="30"/>
        <v>-4284.84</v>
      </c>
      <c r="M441" s="37">
        <f t="shared" si="31"/>
        <v>-0.535605</v>
      </c>
      <c r="N441" s="17" t="str">
        <f t="shared" si="32"/>
        <v>Under Budget</v>
      </c>
      <c r="O441" s="38">
        <f t="shared" si="33"/>
        <v>-3715.16</v>
      </c>
      <c r="P441" s="39">
        <f t="shared" si="34"/>
        <v>45717</v>
      </c>
    </row>
    <row r="442" spans="1:16" ht="15.5" x14ac:dyDescent="0.35">
      <c r="A442" s="17" t="s">
        <v>490</v>
      </c>
      <c r="B442" s="35">
        <v>45946</v>
      </c>
      <c r="C442" s="17" t="s">
        <v>12</v>
      </c>
      <c r="D442" s="17" t="s">
        <v>26</v>
      </c>
      <c r="E442" s="17" t="s">
        <v>45</v>
      </c>
      <c r="F442" s="17" t="s">
        <v>28</v>
      </c>
      <c r="G442" s="17" t="s">
        <v>38</v>
      </c>
      <c r="H442" s="17" t="s">
        <v>2595</v>
      </c>
      <c r="I442" s="17" t="s">
        <v>23</v>
      </c>
      <c r="J442" s="36">
        <v>7826.09</v>
      </c>
      <c r="K442" s="36">
        <v>9502.59</v>
      </c>
      <c r="L442" s="36">
        <f t="shared" si="30"/>
        <v>1676.5</v>
      </c>
      <c r="M442" s="37">
        <f t="shared" si="31"/>
        <v>0.21421936113691512</v>
      </c>
      <c r="N442" s="17" t="str">
        <f t="shared" si="32"/>
        <v>Over Budget</v>
      </c>
      <c r="O442" s="38">
        <f t="shared" si="33"/>
        <v>-9502.59</v>
      </c>
      <c r="P442" s="39">
        <f t="shared" si="34"/>
        <v>45931</v>
      </c>
    </row>
    <row r="443" spans="1:16" ht="15.5" x14ac:dyDescent="0.35">
      <c r="A443" s="17" t="s">
        <v>491</v>
      </c>
      <c r="B443" s="35">
        <v>45864</v>
      </c>
      <c r="C443" s="17" t="s">
        <v>12</v>
      </c>
      <c r="D443" s="17" t="s">
        <v>32</v>
      </c>
      <c r="E443" s="17" t="s">
        <v>45</v>
      </c>
      <c r="F443" s="17" t="s">
        <v>52</v>
      </c>
      <c r="G443" s="17" t="s">
        <v>43</v>
      </c>
      <c r="H443" s="17" t="s">
        <v>2596</v>
      </c>
      <c r="I443" s="17" t="s">
        <v>2583</v>
      </c>
      <c r="J443" s="36">
        <v>6923.08</v>
      </c>
      <c r="K443" s="36">
        <v>8943.7800000000007</v>
      </c>
      <c r="L443" s="36">
        <f t="shared" si="30"/>
        <v>2020.7000000000007</v>
      </c>
      <c r="M443" s="37">
        <f t="shared" si="31"/>
        <v>0.29187875916499606</v>
      </c>
      <c r="N443" s="17" t="str">
        <f t="shared" si="32"/>
        <v>Over Budget</v>
      </c>
      <c r="O443" s="38">
        <f t="shared" si="33"/>
        <v>-8943.7800000000007</v>
      </c>
      <c r="P443" s="39">
        <f t="shared" si="34"/>
        <v>45839</v>
      </c>
    </row>
    <row r="444" spans="1:16" ht="15.5" x14ac:dyDescent="0.35">
      <c r="A444" s="17" t="s">
        <v>492</v>
      </c>
      <c r="B444" s="35">
        <v>45989</v>
      </c>
      <c r="C444" s="17" t="s">
        <v>12</v>
      </c>
      <c r="D444" s="17" t="s">
        <v>26</v>
      </c>
      <c r="E444" s="17" t="s">
        <v>45</v>
      </c>
      <c r="F444" s="17" t="s">
        <v>34</v>
      </c>
      <c r="G444" s="17" t="s">
        <v>82</v>
      </c>
      <c r="H444" s="17" t="s">
        <v>2598</v>
      </c>
      <c r="I444" s="17" t="s">
        <v>23</v>
      </c>
      <c r="J444" s="36">
        <v>9947.3700000000008</v>
      </c>
      <c r="K444" s="36">
        <v>16087.28</v>
      </c>
      <c r="L444" s="36">
        <f t="shared" si="30"/>
        <v>6139.91</v>
      </c>
      <c r="M444" s="37">
        <f t="shared" si="31"/>
        <v>0.6172395316551007</v>
      </c>
      <c r="N444" s="17" t="str">
        <f t="shared" si="32"/>
        <v>Over Budget</v>
      </c>
      <c r="O444" s="38">
        <f t="shared" si="33"/>
        <v>-16087.28</v>
      </c>
      <c r="P444" s="39">
        <f t="shared" si="34"/>
        <v>45962</v>
      </c>
    </row>
    <row r="445" spans="1:16" ht="15.5" x14ac:dyDescent="0.35">
      <c r="A445" s="17" t="s">
        <v>493</v>
      </c>
      <c r="B445" s="35">
        <v>45732</v>
      </c>
      <c r="C445" s="17" t="s">
        <v>12</v>
      </c>
      <c r="D445" s="17" t="s">
        <v>19</v>
      </c>
      <c r="E445" s="17" t="s">
        <v>37</v>
      </c>
      <c r="F445" s="17" t="s">
        <v>21</v>
      </c>
      <c r="G445" s="17" t="s">
        <v>82</v>
      </c>
      <c r="H445" s="17" t="s">
        <v>2589</v>
      </c>
      <c r="I445" s="17" t="s">
        <v>39</v>
      </c>
      <c r="J445" s="36">
        <v>4666.67</v>
      </c>
      <c r="K445" s="36">
        <v>471.4</v>
      </c>
      <c r="L445" s="36">
        <f t="shared" si="30"/>
        <v>-4195.2700000000004</v>
      </c>
      <c r="M445" s="37">
        <f t="shared" si="31"/>
        <v>-0.89898578643872407</v>
      </c>
      <c r="N445" s="17" t="str">
        <f t="shared" si="32"/>
        <v>Under Budget</v>
      </c>
      <c r="O445" s="38">
        <f t="shared" si="33"/>
        <v>-471.4</v>
      </c>
      <c r="P445" s="39">
        <f t="shared" si="34"/>
        <v>45717</v>
      </c>
    </row>
    <row r="446" spans="1:16" ht="15.5" x14ac:dyDescent="0.35">
      <c r="A446" s="17" t="s">
        <v>494</v>
      </c>
      <c r="B446" s="35">
        <v>45811</v>
      </c>
      <c r="C446" s="17" t="s">
        <v>12</v>
      </c>
      <c r="D446" s="17" t="s">
        <v>19</v>
      </c>
      <c r="E446" s="17" t="s">
        <v>65</v>
      </c>
      <c r="F446" s="17" t="s">
        <v>15</v>
      </c>
      <c r="G446" s="17" t="s">
        <v>43</v>
      </c>
      <c r="H446" s="17" t="s">
        <v>2594</v>
      </c>
      <c r="I446" s="17" t="s">
        <v>48</v>
      </c>
      <c r="J446" s="36">
        <v>5500</v>
      </c>
      <c r="K446" s="36">
        <v>4635.03</v>
      </c>
      <c r="L446" s="36">
        <f t="shared" si="30"/>
        <v>-864.97000000000025</v>
      </c>
      <c r="M446" s="37">
        <f t="shared" si="31"/>
        <v>-0.15726727272727278</v>
      </c>
      <c r="N446" s="17" t="str">
        <f t="shared" si="32"/>
        <v>Under Budget</v>
      </c>
      <c r="O446" s="38">
        <f t="shared" si="33"/>
        <v>-4635.03</v>
      </c>
      <c r="P446" s="39">
        <f t="shared" si="34"/>
        <v>45809</v>
      </c>
    </row>
    <row r="447" spans="1:16" ht="15.5" x14ac:dyDescent="0.35">
      <c r="A447" s="17" t="s">
        <v>495</v>
      </c>
      <c r="B447" s="35">
        <v>45942</v>
      </c>
      <c r="C447" s="17" t="s">
        <v>12</v>
      </c>
      <c r="D447" s="17" t="s">
        <v>36</v>
      </c>
      <c r="E447" s="17" t="s">
        <v>14</v>
      </c>
      <c r="F447" s="17" t="s">
        <v>21</v>
      </c>
      <c r="G447" s="17" t="s">
        <v>82</v>
      </c>
      <c r="H447" s="17" t="s">
        <v>2591</v>
      </c>
      <c r="I447" s="17" t="s">
        <v>48</v>
      </c>
      <c r="J447" s="36">
        <v>2666.67</v>
      </c>
      <c r="K447" s="36">
        <v>6817.44</v>
      </c>
      <c r="L447" s="36">
        <f t="shared" si="30"/>
        <v>4150.7699999999995</v>
      </c>
      <c r="M447" s="37">
        <f t="shared" si="31"/>
        <v>1.5565368043289944</v>
      </c>
      <c r="N447" s="17" t="str">
        <f t="shared" si="32"/>
        <v>Over Budget</v>
      </c>
      <c r="O447" s="38">
        <f t="shared" si="33"/>
        <v>-6817.44</v>
      </c>
      <c r="P447" s="39">
        <f t="shared" si="34"/>
        <v>45931</v>
      </c>
    </row>
    <row r="448" spans="1:16" ht="15.5" x14ac:dyDescent="0.35">
      <c r="A448" s="17" t="s">
        <v>496</v>
      </c>
      <c r="B448" s="35">
        <v>45966</v>
      </c>
      <c r="C448" s="17" t="s">
        <v>25</v>
      </c>
      <c r="D448" s="17" t="s">
        <v>32</v>
      </c>
      <c r="E448" s="17" t="s">
        <v>27</v>
      </c>
      <c r="F448" s="17" t="s">
        <v>28</v>
      </c>
      <c r="G448" s="17" t="s">
        <v>38</v>
      </c>
      <c r="H448" s="17" t="s">
        <v>2596</v>
      </c>
      <c r="I448" s="17" t="s">
        <v>48</v>
      </c>
      <c r="J448" s="36">
        <v>8400</v>
      </c>
      <c r="K448" s="36">
        <v>2525.71</v>
      </c>
      <c r="L448" s="36">
        <f t="shared" si="30"/>
        <v>-5874.29</v>
      </c>
      <c r="M448" s="37">
        <f t="shared" si="31"/>
        <v>-0.69932023809523813</v>
      </c>
      <c r="N448" s="17" t="str">
        <f t="shared" si="32"/>
        <v>Under Budget</v>
      </c>
      <c r="O448" s="38">
        <f t="shared" si="33"/>
        <v>2525.71</v>
      </c>
      <c r="P448" s="39">
        <f t="shared" si="34"/>
        <v>45962</v>
      </c>
    </row>
    <row r="449" spans="1:16" ht="15.5" x14ac:dyDescent="0.35">
      <c r="A449" s="17" t="s">
        <v>497</v>
      </c>
      <c r="B449" s="35">
        <v>45734</v>
      </c>
      <c r="C449" s="17" t="s">
        <v>25</v>
      </c>
      <c r="D449" s="17" t="s">
        <v>32</v>
      </c>
      <c r="E449" s="17" t="s">
        <v>27</v>
      </c>
      <c r="F449" s="17" t="s">
        <v>21</v>
      </c>
      <c r="G449" s="17" t="s">
        <v>38</v>
      </c>
      <c r="H449" s="17" t="s">
        <v>2596</v>
      </c>
      <c r="I449" s="17" t="s">
        <v>17</v>
      </c>
      <c r="J449" s="36">
        <v>11428.57</v>
      </c>
      <c r="K449" s="36">
        <v>6149.34</v>
      </c>
      <c r="L449" s="36">
        <f t="shared" si="30"/>
        <v>-5279.23</v>
      </c>
      <c r="M449" s="37">
        <f t="shared" si="31"/>
        <v>-0.46193268274158533</v>
      </c>
      <c r="N449" s="17" t="str">
        <f t="shared" si="32"/>
        <v>Under Budget</v>
      </c>
      <c r="O449" s="38">
        <f t="shared" si="33"/>
        <v>6149.34</v>
      </c>
      <c r="P449" s="39">
        <f t="shared" si="34"/>
        <v>45717</v>
      </c>
    </row>
    <row r="450" spans="1:16" ht="15.5" x14ac:dyDescent="0.35">
      <c r="A450" s="17" t="s">
        <v>498</v>
      </c>
      <c r="B450" s="35">
        <v>45875</v>
      </c>
      <c r="C450" s="17" t="s">
        <v>12</v>
      </c>
      <c r="D450" s="17" t="s">
        <v>2584</v>
      </c>
      <c r="E450" s="17" t="s">
        <v>20</v>
      </c>
      <c r="F450" s="17" t="s">
        <v>28</v>
      </c>
      <c r="G450" s="17" t="s">
        <v>16</v>
      </c>
      <c r="H450" s="17" t="s">
        <v>80</v>
      </c>
      <c r="I450" s="17" t="s">
        <v>48</v>
      </c>
      <c r="J450" s="36">
        <v>3000</v>
      </c>
      <c r="K450" s="36">
        <v>1413.88</v>
      </c>
      <c r="L450" s="36">
        <f t="shared" si="30"/>
        <v>-1586.12</v>
      </c>
      <c r="M450" s="37">
        <f t="shared" si="31"/>
        <v>-0.52870666666666666</v>
      </c>
      <c r="N450" s="17" t="str">
        <f t="shared" si="32"/>
        <v>Under Budget</v>
      </c>
      <c r="O450" s="38">
        <f t="shared" si="33"/>
        <v>-1413.88</v>
      </c>
      <c r="P450" s="39">
        <f t="shared" si="34"/>
        <v>45870</v>
      </c>
    </row>
    <row r="451" spans="1:16" ht="15.5" x14ac:dyDescent="0.35">
      <c r="A451" s="17" t="s">
        <v>499</v>
      </c>
      <c r="B451" s="35">
        <v>45783</v>
      </c>
      <c r="C451" s="17" t="s">
        <v>25</v>
      </c>
      <c r="D451" s="17" t="s">
        <v>19</v>
      </c>
      <c r="E451" s="17" t="s">
        <v>33</v>
      </c>
      <c r="F451" s="17" t="s">
        <v>15</v>
      </c>
      <c r="G451" s="17" t="s">
        <v>29</v>
      </c>
      <c r="H451" s="17" t="s">
        <v>2596</v>
      </c>
      <c r="I451" s="17" t="s">
        <v>48</v>
      </c>
      <c r="J451" s="36">
        <v>9615.3799999999992</v>
      </c>
      <c r="K451" s="36">
        <v>21788.65</v>
      </c>
      <c r="L451" s="36">
        <f t="shared" ref="L451:L514" si="35">K451-J451</f>
        <v>12173.270000000002</v>
      </c>
      <c r="M451" s="37">
        <f t="shared" ref="M451:M514" si="36">IF(J451=0,0,L451/J451)</f>
        <v>1.2660206876899305</v>
      </c>
      <c r="N451" s="17" t="str">
        <f t="shared" ref="N451:N514" si="37">IF(J451=0,"No Budget",IF(K451&gt;J451,"Over Budget",IF(K451&lt;J451,"Under Budget","On Budget")))</f>
        <v>Over Budget</v>
      </c>
      <c r="O451" s="38">
        <f t="shared" ref="O451:O514" si="38">IF(C451="Revenue",K451,-K451)</f>
        <v>21788.65</v>
      </c>
      <c r="P451" s="39">
        <f t="shared" ref="P451:P514" si="39">DATE(YEAR(B451),MONTH(B451),1)</f>
        <v>45778</v>
      </c>
    </row>
    <row r="452" spans="1:16" ht="15.5" x14ac:dyDescent="0.35">
      <c r="A452" s="17" t="s">
        <v>500</v>
      </c>
      <c r="B452" s="35">
        <v>46029</v>
      </c>
      <c r="C452" s="17" t="s">
        <v>25</v>
      </c>
      <c r="D452" s="17" t="s">
        <v>32</v>
      </c>
      <c r="E452" s="17" t="s">
        <v>109</v>
      </c>
      <c r="F452" s="17" t="s">
        <v>52</v>
      </c>
      <c r="G452" s="17" t="s">
        <v>38</v>
      </c>
      <c r="H452" s="17" t="s">
        <v>2589</v>
      </c>
      <c r="I452" s="17" t="s">
        <v>23</v>
      </c>
      <c r="J452" s="36">
        <v>6062.5</v>
      </c>
      <c r="K452" s="36">
        <v>16872.14</v>
      </c>
      <c r="L452" s="36">
        <f t="shared" si="35"/>
        <v>10809.64</v>
      </c>
      <c r="M452" s="37">
        <f t="shared" si="36"/>
        <v>1.7830334020618557</v>
      </c>
      <c r="N452" s="17" t="str">
        <f t="shared" si="37"/>
        <v>Over Budget</v>
      </c>
      <c r="O452" s="38">
        <f t="shared" si="38"/>
        <v>16872.14</v>
      </c>
      <c r="P452" s="39">
        <f t="shared" si="39"/>
        <v>46023</v>
      </c>
    </row>
    <row r="453" spans="1:16" ht="15.5" x14ac:dyDescent="0.35">
      <c r="A453" s="17" t="s">
        <v>501</v>
      </c>
      <c r="B453" s="35">
        <v>45992</v>
      </c>
      <c r="C453" s="17" t="s">
        <v>25</v>
      </c>
      <c r="D453" s="17" t="s">
        <v>32</v>
      </c>
      <c r="E453" s="17" t="s">
        <v>109</v>
      </c>
      <c r="F453" s="17" t="s">
        <v>15</v>
      </c>
      <c r="G453" s="17" t="s">
        <v>43</v>
      </c>
      <c r="H453" s="17" t="s">
        <v>2593</v>
      </c>
      <c r="I453" s="17" t="s">
        <v>39</v>
      </c>
      <c r="J453" s="36">
        <v>9545.4500000000007</v>
      </c>
      <c r="K453" s="36">
        <v>11262.93</v>
      </c>
      <c r="L453" s="36">
        <f t="shared" si="35"/>
        <v>1717.4799999999996</v>
      </c>
      <c r="M453" s="37">
        <f t="shared" si="36"/>
        <v>0.17992656186979131</v>
      </c>
      <c r="N453" s="17" t="str">
        <f t="shared" si="37"/>
        <v>Over Budget</v>
      </c>
      <c r="O453" s="38">
        <f t="shared" si="38"/>
        <v>11262.93</v>
      </c>
      <c r="P453" s="39">
        <f t="shared" si="39"/>
        <v>45992</v>
      </c>
    </row>
    <row r="454" spans="1:16" ht="15.5" x14ac:dyDescent="0.35">
      <c r="A454" s="17" t="s">
        <v>502</v>
      </c>
      <c r="B454" s="35">
        <v>45898</v>
      </c>
      <c r="C454" s="17" t="s">
        <v>25</v>
      </c>
      <c r="D454" s="17" t="s">
        <v>19</v>
      </c>
      <c r="E454" s="17" t="s">
        <v>33</v>
      </c>
      <c r="F454" s="17" t="s">
        <v>52</v>
      </c>
      <c r="G454" s="17" t="s">
        <v>22</v>
      </c>
      <c r="H454" s="17" t="s">
        <v>2594</v>
      </c>
      <c r="I454" s="17" t="s">
        <v>30</v>
      </c>
      <c r="J454" s="36">
        <v>10416.67</v>
      </c>
      <c r="K454" s="36">
        <v>15696.56</v>
      </c>
      <c r="L454" s="36">
        <f t="shared" si="35"/>
        <v>5279.8899999999994</v>
      </c>
      <c r="M454" s="37">
        <f t="shared" si="36"/>
        <v>0.506869277801831</v>
      </c>
      <c r="N454" s="17" t="str">
        <f t="shared" si="37"/>
        <v>Over Budget</v>
      </c>
      <c r="O454" s="38">
        <f t="shared" si="38"/>
        <v>15696.56</v>
      </c>
      <c r="P454" s="39">
        <f t="shared" si="39"/>
        <v>45870</v>
      </c>
    </row>
    <row r="455" spans="1:16" ht="15.5" x14ac:dyDescent="0.35">
      <c r="A455" s="17" t="s">
        <v>503</v>
      </c>
      <c r="B455" s="35">
        <v>45877</v>
      </c>
      <c r="C455" s="17" t="s">
        <v>12</v>
      </c>
      <c r="D455" s="17" t="s">
        <v>13</v>
      </c>
      <c r="E455" s="17" t="s">
        <v>14</v>
      </c>
      <c r="F455" s="17" t="s">
        <v>52</v>
      </c>
      <c r="G455" s="17" t="s">
        <v>38</v>
      </c>
      <c r="H455" s="17" t="s">
        <v>2591</v>
      </c>
      <c r="I455" s="17" t="s">
        <v>30</v>
      </c>
      <c r="J455" s="36">
        <v>2285.71</v>
      </c>
      <c r="K455" s="36">
        <v>4552.7</v>
      </c>
      <c r="L455" s="36">
        <f t="shared" si="35"/>
        <v>2266.9899999999998</v>
      </c>
      <c r="M455" s="37">
        <f t="shared" si="36"/>
        <v>0.99180998464372105</v>
      </c>
      <c r="N455" s="17" t="str">
        <f t="shared" si="37"/>
        <v>Over Budget</v>
      </c>
      <c r="O455" s="38">
        <f t="shared" si="38"/>
        <v>-4552.7</v>
      </c>
      <c r="P455" s="39">
        <f t="shared" si="39"/>
        <v>45870</v>
      </c>
    </row>
    <row r="456" spans="1:16" ht="15.5" x14ac:dyDescent="0.35">
      <c r="A456" s="17" t="s">
        <v>504</v>
      </c>
      <c r="B456" s="35">
        <v>45940</v>
      </c>
      <c r="C456" s="17" t="s">
        <v>12</v>
      </c>
      <c r="D456" s="17" t="s">
        <v>36</v>
      </c>
      <c r="E456" s="17" t="s">
        <v>47</v>
      </c>
      <c r="F456" s="17" t="s">
        <v>52</v>
      </c>
      <c r="G456" s="17" t="s">
        <v>16</v>
      </c>
      <c r="H456" s="17" t="s">
        <v>2588</v>
      </c>
      <c r="I456" s="17" t="s">
        <v>39</v>
      </c>
      <c r="J456" s="36">
        <v>3500</v>
      </c>
      <c r="K456" s="36">
        <v>4128.42</v>
      </c>
      <c r="L456" s="36">
        <f t="shared" si="35"/>
        <v>628.42000000000007</v>
      </c>
      <c r="M456" s="37">
        <f t="shared" si="36"/>
        <v>0.17954857142857145</v>
      </c>
      <c r="N456" s="17" t="str">
        <f t="shared" si="37"/>
        <v>Over Budget</v>
      </c>
      <c r="O456" s="38">
        <f t="shared" si="38"/>
        <v>-4128.42</v>
      </c>
      <c r="P456" s="39">
        <f t="shared" si="39"/>
        <v>45931</v>
      </c>
    </row>
    <row r="457" spans="1:16" ht="15.5" x14ac:dyDescent="0.35">
      <c r="A457" s="17" t="s">
        <v>505</v>
      </c>
      <c r="B457" s="35">
        <v>46010</v>
      </c>
      <c r="C457" s="17" t="s">
        <v>25</v>
      </c>
      <c r="D457" s="17" t="s">
        <v>32</v>
      </c>
      <c r="E457" s="17" t="s">
        <v>27</v>
      </c>
      <c r="F457" s="17" t="s">
        <v>21</v>
      </c>
      <c r="G457" s="17" t="s">
        <v>38</v>
      </c>
      <c r="H457" s="17" t="s">
        <v>2589</v>
      </c>
      <c r="I457" s="17" t="s">
        <v>48</v>
      </c>
      <c r="J457" s="36">
        <v>9333.33</v>
      </c>
      <c r="K457" s="36">
        <v>509.26</v>
      </c>
      <c r="L457" s="36">
        <f t="shared" si="35"/>
        <v>-8824.07</v>
      </c>
      <c r="M457" s="37">
        <f t="shared" si="36"/>
        <v>-0.94543640908443183</v>
      </c>
      <c r="N457" s="17" t="str">
        <f t="shared" si="37"/>
        <v>Under Budget</v>
      </c>
      <c r="O457" s="38">
        <f t="shared" si="38"/>
        <v>509.26</v>
      </c>
      <c r="P457" s="39">
        <f t="shared" si="39"/>
        <v>45992</v>
      </c>
    </row>
    <row r="458" spans="1:16" ht="15.5" x14ac:dyDescent="0.35">
      <c r="A458" s="17" t="s">
        <v>506</v>
      </c>
      <c r="B458" s="35">
        <v>45806</v>
      </c>
      <c r="C458" s="17" t="s">
        <v>12</v>
      </c>
      <c r="D458" s="17" t="s">
        <v>26</v>
      </c>
      <c r="E458" s="17" t="s">
        <v>65</v>
      </c>
      <c r="F458" s="17" t="s">
        <v>52</v>
      </c>
      <c r="G458" s="17" t="s">
        <v>38</v>
      </c>
      <c r="H458" s="17" t="s">
        <v>2598</v>
      </c>
      <c r="I458" s="17" t="s">
        <v>23</v>
      </c>
      <c r="J458" s="36">
        <v>5500</v>
      </c>
      <c r="K458" s="36">
        <v>2990.47</v>
      </c>
      <c r="L458" s="36">
        <f t="shared" si="35"/>
        <v>-2509.5300000000002</v>
      </c>
      <c r="M458" s="37">
        <f t="shared" si="36"/>
        <v>-0.45627818181818186</v>
      </c>
      <c r="N458" s="17" t="str">
        <f t="shared" si="37"/>
        <v>Under Budget</v>
      </c>
      <c r="O458" s="38">
        <f t="shared" si="38"/>
        <v>-2990.47</v>
      </c>
      <c r="P458" s="39">
        <f t="shared" si="39"/>
        <v>45778</v>
      </c>
    </row>
    <row r="459" spans="1:16" ht="15.5" x14ac:dyDescent="0.35">
      <c r="A459" s="17" t="s">
        <v>507</v>
      </c>
      <c r="B459" s="35">
        <v>45932</v>
      </c>
      <c r="C459" s="17" t="s">
        <v>12</v>
      </c>
      <c r="D459" s="17" t="s">
        <v>32</v>
      </c>
      <c r="E459" s="17" t="s">
        <v>14</v>
      </c>
      <c r="F459" s="17" t="s">
        <v>15</v>
      </c>
      <c r="G459" s="17" t="s">
        <v>82</v>
      </c>
      <c r="H459" s="17" t="s">
        <v>2593</v>
      </c>
      <c r="I459" s="17" t="s">
        <v>39</v>
      </c>
      <c r="J459" s="36">
        <v>2666.67</v>
      </c>
      <c r="K459" s="36">
        <v>1606.82</v>
      </c>
      <c r="L459" s="36">
        <f t="shared" si="35"/>
        <v>-1059.8500000000001</v>
      </c>
      <c r="M459" s="37">
        <f t="shared" si="36"/>
        <v>-0.39744325319593354</v>
      </c>
      <c r="N459" s="17" t="str">
        <f t="shared" si="37"/>
        <v>Under Budget</v>
      </c>
      <c r="O459" s="38">
        <f t="shared" si="38"/>
        <v>-1606.82</v>
      </c>
      <c r="P459" s="39">
        <f t="shared" si="39"/>
        <v>45931</v>
      </c>
    </row>
    <row r="460" spans="1:16" ht="15.5" x14ac:dyDescent="0.35">
      <c r="A460" s="17" t="s">
        <v>508</v>
      </c>
      <c r="B460" s="35">
        <v>45871</v>
      </c>
      <c r="C460" s="17" t="s">
        <v>12</v>
      </c>
      <c r="D460" s="17" t="s">
        <v>36</v>
      </c>
      <c r="E460" s="17" t="s">
        <v>45</v>
      </c>
      <c r="F460" s="17" t="s">
        <v>34</v>
      </c>
      <c r="G460" s="17" t="s">
        <v>38</v>
      </c>
      <c r="H460" s="17" t="s">
        <v>2598</v>
      </c>
      <c r="I460" s="17" t="s">
        <v>39</v>
      </c>
      <c r="J460" s="36">
        <v>8181.82</v>
      </c>
      <c r="K460" s="36">
        <v>7335.97</v>
      </c>
      <c r="L460" s="36">
        <f t="shared" si="35"/>
        <v>-845.84999999999945</v>
      </c>
      <c r="M460" s="37">
        <f t="shared" si="36"/>
        <v>-0.10338164369296801</v>
      </c>
      <c r="N460" s="17" t="str">
        <f t="shared" si="37"/>
        <v>Under Budget</v>
      </c>
      <c r="O460" s="38">
        <f t="shared" si="38"/>
        <v>-7335.97</v>
      </c>
      <c r="P460" s="39">
        <f t="shared" si="39"/>
        <v>45870</v>
      </c>
    </row>
    <row r="461" spans="1:16" ht="15.5" x14ac:dyDescent="0.35">
      <c r="A461" s="17" t="s">
        <v>509</v>
      </c>
      <c r="B461" s="35">
        <v>46061</v>
      </c>
      <c r="C461" s="17" t="s">
        <v>25</v>
      </c>
      <c r="D461" s="17" t="s">
        <v>13</v>
      </c>
      <c r="E461" s="17" t="s">
        <v>27</v>
      </c>
      <c r="F461" s="17" t="s">
        <v>34</v>
      </c>
      <c r="G461" s="17" t="s">
        <v>38</v>
      </c>
      <c r="H461" s="17" t="s">
        <v>2589</v>
      </c>
      <c r="I461" s="17" t="s">
        <v>23</v>
      </c>
      <c r="J461" s="36">
        <v>12933.33</v>
      </c>
      <c r="K461" s="36">
        <v>2644.07</v>
      </c>
      <c r="L461" s="36">
        <f t="shared" si="35"/>
        <v>-10289.26</v>
      </c>
      <c r="M461" s="37">
        <f t="shared" si="36"/>
        <v>-0.79556154524782097</v>
      </c>
      <c r="N461" s="17" t="str">
        <f t="shared" si="37"/>
        <v>Under Budget</v>
      </c>
      <c r="O461" s="38">
        <f t="shared" si="38"/>
        <v>2644.07</v>
      </c>
      <c r="P461" s="39">
        <f t="shared" si="39"/>
        <v>46054</v>
      </c>
    </row>
    <row r="462" spans="1:16" ht="15.5" x14ac:dyDescent="0.35">
      <c r="A462" s="17" t="s">
        <v>510</v>
      </c>
      <c r="B462" s="35">
        <v>45691</v>
      </c>
      <c r="C462" s="17" t="s">
        <v>25</v>
      </c>
      <c r="D462" s="17" t="s">
        <v>36</v>
      </c>
      <c r="E462" s="17" t="s">
        <v>33</v>
      </c>
      <c r="F462" s="17" t="s">
        <v>52</v>
      </c>
      <c r="G462" s="17" t="s">
        <v>38</v>
      </c>
      <c r="H462" s="17" t="s">
        <v>2586</v>
      </c>
      <c r="I462" s="17" t="s">
        <v>30</v>
      </c>
      <c r="J462" s="36">
        <v>13472.22</v>
      </c>
      <c r="K462" s="36">
        <v>4938</v>
      </c>
      <c r="L462" s="36">
        <f t="shared" si="35"/>
        <v>-8534.2199999999993</v>
      </c>
      <c r="M462" s="37">
        <f t="shared" si="36"/>
        <v>-0.63346798077822364</v>
      </c>
      <c r="N462" s="17" t="str">
        <f t="shared" si="37"/>
        <v>Under Budget</v>
      </c>
      <c r="O462" s="38">
        <f t="shared" si="38"/>
        <v>4938</v>
      </c>
      <c r="P462" s="39">
        <f t="shared" si="39"/>
        <v>45689</v>
      </c>
    </row>
    <row r="463" spans="1:16" ht="15.5" x14ac:dyDescent="0.35">
      <c r="A463" s="17" t="s">
        <v>511</v>
      </c>
      <c r="B463" s="35">
        <v>45988</v>
      </c>
      <c r="C463" s="17" t="s">
        <v>12</v>
      </c>
      <c r="D463" s="17" t="s">
        <v>2585</v>
      </c>
      <c r="E463" s="17" t="s">
        <v>45</v>
      </c>
      <c r="F463" s="17" t="s">
        <v>34</v>
      </c>
      <c r="G463" s="17" t="s">
        <v>16</v>
      </c>
      <c r="H463" s="17" t="s">
        <v>2592</v>
      </c>
      <c r="I463" s="17" t="s">
        <v>48</v>
      </c>
      <c r="J463" s="36">
        <v>9947.3700000000008</v>
      </c>
      <c r="K463" s="36">
        <v>2386.83</v>
      </c>
      <c r="L463" s="36">
        <f t="shared" si="35"/>
        <v>-7560.5400000000009</v>
      </c>
      <c r="M463" s="37">
        <f t="shared" si="36"/>
        <v>-0.76005416507076751</v>
      </c>
      <c r="N463" s="17" t="str">
        <f t="shared" si="37"/>
        <v>Under Budget</v>
      </c>
      <c r="O463" s="38">
        <f t="shared" si="38"/>
        <v>-2386.83</v>
      </c>
      <c r="P463" s="39">
        <f t="shared" si="39"/>
        <v>45962</v>
      </c>
    </row>
    <row r="464" spans="1:16" ht="15.5" x14ac:dyDescent="0.35">
      <c r="A464" s="17" t="s">
        <v>512</v>
      </c>
      <c r="B464" s="35">
        <v>45812</v>
      </c>
      <c r="C464" s="17" t="s">
        <v>25</v>
      </c>
      <c r="D464" s="17" t="s">
        <v>32</v>
      </c>
      <c r="E464" s="17" t="s">
        <v>33</v>
      </c>
      <c r="F464" s="17" t="s">
        <v>52</v>
      </c>
      <c r="G464" s="17" t="s">
        <v>22</v>
      </c>
      <c r="H464" s="17" t="s">
        <v>2589</v>
      </c>
      <c r="I464" s="17" t="s">
        <v>39</v>
      </c>
      <c r="J464" s="36">
        <v>9615.3799999999992</v>
      </c>
      <c r="K464" s="36">
        <v>22130.29</v>
      </c>
      <c r="L464" s="36">
        <f t="shared" si="35"/>
        <v>12514.910000000002</v>
      </c>
      <c r="M464" s="37">
        <f t="shared" si="36"/>
        <v>1.3015512647446073</v>
      </c>
      <c r="N464" s="17" t="str">
        <f t="shared" si="37"/>
        <v>Over Budget</v>
      </c>
      <c r="O464" s="38">
        <f t="shared" si="38"/>
        <v>22130.29</v>
      </c>
      <c r="P464" s="39">
        <f t="shared" si="39"/>
        <v>45809</v>
      </c>
    </row>
    <row r="465" spans="1:16" ht="15.5" x14ac:dyDescent="0.35">
      <c r="A465" s="17" t="s">
        <v>513</v>
      </c>
      <c r="B465" s="35">
        <v>45951</v>
      </c>
      <c r="C465" s="17" t="s">
        <v>25</v>
      </c>
      <c r="D465" s="17" t="s">
        <v>26</v>
      </c>
      <c r="E465" s="17" t="s">
        <v>33</v>
      </c>
      <c r="F465" s="17" t="s">
        <v>21</v>
      </c>
      <c r="G465" s="17" t="s">
        <v>82</v>
      </c>
      <c r="H465" s="17" t="s">
        <v>2597</v>
      </c>
      <c r="I465" s="17" t="s">
        <v>17</v>
      </c>
      <c r="J465" s="36">
        <v>8928.57</v>
      </c>
      <c r="K465" s="36">
        <v>11200.26</v>
      </c>
      <c r="L465" s="36">
        <f t="shared" si="35"/>
        <v>2271.6900000000005</v>
      </c>
      <c r="M465" s="37">
        <f t="shared" si="36"/>
        <v>0.2544293207086914</v>
      </c>
      <c r="N465" s="17" t="str">
        <f t="shared" si="37"/>
        <v>Over Budget</v>
      </c>
      <c r="O465" s="38">
        <f t="shared" si="38"/>
        <v>11200.26</v>
      </c>
      <c r="P465" s="39">
        <f t="shared" si="39"/>
        <v>45931</v>
      </c>
    </row>
    <row r="466" spans="1:16" ht="15.5" x14ac:dyDescent="0.35">
      <c r="A466" s="17" t="s">
        <v>514</v>
      </c>
      <c r="B466" s="35">
        <v>46180</v>
      </c>
      <c r="C466" s="17" t="s">
        <v>12</v>
      </c>
      <c r="D466" s="17" t="s">
        <v>19</v>
      </c>
      <c r="E466" s="17" t="s">
        <v>14</v>
      </c>
      <c r="F466" s="17" t="s">
        <v>21</v>
      </c>
      <c r="G466" s="17" t="s">
        <v>29</v>
      </c>
      <c r="H466" s="17" t="s">
        <v>60</v>
      </c>
      <c r="I466" s="17" t="s">
        <v>48</v>
      </c>
      <c r="J466" s="36">
        <v>3555.56</v>
      </c>
      <c r="K466" s="36">
        <v>5152.32</v>
      </c>
      <c r="L466" s="36">
        <f t="shared" si="35"/>
        <v>1596.7599999999998</v>
      </c>
      <c r="M466" s="37">
        <f t="shared" si="36"/>
        <v>0.44908818863976413</v>
      </c>
      <c r="N466" s="17" t="str">
        <f t="shared" si="37"/>
        <v>Over Budget</v>
      </c>
      <c r="O466" s="38">
        <f t="shared" si="38"/>
        <v>-5152.32</v>
      </c>
      <c r="P466" s="39">
        <f t="shared" si="39"/>
        <v>46174</v>
      </c>
    </row>
    <row r="467" spans="1:16" ht="15.5" x14ac:dyDescent="0.35">
      <c r="A467" s="17" t="s">
        <v>515</v>
      </c>
      <c r="B467" s="35">
        <v>45748</v>
      </c>
      <c r="C467" s="17" t="s">
        <v>12</v>
      </c>
      <c r="D467" s="17" t="s">
        <v>2584</v>
      </c>
      <c r="E467" s="17" t="s">
        <v>14</v>
      </c>
      <c r="F467" s="17" t="s">
        <v>21</v>
      </c>
      <c r="G467" s="17" t="s">
        <v>29</v>
      </c>
      <c r="H467" s="17" t="s">
        <v>2592</v>
      </c>
      <c r="I467" s="17" t="s">
        <v>23</v>
      </c>
      <c r="J467" s="36">
        <v>5333.33</v>
      </c>
      <c r="K467" s="36">
        <v>5765.13</v>
      </c>
      <c r="L467" s="36">
        <f t="shared" si="35"/>
        <v>431.80000000000018</v>
      </c>
      <c r="M467" s="37">
        <f t="shared" si="36"/>
        <v>8.0962550601594158E-2</v>
      </c>
      <c r="N467" s="17" t="str">
        <f t="shared" si="37"/>
        <v>Over Budget</v>
      </c>
      <c r="O467" s="38">
        <f t="shared" si="38"/>
        <v>-5765.13</v>
      </c>
      <c r="P467" s="39">
        <f t="shared" si="39"/>
        <v>45748</v>
      </c>
    </row>
    <row r="468" spans="1:16" ht="15.5" x14ac:dyDescent="0.35">
      <c r="A468" s="17" t="s">
        <v>516</v>
      </c>
      <c r="B468" s="35">
        <v>45965</v>
      </c>
      <c r="C468" s="17" t="s">
        <v>12</v>
      </c>
      <c r="D468" s="17" t="s">
        <v>19</v>
      </c>
      <c r="E468" s="17" t="s">
        <v>74</v>
      </c>
      <c r="F468" s="17" t="s">
        <v>34</v>
      </c>
      <c r="G468" s="17" t="s">
        <v>38</v>
      </c>
      <c r="H468" s="17" t="s">
        <v>2591</v>
      </c>
      <c r="I468" s="17" t="s">
        <v>30</v>
      </c>
      <c r="J468" s="36">
        <v>4666.67</v>
      </c>
      <c r="K468" s="36">
        <v>3505.13</v>
      </c>
      <c r="L468" s="36">
        <f t="shared" si="35"/>
        <v>-1161.54</v>
      </c>
      <c r="M468" s="37">
        <f t="shared" si="36"/>
        <v>-0.24890125078482087</v>
      </c>
      <c r="N468" s="17" t="str">
        <f t="shared" si="37"/>
        <v>Under Budget</v>
      </c>
      <c r="O468" s="38">
        <f t="shared" si="38"/>
        <v>-3505.13</v>
      </c>
      <c r="P468" s="39">
        <f t="shared" si="39"/>
        <v>45962</v>
      </c>
    </row>
    <row r="469" spans="1:16" ht="15.5" x14ac:dyDescent="0.35">
      <c r="A469" s="17" t="s">
        <v>517</v>
      </c>
      <c r="B469" s="35">
        <v>45778</v>
      </c>
      <c r="C469" s="17" t="s">
        <v>12</v>
      </c>
      <c r="D469" s="17" t="s">
        <v>2584</v>
      </c>
      <c r="E469" s="17" t="s">
        <v>51</v>
      </c>
      <c r="F469" s="17" t="s">
        <v>52</v>
      </c>
      <c r="G469" s="17" t="s">
        <v>82</v>
      </c>
      <c r="H469" s="17" t="s">
        <v>2598</v>
      </c>
      <c r="I469" s="17" t="s">
        <v>48</v>
      </c>
      <c r="J469" s="36">
        <v>2307.69</v>
      </c>
      <c r="K469" s="36">
        <v>2083.9499999999998</v>
      </c>
      <c r="L469" s="36">
        <f t="shared" si="35"/>
        <v>-223.74000000000024</v>
      </c>
      <c r="M469" s="37">
        <f t="shared" si="36"/>
        <v>-9.6954096954097055E-2</v>
      </c>
      <c r="N469" s="17" t="str">
        <f t="shared" si="37"/>
        <v>Under Budget</v>
      </c>
      <c r="O469" s="38">
        <f t="shared" si="38"/>
        <v>-2083.9499999999998</v>
      </c>
      <c r="P469" s="39">
        <f t="shared" si="39"/>
        <v>45778</v>
      </c>
    </row>
    <row r="470" spans="1:16" ht="15.5" x14ac:dyDescent="0.35">
      <c r="A470" s="17" t="s">
        <v>518</v>
      </c>
      <c r="B470" s="35">
        <v>45665</v>
      </c>
      <c r="C470" s="17" t="s">
        <v>12</v>
      </c>
      <c r="D470" s="17" t="s">
        <v>19</v>
      </c>
      <c r="E470" s="17" t="s">
        <v>65</v>
      </c>
      <c r="F470" s="17" t="s">
        <v>52</v>
      </c>
      <c r="G470" s="17" t="s">
        <v>38</v>
      </c>
      <c r="H470" s="17" t="s">
        <v>2587</v>
      </c>
      <c r="I470" s="17" t="s">
        <v>48</v>
      </c>
      <c r="J470" s="36">
        <v>3810.71</v>
      </c>
      <c r="K470" s="36">
        <v>2993.27</v>
      </c>
      <c r="L470" s="36">
        <f t="shared" si="35"/>
        <v>-817.44</v>
      </c>
      <c r="M470" s="37">
        <f t="shared" si="36"/>
        <v>-0.21451120657305334</v>
      </c>
      <c r="N470" s="17" t="str">
        <f t="shared" si="37"/>
        <v>Under Budget</v>
      </c>
      <c r="O470" s="38">
        <f t="shared" si="38"/>
        <v>-2993.27</v>
      </c>
      <c r="P470" s="39">
        <f t="shared" si="39"/>
        <v>45658</v>
      </c>
    </row>
    <row r="471" spans="1:16" ht="15.5" x14ac:dyDescent="0.35">
      <c r="A471" s="17" t="s">
        <v>519</v>
      </c>
      <c r="B471" s="35">
        <v>46071</v>
      </c>
      <c r="C471" s="17" t="s">
        <v>12</v>
      </c>
      <c r="D471" s="17" t="s">
        <v>26</v>
      </c>
      <c r="E471" s="17" t="s">
        <v>37</v>
      </c>
      <c r="F471" s="17" t="s">
        <v>52</v>
      </c>
      <c r="G471" s="17" t="s">
        <v>29</v>
      </c>
      <c r="H471" s="17" t="s">
        <v>2590</v>
      </c>
      <c r="I471" s="17" t="s">
        <v>23</v>
      </c>
      <c r="J471" s="36">
        <v>3880</v>
      </c>
      <c r="K471" s="36">
        <v>974.86</v>
      </c>
      <c r="L471" s="36">
        <f t="shared" si="35"/>
        <v>-2905.14</v>
      </c>
      <c r="M471" s="37">
        <f t="shared" si="36"/>
        <v>-0.74874742268041239</v>
      </c>
      <c r="N471" s="17" t="str">
        <f t="shared" si="37"/>
        <v>Under Budget</v>
      </c>
      <c r="O471" s="38">
        <f t="shared" si="38"/>
        <v>-974.86</v>
      </c>
      <c r="P471" s="39">
        <f t="shared" si="39"/>
        <v>46054</v>
      </c>
    </row>
    <row r="472" spans="1:16" ht="15.5" x14ac:dyDescent="0.35">
      <c r="A472" s="17" t="s">
        <v>520</v>
      </c>
      <c r="B472" s="35">
        <v>45740</v>
      </c>
      <c r="C472" s="17" t="s">
        <v>25</v>
      </c>
      <c r="D472" s="17" t="s">
        <v>32</v>
      </c>
      <c r="E472" s="17" t="s">
        <v>33</v>
      </c>
      <c r="F472" s="17" t="s">
        <v>21</v>
      </c>
      <c r="G472" s="17" t="s">
        <v>22</v>
      </c>
      <c r="H472" s="17" t="s">
        <v>60</v>
      </c>
      <c r="I472" s="17" t="s">
        <v>48</v>
      </c>
      <c r="J472" s="36">
        <v>8064.52</v>
      </c>
      <c r="K472" s="36">
        <v>1836.99</v>
      </c>
      <c r="L472" s="36">
        <f t="shared" si="35"/>
        <v>-6227.5300000000007</v>
      </c>
      <c r="M472" s="37">
        <f t="shared" si="36"/>
        <v>-0.77221334933759234</v>
      </c>
      <c r="N472" s="17" t="str">
        <f t="shared" si="37"/>
        <v>Under Budget</v>
      </c>
      <c r="O472" s="38">
        <f t="shared" si="38"/>
        <v>1836.99</v>
      </c>
      <c r="P472" s="39">
        <f t="shared" si="39"/>
        <v>45717</v>
      </c>
    </row>
    <row r="473" spans="1:16" ht="15.5" x14ac:dyDescent="0.35">
      <c r="A473" s="17" t="s">
        <v>521</v>
      </c>
      <c r="B473" s="35">
        <v>45779</v>
      </c>
      <c r="C473" s="17" t="s">
        <v>12</v>
      </c>
      <c r="D473" s="17" t="s">
        <v>19</v>
      </c>
      <c r="E473" s="17" t="s">
        <v>74</v>
      </c>
      <c r="F473" s="17" t="s">
        <v>21</v>
      </c>
      <c r="G473" s="17" t="s">
        <v>16</v>
      </c>
      <c r="H473" s="17" t="s">
        <v>2592</v>
      </c>
      <c r="I473" s="17" t="s">
        <v>48</v>
      </c>
      <c r="J473" s="36">
        <v>5000</v>
      </c>
      <c r="K473" s="36">
        <v>4132</v>
      </c>
      <c r="L473" s="36">
        <f t="shared" si="35"/>
        <v>-868</v>
      </c>
      <c r="M473" s="37">
        <f t="shared" si="36"/>
        <v>-0.1736</v>
      </c>
      <c r="N473" s="17" t="str">
        <f t="shared" si="37"/>
        <v>Under Budget</v>
      </c>
      <c r="O473" s="38">
        <f t="shared" si="38"/>
        <v>-4132</v>
      </c>
      <c r="P473" s="39">
        <f t="shared" si="39"/>
        <v>45778</v>
      </c>
    </row>
    <row r="474" spans="1:16" ht="15.5" x14ac:dyDescent="0.35">
      <c r="A474" s="17" t="s">
        <v>522</v>
      </c>
      <c r="B474" s="35">
        <v>45930</v>
      </c>
      <c r="C474" s="17" t="s">
        <v>25</v>
      </c>
      <c r="D474" s="17" t="s">
        <v>19</v>
      </c>
      <c r="E474" s="17" t="s">
        <v>27</v>
      </c>
      <c r="F474" s="17" t="s">
        <v>21</v>
      </c>
      <c r="G474" s="17" t="s">
        <v>29</v>
      </c>
      <c r="H474" s="17" t="s">
        <v>2591</v>
      </c>
      <c r="I474" s="17" t="s">
        <v>23</v>
      </c>
      <c r="J474" s="36">
        <v>10000</v>
      </c>
      <c r="K474" s="36">
        <v>771.3</v>
      </c>
      <c r="L474" s="36">
        <f t="shared" si="35"/>
        <v>-9228.7000000000007</v>
      </c>
      <c r="M474" s="37">
        <f t="shared" si="36"/>
        <v>-0.92287000000000008</v>
      </c>
      <c r="N474" s="17" t="str">
        <f t="shared" si="37"/>
        <v>Under Budget</v>
      </c>
      <c r="O474" s="38">
        <f t="shared" si="38"/>
        <v>771.3</v>
      </c>
      <c r="P474" s="39">
        <f t="shared" si="39"/>
        <v>45901</v>
      </c>
    </row>
    <row r="475" spans="1:16" ht="15.5" x14ac:dyDescent="0.35">
      <c r="A475" s="17" t="s">
        <v>523</v>
      </c>
      <c r="B475" s="35">
        <v>45852</v>
      </c>
      <c r="C475" s="17" t="s">
        <v>12</v>
      </c>
      <c r="D475" s="17" t="s">
        <v>36</v>
      </c>
      <c r="E475" s="17" t="s">
        <v>74</v>
      </c>
      <c r="F475" s="17" t="s">
        <v>34</v>
      </c>
      <c r="G475" s="17" t="s">
        <v>38</v>
      </c>
      <c r="H475" s="17" t="s">
        <v>2595</v>
      </c>
      <c r="I475" s="17" t="s">
        <v>48</v>
      </c>
      <c r="J475" s="36">
        <v>3333.33</v>
      </c>
      <c r="K475" s="36">
        <v>2191.67</v>
      </c>
      <c r="L475" s="36">
        <f t="shared" si="35"/>
        <v>-1141.6599999999999</v>
      </c>
      <c r="M475" s="37">
        <f t="shared" si="36"/>
        <v>-0.34249834249834249</v>
      </c>
      <c r="N475" s="17" t="str">
        <f t="shared" si="37"/>
        <v>Under Budget</v>
      </c>
      <c r="O475" s="38">
        <f t="shared" si="38"/>
        <v>-2191.67</v>
      </c>
      <c r="P475" s="39">
        <f t="shared" si="39"/>
        <v>45839</v>
      </c>
    </row>
    <row r="476" spans="1:16" ht="15.5" x14ac:dyDescent="0.35">
      <c r="A476" s="17" t="s">
        <v>524</v>
      </c>
      <c r="B476" s="35">
        <v>45663</v>
      </c>
      <c r="C476" s="17" t="s">
        <v>25</v>
      </c>
      <c r="D476" s="17" t="s">
        <v>26</v>
      </c>
      <c r="E476" s="17" t="s">
        <v>109</v>
      </c>
      <c r="F476" s="17" t="s">
        <v>21</v>
      </c>
      <c r="G476" s="17" t="s">
        <v>38</v>
      </c>
      <c r="H476" s="17" t="s">
        <v>2597</v>
      </c>
      <c r="I476" s="17" t="s">
        <v>23</v>
      </c>
      <c r="J476" s="36">
        <v>9700</v>
      </c>
      <c r="K476" s="36">
        <v>11855.96</v>
      </c>
      <c r="L476" s="36">
        <f t="shared" si="35"/>
        <v>2155.9599999999991</v>
      </c>
      <c r="M476" s="37">
        <f t="shared" si="36"/>
        <v>0.2222639175257731</v>
      </c>
      <c r="N476" s="17" t="str">
        <f t="shared" si="37"/>
        <v>Over Budget</v>
      </c>
      <c r="O476" s="38">
        <f t="shared" si="38"/>
        <v>11855.96</v>
      </c>
      <c r="P476" s="39">
        <f t="shared" si="39"/>
        <v>45658</v>
      </c>
    </row>
    <row r="477" spans="1:16" ht="15.5" x14ac:dyDescent="0.35">
      <c r="A477" s="17" t="s">
        <v>525</v>
      </c>
      <c r="B477" s="35">
        <v>45729</v>
      </c>
      <c r="C477" s="17" t="s">
        <v>25</v>
      </c>
      <c r="D477" s="17" t="s">
        <v>32</v>
      </c>
      <c r="E477" s="17" t="s">
        <v>33</v>
      </c>
      <c r="F477" s="17" t="s">
        <v>52</v>
      </c>
      <c r="G477" s="17" t="s">
        <v>43</v>
      </c>
      <c r="H477" s="17" t="s">
        <v>2597</v>
      </c>
      <c r="I477" s="17" t="s">
        <v>39</v>
      </c>
      <c r="J477" s="36">
        <v>8064.52</v>
      </c>
      <c r="K477" s="36">
        <v>895.55</v>
      </c>
      <c r="L477" s="36">
        <f t="shared" si="35"/>
        <v>-7168.97</v>
      </c>
      <c r="M477" s="37">
        <f t="shared" si="36"/>
        <v>-0.88895185330311044</v>
      </c>
      <c r="N477" s="17" t="str">
        <f t="shared" si="37"/>
        <v>Under Budget</v>
      </c>
      <c r="O477" s="38">
        <f t="shared" si="38"/>
        <v>895.55</v>
      </c>
      <c r="P477" s="39">
        <f t="shared" si="39"/>
        <v>45717</v>
      </c>
    </row>
    <row r="478" spans="1:16" ht="15.5" x14ac:dyDescent="0.35">
      <c r="A478" s="17" t="s">
        <v>526</v>
      </c>
      <c r="B478" s="35">
        <v>45994</v>
      </c>
      <c r="C478" s="17" t="s">
        <v>12</v>
      </c>
      <c r="D478" s="17" t="s">
        <v>36</v>
      </c>
      <c r="E478" s="17" t="s">
        <v>47</v>
      </c>
      <c r="F478" s="17" t="s">
        <v>52</v>
      </c>
      <c r="G478" s="17" t="s">
        <v>22</v>
      </c>
      <c r="H478" s="17" t="s">
        <v>60</v>
      </c>
      <c r="I478" s="17" t="s">
        <v>48</v>
      </c>
      <c r="J478" s="36">
        <v>6125</v>
      </c>
      <c r="K478" s="36">
        <v>2863.95</v>
      </c>
      <c r="L478" s="36">
        <f t="shared" si="35"/>
        <v>-3261.05</v>
      </c>
      <c r="M478" s="37">
        <f t="shared" si="36"/>
        <v>-0.53241632653061233</v>
      </c>
      <c r="N478" s="17" t="str">
        <f t="shared" si="37"/>
        <v>Under Budget</v>
      </c>
      <c r="O478" s="38">
        <f t="shared" si="38"/>
        <v>-2863.95</v>
      </c>
      <c r="P478" s="39">
        <f t="shared" si="39"/>
        <v>45992</v>
      </c>
    </row>
    <row r="479" spans="1:16" ht="15.5" x14ac:dyDescent="0.35">
      <c r="A479" s="17" t="s">
        <v>527</v>
      </c>
      <c r="B479" s="35">
        <v>46199</v>
      </c>
      <c r="C479" s="17" t="s">
        <v>25</v>
      </c>
      <c r="D479" s="17" t="s">
        <v>13</v>
      </c>
      <c r="E479" s="17" t="s">
        <v>109</v>
      </c>
      <c r="F479" s="17" t="s">
        <v>34</v>
      </c>
      <c r="G479" s="17" t="s">
        <v>22</v>
      </c>
      <c r="H479" s="17" t="s">
        <v>2590</v>
      </c>
      <c r="I479" s="17" t="s">
        <v>23</v>
      </c>
      <c r="J479" s="36">
        <v>4761.8999999999996</v>
      </c>
      <c r="K479" s="36">
        <v>13949.05</v>
      </c>
      <c r="L479" s="36">
        <f t="shared" si="35"/>
        <v>9187.15</v>
      </c>
      <c r="M479" s="37">
        <f t="shared" si="36"/>
        <v>1.9293034293034295</v>
      </c>
      <c r="N479" s="17" t="str">
        <f t="shared" si="37"/>
        <v>Over Budget</v>
      </c>
      <c r="O479" s="38">
        <f t="shared" si="38"/>
        <v>13949.05</v>
      </c>
      <c r="P479" s="39">
        <f t="shared" si="39"/>
        <v>46174</v>
      </c>
    </row>
    <row r="480" spans="1:16" ht="15.5" x14ac:dyDescent="0.35">
      <c r="A480" s="17" t="s">
        <v>528</v>
      </c>
      <c r="B480" s="35">
        <v>45957</v>
      </c>
      <c r="C480" s="17" t="s">
        <v>12</v>
      </c>
      <c r="D480" s="17" t="s">
        <v>26</v>
      </c>
      <c r="E480" s="17" t="s">
        <v>65</v>
      </c>
      <c r="F480" s="17" t="s">
        <v>34</v>
      </c>
      <c r="G480" s="17" t="s">
        <v>22</v>
      </c>
      <c r="H480" s="17" t="s">
        <v>2591</v>
      </c>
      <c r="I480" s="17" t="s">
        <v>39</v>
      </c>
      <c r="J480" s="36">
        <v>3928.57</v>
      </c>
      <c r="K480" s="36">
        <v>8439.7800000000007</v>
      </c>
      <c r="L480" s="36">
        <f t="shared" si="35"/>
        <v>4511.2100000000009</v>
      </c>
      <c r="M480" s="37">
        <f t="shared" si="36"/>
        <v>1.1483084175666975</v>
      </c>
      <c r="N480" s="17" t="str">
        <f t="shared" si="37"/>
        <v>Over Budget</v>
      </c>
      <c r="O480" s="38">
        <f t="shared" si="38"/>
        <v>-8439.7800000000007</v>
      </c>
      <c r="P480" s="39">
        <f t="shared" si="39"/>
        <v>45931</v>
      </c>
    </row>
    <row r="481" spans="1:16" ht="15.5" x14ac:dyDescent="0.35">
      <c r="A481" s="17" t="s">
        <v>529</v>
      </c>
      <c r="B481" s="35">
        <v>46086</v>
      </c>
      <c r="C481" s="17" t="s">
        <v>12</v>
      </c>
      <c r="D481" s="17" t="s">
        <v>2584</v>
      </c>
      <c r="E481" s="17" t="s">
        <v>65</v>
      </c>
      <c r="F481" s="17" t="s">
        <v>52</v>
      </c>
      <c r="G481" s="17" t="s">
        <v>16</v>
      </c>
      <c r="H481" s="17" t="s">
        <v>2590</v>
      </c>
      <c r="I481" s="17" t="s">
        <v>23</v>
      </c>
      <c r="J481" s="36">
        <v>5000</v>
      </c>
      <c r="K481" s="36">
        <v>6264.65</v>
      </c>
      <c r="L481" s="36">
        <f t="shared" si="35"/>
        <v>1264.6499999999996</v>
      </c>
      <c r="M481" s="37">
        <f t="shared" si="36"/>
        <v>0.25292999999999993</v>
      </c>
      <c r="N481" s="17" t="str">
        <f t="shared" si="37"/>
        <v>Over Budget</v>
      </c>
      <c r="O481" s="38">
        <f t="shared" si="38"/>
        <v>-6264.65</v>
      </c>
      <c r="P481" s="39">
        <f t="shared" si="39"/>
        <v>46082</v>
      </c>
    </row>
    <row r="482" spans="1:16" ht="15.5" x14ac:dyDescent="0.35">
      <c r="A482" s="17" t="s">
        <v>530</v>
      </c>
      <c r="B482" s="35">
        <v>45852</v>
      </c>
      <c r="C482" s="17" t="s">
        <v>12</v>
      </c>
      <c r="D482" s="17" t="s">
        <v>2585</v>
      </c>
      <c r="E482" s="17" t="s">
        <v>77</v>
      </c>
      <c r="F482" s="17" t="s">
        <v>34</v>
      </c>
      <c r="G482" s="17" t="s">
        <v>43</v>
      </c>
      <c r="H482" s="17" t="s">
        <v>2591</v>
      </c>
      <c r="I482" s="17" t="s">
        <v>39</v>
      </c>
      <c r="J482" s="36">
        <v>2750</v>
      </c>
      <c r="K482" s="36">
        <v>3844.59</v>
      </c>
      <c r="L482" s="36">
        <f t="shared" si="35"/>
        <v>1094.5900000000001</v>
      </c>
      <c r="M482" s="37">
        <f t="shared" si="36"/>
        <v>0.39803272727272732</v>
      </c>
      <c r="N482" s="17" t="str">
        <f t="shared" si="37"/>
        <v>Over Budget</v>
      </c>
      <c r="O482" s="38">
        <f t="shared" si="38"/>
        <v>-3844.59</v>
      </c>
      <c r="P482" s="39">
        <f t="shared" si="39"/>
        <v>45839</v>
      </c>
    </row>
    <row r="483" spans="1:16" ht="15.5" x14ac:dyDescent="0.35">
      <c r="A483" s="17" t="s">
        <v>531</v>
      </c>
      <c r="B483" s="35">
        <v>45939</v>
      </c>
      <c r="C483" s="17" t="s">
        <v>25</v>
      </c>
      <c r="D483" s="17" t="s">
        <v>32</v>
      </c>
      <c r="E483" s="17" t="s">
        <v>33</v>
      </c>
      <c r="F483" s="17" t="s">
        <v>28</v>
      </c>
      <c r="G483" s="17" t="s">
        <v>43</v>
      </c>
      <c r="H483" s="17" t="s">
        <v>2598</v>
      </c>
      <c r="I483" s="17" t="s">
        <v>23</v>
      </c>
      <c r="J483" s="36">
        <v>8928.57</v>
      </c>
      <c r="K483" s="36">
        <v>9421.8799999999992</v>
      </c>
      <c r="L483" s="36">
        <f t="shared" si="35"/>
        <v>493.30999999999949</v>
      </c>
      <c r="M483" s="37">
        <f t="shared" si="36"/>
        <v>5.5250728840116559E-2</v>
      </c>
      <c r="N483" s="17" t="str">
        <f t="shared" si="37"/>
        <v>Over Budget</v>
      </c>
      <c r="O483" s="38">
        <f t="shared" si="38"/>
        <v>9421.8799999999992</v>
      </c>
      <c r="P483" s="39">
        <f t="shared" si="39"/>
        <v>45931</v>
      </c>
    </row>
    <row r="484" spans="1:16" ht="15.5" x14ac:dyDescent="0.35">
      <c r="A484" s="17" t="s">
        <v>532</v>
      </c>
      <c r="B484" s="35">
        <v>45865</v>
      </c>
      <c r="C484" s="17" t="s">
        <v>12</v>
      </c>
      <c r="D484" s="17" t="s">
        <v>36</v>
      </c>
      <c r="E484" s="17" t="s">
        <v>41</v>
      </c>
      <c r="F484" s="17" t="s">
        <v>52</v>
      </c>
      <c r="G484" s="17" t="s">
        <v>43</v>
      </c>
      <c r="H484" s="17" t="s">
        <v>2596</v>
      </c>
      <c r="I484" s="17" t="s">
        <v>48</v>
      </c>
      <c r="J484" s="36">
        <v>5909.09</v>
      </c>
      <c r="K484" s="36">
        <v>6964.67</v>
      </c>
      <c r="L484" s="36">
        <f t="shared" si="35"/>
        <v>1055.58</v>
      </c>
      <c r="M484" s="37">
        <f t="shared" si="36"/>
        <v>0.17863664286717582</v>
      </c>
      <c r="N484" s="17" t="str">
        <f t="shared" si="37"/>
        <v>Over Budget</v>
      </c>
      <c r="O484" s="38">
        <f t="shared" si="38"/>
        <v>-6964.67</v>
      </c>
      <c r="P484" s="39">
        <f t="shared" si="39"/>
        <v>45839</v>
      </c>
    </row>
    <row r="485" spans="1:16" ht="15.5" x14ac:dyDescent="0.35">
      <c r="A485" s="17" t="s">
        <v>533</v>
      </c>
      <c r="B485" s="35">
        <v>45778</v>
      </c>
      <c r="C485" s="17" t="s">
        <v>25</v>
      </c>
      <c r="D485" s="17" t="s">
        <v>32</v>
      </c>
      <c r="E485" s="17" t="s">
        <v>109</v>
      </c>
      <c r="F485" s="17" t="s">
        <v>34</v>
      </c>
      <c r="G485" s="17" t="s">
        <v>38</v>
      </c>
      <c r="H485" s="17" t="s">
        <v>60</v>
      </c>
      <c r="I485" s="17" t="s">
        <v>23</v>
      </c>
      <c r="J485" s="36">
        <v>9090.91</v>
      </c>
      <c r="K485" s="36">
        <v>11351.97</v>
      </c>
      <c r="L485" s="36">
        <f t="shared" si="35"/>
        <v>2261.0599999999995</v>
      </c>
      <c r="M485" s="37">
        <f t="shared" si="36"/>
        <v>0.24871657512834244</v>
      </c>
      <c r="N485" s="17" t="str">
        <f t="shared" si="37"/>
        <v>Over Budget</v>
      </c>
      <c r="O485" s="38">
        <f t="shared" si="38"/>
        <v>11351.97</v>
      </c>
      <c r="P485" s="39">
        <f t="shared" si="39"/>
        <v>45778</v>
      </c>
    </row>
    <row r="486" spans="1:16" ht="15.5" x14ac:dyDescent="0.35">
      <c r="A486" s="17" t="s">
        <v>534</v>
      </c>
      <c r="B486" s="35">
        <v>45747</v>
      </c>
      <c r="C486" s="17" t="s">
        <v>25</v>
      </c>
      <c r="D486" s="17" t="s">
        <v>32</v>
      </c>
      <c r="E486" s="17" t="s">
        <v>169</v>
      </c>
      <c r="F486" s="17" t="s">
        <v>15</v>
      </c>
      <c r="G486" s="17" t="s">
        <v>38</v>
      </c>
      <c r="H486" s="17" t="s">
        <v>2587</v>
      </c>
      <c r="I486" s="17" t="s">
        <v>48</v>
      </c>
      <c r="J486" s="36">
        <v>2857.14</v>
      </c>
      <c r="K486" s="36">
        <v>109.46</v>
      </c>
      <c r="L486" s="36">
        <f t="shared" si="35"/>
        <v>-2747.68</v>
      </c>
      <c r="M486" s="37">
        <f t="shared" si="36"/>
        <v>-0.96168896168896167</v>
      </c>
      <c r="N486" s="17" t="str">
        <f t="shared" si="37"/>
        <v>Under Budget</v>
      </c>
      <c r="O486" s="38">
        <f t="shared" si="38"/>
        <v>109.46</v>
      </c>
      <c r="P486" s="39">
        <f t="shared" si="39"/>
        <v>45717</v>
      </c>
    </row>
    <row r="487" spans="1:16" ht="15.5" x14ac:dyDescent="0.35">
      <c r="A487" s="17" t="s">
        <v>535</v>
      </c>
      <c r="B487" s="35">
        <v>45852</v>
      </c>
      <c r="C487" s="17" t="s">
        <v>12</v>
      </c>
      <c r="D487" s="17" t="s">
        <v>2584</v>
      </c>
      <c r="E487" s="17" t="s">
        <v>41</v>
      </c>
      <c r="F487" s="17" t="s">
        <v>52</v>
      </c>
      <c r="G487" s="17" t="s">
        <v>29</v>
      </c>
      <c r="H487" s="17" t="s">
        <v>2591</v>
      </c>
      <c r="I487" s="17" t="s">
        <v>30</v>
      </c>
      <c r="J487" s="36">
        <v>5909.09</v>
      </c>
      <c r="K487" s="36">
        <v>11757.2</v>
      </c>
      <c r="L487" s="36">
        <f t="shared" si="35"/>
        <v>5848.1100000000006</v>
      </c>
      <c r="M487" s="37">
        <f t="shared" si="36"/>
        <v>0.98968030610466251</v>
      </c>
      <c r="N487" s="17" t="str">
        <f t="shared" si="37"/>
        <v>Over Budget</v>
      </c>
      <c r="O487" s="38">
        <f t="shared" si="38"/>
        <v>-11757.2</v>
      </c>
      <c r="P487" s="39">
        <f t="shared" si="39"/>
        <v>45839</v>
      </c>
    </row>
    <row r="488" spans="1:16" ht="15.5" x14ac:dyDescent="0.35">
      <c r="A488" s="17" t="s">
        <v>536</v>
      </c>
      <c r="B488" s="35">
        <v>46111</v>
      </c>
      <c r="C488" s="17" t="s">
        <v>25</v>
      </c>
      <c r="D488" s="17" t="s">
        <v>26</v>
      </c>
      <c r="E488" s="17" t="s">
        <v>33</v>
      </c>
      <c r="F488" s="17" t="s">
        <v>34</v>
      </c>
      <c r="G488" s="17" t="s">
        <v>29</v>
      </c>
      <c r="H488" s="17" t="s">
        <v>80</v>
      </c>
      <c r="I488" s="17" t="s">
        <v>39</v>
      </c>
      <c r="J488" s="36">
        <v>11363.64</v>
      </c>
      <c r="K488" s="36">
        <v>13090.14</v>
      </c>
      <c r="L488" s="36">
        <f t="shared" si="35"/>
        <v>1726.5</v>
      </c>
      <c r="M488" s="37">
        <f t="shared" si="36"/>
        <v>0.15193195138177557</v>
      </c>
      <c r="N488" s="17" t="str">
        <f t="shared" si="37"/>
        <v>Over Budget</v>
      </c>
      <c r="O488" s="38">
        <f t="shared" si="38"/>
        <v>13090.14</v>
      </c>
      <c r="P488" s="39">
        <f t="shared" si="39"/>
        <v>46082</v>
      </c>
    </row>
    <row r="489" spans="1:16" ht="15.5" x14ac:dyDescent="0.35">
      <c r="A489" s="17" t="s">
        <v>537</v>
      </c>
      <c r="B489" s="35">
        <v>46063</v>
      </c>
      <c r="C489" s="17" t="s">
        <v>12</v>
      </c>
      <c r="D489" s="17" t="s">
        <v>36</v>
      </c>
      <c r="E489" s="17" t="s">
        <v>45</v>
      </c>
      <c r="F489" s="17" t="s">
        <v>21</v>
      </c>
      <c r="G489" s="17" t="s">
        <v>43</v>
      </c>
      <c r="H489" s="17" t="s">
        <v>2589</v>
      </c>
      <c r="I489" s="17" t="s">
        <v>39</v>
      </c>
      <c r="J489" s="36">
        <v>9189.4699999999993</v>
      </c>
      <c r="K489" s="36">
        <v>3265.62</v>
      </c>
      <c r="L489" s="36">
        <f t="shared" si="35"/>
        <v>-5923.8499999999995</v>
      </c>
      <c r="M489" s="37">
        <f t="shared" si="36"/>
        <v>-0.6446345654319563</v>
      </c>
      <c r="N489" s="17" t="str">
        <f t="shared" si="37"/>
        <v>Under Budget</v>
      </c>
      <c r="O489" s="38">
        <f t="shared" si="38"/>
        <v>-3265.62</v>
      </c>
      <c r="P489" s="39">
        <f t="shared" si="39"/>
        <v>46054</v>
      </c>
    </row>
    <row r="490" spans="1:16" ht="15.5" x14ac:dyDescent="0.35">
      <c r="A490" s="17" t="s">
        <v>538</v>
      </c>
      <c r="B490" s="35">
        <v>45715</v>
      </c>
      <c r="C490" s="17" t="s">
        <v>12</v>
      </c>
      <c r="D490" s="17" t="s">
        <v>19</v>
      </c>
      <c r="E490" s="17" t="s">
        <v>51</v>
      </c>
      <c r="F490" s="17" t="s">
        <v>21</v>
      </c>
      <c r="G490" s="17" t="s">
        <v>22</v>
      </c>
      <c r="H490" s="17" t="s">
        <v>2594</v>
      </c>
      <c r="I490" s="17" t="s">
        <v>48</v>
      </c>
      <c r="J490" s="36">
        <v>7275</v>
      </c>
      <c r="K490" s="36">
        <v>4602.62</v>
      </c>
      <c r="L490" s="36">
        <f t="shared" si="35"/>
        <v>-2672.38</v>
      </c>
      <c r="M490" s="37">
        <f t="shared" si="36"/>
        <v>-0.36733745704467358</v>
      </c>
      <c r="N490" s="17" t="str">
        <f t="shared" si="37"/>
        <v>Under Budget</v>
      </c>
      <c r="O490" s="38">
        <f t="shared" si="38"/>
        <v>-4602.62</v>
      </c>
      <c r="P490" s="39">
        <f t="shared" si="39"/>
        <v>45689</v>
      </c>
    </row>
    <row r="491" spans="1:16" ht="15.5" x14ac:dyDescent="0.35">
      <c r="A491" s="17" t="s">
        <v>539</v>
      </c>
      <c r="B491" s="35">
        <v>46102</v>
      </c>
      <c r="C491" s="17" t="s">
        <v>12</v>
      </c>
      <c r="D491" s="17" t="s">
        <v>26</v>
      </c>
      <c r="E491" s="17" t="s">
        <v>20</v>
      </c>
      <c r="F491" s="17" t="s">
        <v>34</v>
      </c>
      <c r="G491" s="17" t="s">
        <v>43</v>
      </c>
      <c r="H491" s="17" t="s">
        <v>2596</v>
      </c>
      <c r="I491" s="17" t="s">
        <v>48</v>
      </c>
      <c r="J491" s="36">
        <v>2571.4299999999998</v>
      </c>
      <c r="K491" s="36">
        <v>957.73</v>
      </c>
      <c r="L491" s="36">
        <f t="shared" si="35"/>
        <v>-1613.6999999999998</v>
      </c>
      <c r="M491" s="37">
        <f t="shared" si="36"/>
        <v>-0.62754965136130481</v>
      </c>
      <c r="N491" s="17" t="str">
        <f t="shared" si="37"/>
        <v>Under Budget</v>
      </c>
      <c r="O491" s="38">
        <f t="shared" si="38"/>
        <v>-957.73</v>
      </c>
      <c r="P491" s="39">
        <f t="shared" si="39"/>
        <v>46082</v>
      </c>
    </row>
    <row r="492" spans="1:16" ht="15.5" x14ac:dyDescent="0.35">
      <c r="A492" s="17" t="s">
        <v>540</v>
      </c>
      <c r="B492" s="35">
        <v>45925</v>
      </c>
      <c r="C492" s="17" t="s">
        <v>12</v>
      </c>
      <c r="D492" s="17" t="s">
        <v>19</v>
      </c>
      <c r="E492" s="17" t="s">
        <v>65</v>
      </c>
      <c r="F492" s="17" t="s">
        <v>34</v>
      </c>
      <c r="G492" s="17" t="s">
        <v>22</v>
      </c>
      <c r="H492" s="17" t="s">
        <v>2598</v>
      </c>
      <c r="I492" s="17" t="s">
        <v>30</v>
      </c>
      <c r="J492" s="36">
        <v>6111.11</v>
      </c>
      <c r="K492" s="36">
        <v>2103.9699999999998</v>
      </c>
      <c r="L492" s="36">
        <f t="shared" si="35"/>
        <v>-4007.14</v>
      </c>
      <c r="M492" s="37">
        <f t="shared" si="36"/>
        <v>-0.65571393740253414</v>
      </c>
      <c r="N492" s="17" t="str">
        <f t="shared" si="37"/>
        <v>Under Budget</v>
      </c>
      <c r="O492" s="38">
        <f t="shared" si="38"/>
        <v>-2103.9699999999998</v>
      </c>
      <c r="P492" s="39">
        <f t="shared" si="39"/>
        <v>45901</v>
      </c>
    </row>
    <row r="493" spans="1:16" ht="15.5" x14ac:dyDescent="0.35">
      <c r="A493" s="17" t="s">
        <v>541</v>
      </c>
      <c r="B493" s="35">
        <v>45712</v>
      </c>
      <c r="C493" s="17" t="s">
        <v>12</v>
      </c>
      <c r="D493" s="17" t="s">
        <v>2585</v>
      </c>
      <c r="E493" s="17" t="s">
        <v>47</v>
      </c>
      <c r="F493" s="17" t="s">
        <v>52</v>
      </c>
      <c r="G493" s="17" t="s">
        <v>22</v>
      </c>
      <c r="H493" s="17" t="s">
        <v>2593</v>
      </c>
      <c r="I493" s="17" t="s">
        <v>23</v>
      </c>
      <c r="J493" s="36">
        <v>11316.67</v>
      </c>
      <c r="K493" s="36">
        <v>2599.81</v>
      </c>
      <c r="L493" s="36">
        <f t="shared" si="35"/>
        <v>-8716.86</v>
      </c>
      <c r="M493" s="37">
        <f t="shared" si="36"/>
        <v>-0.77026722525265834</v>
      </c>
      <c r="N493" s="17" t="str">
        <f t="shared" si="37"/>
        <v>Under Budget</v>
      </c>
      <c r="O493" s="38">
        <f t="shared" si="38"/>
        <v>-2599.81</v>
      </c>
      <c r="P493" s="39">
        <f t="shared" si="39"/>
        <v>45689</v>
      </c>
    </row>
    <row r="494" spans="1:16" ht="15.5" x14ac:dyDescent="0.35">
      <c r="A494" s="17" t="s">
        <v>542</v>
      </c>
      <c r="B494" s="35">
        <v>45902</v>
      </c>
      <c r="C494" s="17" t="s">
        <v>12</v>
      </c>
      <c r="D494" s="17" t="s">
        <v>36</v>
      </c>
      <c r="E494" s="17" t="s">
        <v>37</v>
      </c>
      <c r="F494" s="17" t="s">
        <v>52</v>
      </c>
      <c r="G494" s="17" t="s">
        <v>38</v>
      </c>
      <c r="H494" s="17" t="s">
        <v>2594</v>
      </c>
      <c r="I494" s="17" t="s">
        <v>39</v>
      </c>
      <c r="J494" s="36">
        <v>3500</v>
      </c>
      <c r="K494" s="36">
        <v>329.8</v>
      </c>
      <c r="L494" s="36">
        <f t="shared" si="35"/>
        <v>-3170.2</v>
      </c>
      <c r="M494" s="37">
        <f t="shared" si="36"/>
        <v>-0.90577142857142856</v>
      </c>
      <c r="N494" s="17" t="str">
        <f t="shared" si="37"/>
        <v>Under Budget</v>
      </c>
      <c r="O494" s="38">
        <f t="shared" si="38"/>
        <v>-329.8</v>
      </c>
      <c r="P494" s="39">
        <f t="shared" si="39"/>
        <v>45901</v>
      </c>
    </row>
    <row r="495" spans="1:16" ht="15.5" x14ac:dyDescent="0.35">
      <c r="A495" s="17" t="s">
        <v>543</v>
      </c>
      <c r="B495" s="35">
        <v>46111</v>
      </c>
      <c r="C495" s="17" t="s">
        <v>12</v>
      </c>
      <c r="D495" s="17" t="s">
        <v>36</v>
      </c>
      <c r="E495" s="17" t="s">
        <v>45</v>
      </c>
      <c r="F495" s="17" t="s">
        <v>28</v>
      </c>
      <c r="G495" s="17" t="s">
        <v>22</v>
      </c>
      <c r="H495" s="17" t="s">
        <v>2593</v>
      </c>
      <c r="I495" s="17" t="s">
        <v>30</v>
      </c>
      <c r="J495" s="36">
        <v>7200</v>
      </c>
      <c r="K495" s="36">
        <v>15862.83</v>
      </c>
      <c r="L495" s="36">
        <f t="shared" si="35"/>
        <v>8662.83</v>
      </c>
      <c r="M495" s="37">
        <f t="shared" si="36"/>
        <v>1.2031708333333333</v>
      </c>
      <c r="N495" s="17" t="str">
        <f t="shared" si="37"/>
        <v>Over Budget</v>
      </c>
      <c r="O495" s="38">
        <f t="shared" si="38"/>
        <v>-15862.83</v>
      </c>
      <c r="P495" s="39">
        <f t="shared" si="39"/>
        <v>46082</v>
      </c>
    </row>
    <row r="496" spans="1:16" ht="15.5" x14ac:dyDescent="0.35">
      <c r="A496" s="17" t="s">
        <v>544</v>
      </c>
      <c r="B496" s="35">
        <v>46002</v>
      </c>
      <c r="C496" s="17" t="s">
        <v>12</v>
      </c>
      <c r="D496" s="17" t="s">
        <v>2585</v>
      </c>
      <c r="E496" s="17" t="s">
        <v>45</v>
      </c>
      <c r="F496" s="17" t="s">
        <v>15</v>
      </c>
      <c r="G496" s="17" t="s">
        <v>38</v>
      </c>
      <c r="H496" s="17" t="s">
        <v>60</v>
      </c>
      <c r="I496" s="17" t="s">
        <v>48</v>
      </c>
      <c r="J496" s="36">
        <v>7875</v>
      </c>
      <c r="K496" s="36">
        <v>17812.14</v>
      </c>
      <c r="L496" s="36">
        <f t="shared" si="35"/>
        <v>9937.14</v>
      </c>
      <c r="M496" s="37">
        <f t="shared" si="36"/>
        <v>1.2618590476190474</v>
      </c>
      <c r="N496" s="17" t="str">
        <f t="shared" si="37"/>
        <v>Over Budget</v>
      </c>
      <c r="O496" s="38">
        <f t="shared" si="38"/>
        <v>-17812.14</v>
      </c>
      <c r="P496" s="39">
        <f t="shared" si="39"/>
        <v>45992</v>
      </c>
    </row>
    <row r="497" spans="1:16" ht="15.5" x14ac:dyDescent="0.35">
      <c r="A497" s="17" t="s">
        <v>545</v>
      </c>
      <c r="B497" s="35">
        <v>45843</v>
      </c>
      <c r="C497" s="17" t="s">
        <v>25</v>
      </c>
      <c r="D497" s="17" t="s">
        <v>32</v>
      </c>
      <c r="E497" s="17" t="s">
        <v>109</v>
      </c>
      <c r="F497" s="17" t="s">
        <v>52</v>
      </c>
      <c r="G497" s="17" t="s">
        <v>22</v>
      </c>
      <c r="H497" s="17" t="s">
        <v>2589</v>
      </c>
      <c r="I497" s="17" t="s">
        <v>23</v>
      </c>
      <c r="J497" s="36">
        <v>7142.86</v>
      </c>
      <c r="K497" s="36">
        <v>6535.15</v>
      </c>
      <c r="L497" s="36">
        <f t="shared" si="35"/>
        <v>-607.71</v>
      </c>
      <c r="M497" s="37">
        <f t="shared" si="36"/>
        <v>-8.507936596825362E-2</v>
      </c>
      <c r="N497" s="17" t="str">
        <f t="shared" si="37"/>
        <v>Under Budget</v>
      </c>
      <c r="O497" s="38">
        <f t="shared" si="38"/>
        <v>6535.15</v>
      </c>
      <c r="P497" s="39">
        <f t="shared" si="39"/>
        <v>45839</v>
      </c>
    </row>
    <row r="498" spans="1:16" ht="15.5" x14ac:dyDescent="0.35">
      <c r="A498" s="17" t="s">
        <v>546</v>
      </c>
      <c r="B498" s="35">
        <v>45761</v>
      </c>
      <c r="C498" s="17" t="s">
        <v>25</v>
      </c>
      <c r="D498" s="17" t="s">
        <v>32</v>
      </c>
      <c r="E498" s="17" t="s">
        <v>169</v>
      </c>
      <c r="F498" s="17" t="s">
        <v>52</v>
      </c>
      <c r="G498" s="17" t="s">
        <v>38</v>
      </c>
      <c r="H498" s="17" t="s">
        <v>2590</v>
      </c>
      <c r="I498" s="17" t="s">
        <v>23</v>
      </c>
      <c r="J498" s="36">
        <v>6666.67</v>
      </c>
      <c r="K498" s="36">
        <v>2657.25</v>
      </c>
      <c r="L498" s="36">
        <f t="shared" si="35"/>
        <v>-4009.42</v>
      </c>
      <c r="M498" s="37">
        <f t="shared" si="36"/>
        <v>-0.60141269929365038</v>
      </c>
      <c r="N498" s="17" t="str">
        <f t="shared" si="37"/>
        <v>Under Budget</v>
      </c>
      <c r="O498" s="38">
        <f t="shared" si="38"/>
        <v>2657.25</v>
      </c>
      <c r="P498" s="39">
        <f t="shared" si="39"/>
        <v>45748</v>
      </c>
    </row>
    <row r="499" spans="1:16" ht="15.5" x14ac:dyDescent="0.35">
      <c r="A499" s="17" t="s">
        <v>547</v>
      </c>
      <c r="B499" s="35">
        <v>46154</v>
      </c>
      <c r="C499" s="17" t="s">
        <v>25</v>
      </c>
      <c r="D499" s="17" t="s">
        <v>26</v>
      </c>
      <c r="E499" s="17" t="s">
        <v>109</v>
      </c>
      <c r="F499" s="17" t="s">
        <v>28</v>
      </c>
      <c r="G499" s="17" t="s">
        <v>22</v>
      </c>
      <c r="H499" s="17" t="s">
        <v>2597</v>
      </c>
      <c r="I499" s="17" t="s">
        <v>23</v>
      </c>
      <c r="J499" s="36">
        <v>5882.35</v>
      </c>
      <c r="K499" s="36">
        <v>2028.45</v>
      </c>
      <c r="L499" s="36">
        <f t="shared" si="35"/>
        <v>-3853.9000000000005</v>
      </c>
      <c r="M499" s="37">
        <f t="shared" si="36"/>
        <v>-0.65516332758166385</v>
      </c>
      <c r="N499" s="17" t="str">
        <f t="shared" si="37"/>
        <v>Under Budget</v>
      </c>
      <c r="O499" s="38">
        <f t="shared" si="38"/>
        <v>2028.45</v>
      </c>
      <c r="P499" s="39">
        <f t="shared" si="39"/>
        <v>46143</v>
      </c>
    </row>
    <row r="500" spans="1:16" ht="15.5" x14ac:dyDescent="0.35">
      <c r="A500" s="17" t="s">
        <v>548</v>
      </c>
      <c r="B500" s="35">
        <v>45662</v>
      </c>
      <c r="C500" s="17" t="s">
        <v>25</v>
      </c>
      <c r="D500" s="17" t="s">
        <v>32</v>
      </c>
      <c r="E500" s="17" t="s">
        <v>33</v>
      </c>
      <c r="F500" s="17" t="s">
        <v>15</v>
      </c>
      <c r="G500" s="17" t="s">
        <v>29</v>
      </c>
      <c r="H500" s="17" t="s">
        <v>2594</v>
      </c>
      <c r="I500" s="17" t="s">
        <v>48</v>
      </c>
      <c r="J500" s="36">
        <v>11022.73</v>
      </c>
      <c r="K500" s="36">
        <v>24764.880000000001</v>
      </c>
      <c r="L500" s="36">
        <f t="shared" si="35"/>
        <v>13742.150000000001</v>
      </c>
      <c r="M500" s="37">
        <f t="shared" si="36"/>
        <v>1.2467102069995366</v>
      </c>
      <c r="N500" s="17" t="str">
        <f t="shared" si="37"/>
        <v>Over Budget</v>
      </c>
      <c r="O500" s="38">
        <f t="shared" si="38"/>
        <v>24764.880000000001</v>
      </c>
      <c r="P500" s="39">
        <f t="shared" si="39"/>
        <v>45658</v>
      </c>
    </row>
    <row r="501" spans="1:16" ht="15.5" x14ac:dyDescent="0.35">
      <c r="A501" s="17" t="s">
        <v>549</v>
      </c>
      <c r="B501" s="35">
        <v>46051</v>
      </c>
      <c r="C501" s="17" t="s">
        <v>25</v>
      </c>
      <c r="D501" s="17" t="s">
        <v>32</v>
      </c>
      <c r="E501" s="17" t="s">
        <v>33</v>
      </c>
      <c r="F501" s="17" t="s">
        <v>28</v>
      </c>
      <c r="G501" s="17" t="s">
        <v>38</v>
      </c>
      <c r="H501" s="17" t="s">
        <v>2587</v>
      </c>
      <c r="I501" s="17" t="s">
        <v>23</v>
      </c>
      <c r="J501" s="36">
        <v>11547.62</v>
      </c>
      <c r="K501" s="36">
        <v>2742.75</v>
      </c>
      <c r="L501" s="36">
        <f t="shared" si="35"/>
        <v>-8804.8700000000008</v>
      </c>
      <c r="M501" s="37">
        <f t="shared" si="36"/>
        <v>-0.76248352474362679</v>
      </c>
      <c r="N501" s="17" t="str">
        <f t="shared" si="37"/>
        <v>Under Budget</v>
      </c>
      <c r="O501" s="38">
        <f t="shared" si="38"/>
        <v>2742.75</v>
      </c>
      <c r="P501" s="39">
        <f t="shared" si="39"/>
        <v>46023</v>
      </c>
    </row>
    <row r="502" spans="1:16" ht="15.5" x14ac:dyDescent="0.35">
      <c r="A502" s="17" t="s">
        <v>550</v>
      </c>
      <c r="B502" s="35">
        <v>46010</v>
      </c>
      <c r="C502" s="17" t="s">
        <v>25</v>
      </c>
      <c r="D502" s="17" t="s">
        <v>32</v>
      </c>
      <c r="E502" s="17" t="s">
        <v>27</v>
      </c>
      <c r="F502" s="17" t="s">
        <v>52</v>
      </c>
      <c r="G502" s="17" t="s">
        <v>22</v>
      </c>
      <c r="H502" s="17" t="s">
        <v>2591</v>
      </c>
      <c r="I502" s="17" t="s">
        <v>23</v>
      </c>
      <c r="J502" s="36">
        <v>9333.33</v>
      </c>
      <c r="K502" s="36">
        <v>4353.3100000000004</v>
      </c>
      <c r="L502" s="36">
        <f t="shared" si="35"/>
        <v>-4980.0199999999995</v>
      </c>
      <c r="M502" s="37">
        <f t="shared" si="36"/>
        <v>-0.53357376199062923</v>
      </c>
      <c r="N502" s="17" t="str">
        <f t="shared" si="37"/>
        <v>Under Budget</v>
      </c>
      <c r="O502" s="38">
        <f t="shared" si="38"/>
        <v>4353.3100000000004</v>
      </c>
      <c r="P502" s="39">
        <f t="shared" si="39"/>
        <v>45992</v>
      </c>
    </row>
    <row r="503" spans="1:16" ht="15.5" x14ac:dyDescent="0.35">
      <c r="A503" s="17" t="s">
        <v>551</v>
      </c>
      <c r="B503" s="35">
        <v>45880</v>
      </c>
      <c r="C503" s="17" t="s">
        <v>12</v>
      </c>
      <c r="D503" s="17" t="s">
        <v>36</v>
      </c>
      <c r="E503" s="17" t="s">
        <v>65</v>
      </c>
      <c r="F503" s="17" t="s">
        <v>52</v>
      </c>
      <c r="G503" s="17" t="s">
        <v>22</v>
      </c>
      <c r="H503" s="17" t="s">
        <v>2593</v>
      </c>
      <c r="I503" s="17" t="s">
        <v>39</v>
      </c>
      <c r="J503" s="36">
        <v>3928.57</v>
      </c>
      <c r="K503" s="36">
        <v>8388.98</v>
      </c>
      <c r="L503" s="36">
        <f t="shared" si="35"/>
        <v>4460.41</v>
      </c>
      <c r="M503" s="37">
        <f t="shared" si="36"/>
        <v>1.1353775037736376</v>
      </c>
      <c r="N503" s="17" t="str">
        <f t="shared" si="37"/>
        <v>Over Budget</v>
      </c>
      <c r="O503" s="38">
        <f t="shared" si="38"/>
        <v>-8388.98</v>
      </c>
      <c r="P503" s="39">
        <f t="shared" si="39"/>
        <v>45870</v>
      </c>
    </row>
    <row r="504" spans="1:16" ht="15.5" x14ac:dyDescent="0.35">
      <c r="A504" s="17" t="s">
        <v>552</v>
      </c>
      <c r="B504" s="35">
        <v>46012</v>
      </c>
      <c r="C504" s="17" t="s">
        <v>12</v>
      </c>
      <c r="D504" s="17" t="s">
        <v>13</v>
      </c>
      <c r="E504" s="17" t="s">
        <v>45</v>
      </c>
      <c r="F504" s="17" t="s">
        <v>52</v>
      </c>
      <c r="G504" s="17" t="s">
        <v>38</v>
      </c>
      <c r="H504" s="17" t="s">
        <v>2598</v>
      </c>
      <c r="I504" s="17" t="s">
        <v>30</v>
      </c>
      <c r="J504" s="36">
        <v>7875</v>
      </c>
      <c r="K504" s="36">
        <v>4613.1899999999996</v>
      </c>
      <c r="L504" s="36">
        <f t="shared" si="35"/>
        <v>-3261.8100000000004</v>
      </c>
      <c r="M504" s="37">
        <f t="shared" si="36"/>
        <v>-0.41419809523809531</v>
      </c>
      <c r="N504" s="17" t="str">
        <f t="shared" si="37"/>
        <v>Under Budget</v>
      </c>
      <c r="O504" s="38">
        <f t="shared" si="38"/>
        <v>-4613.1899999999996</v>
      </c>
      <c r="P504" s="39">
        <f t="shared" si="39"/>
        <v>45992</v>
      </c>
    </row>
    <row r="505" spans="1:16" ht="15.5" x14ac:dyDescent="0.35">
      <c r="A505" s="17" t="s">
        <v>553</v>
      </c>
      <c r="B505" s="35">
        <v>46057</v>
      </c>
      <c r="C505" s="17" t="s">
        <v>12</v>
      </c>
      <c r="D505" s="17" t="s">
        <v>13</v>
      </c>
      <c r="E505" s="17" t="s">
        <v>77</v>
      </c>
      <c r="F505" s="17" t="s">
        <v>15</v>
      </c>
      <c r="G505" s="17" t="s">
        <v>22</v>
      </c>
      <c r="H505" s="17" t="s">
        <v>2586</v>
      </c>
      <c r="I505" s="17" t="s">
        <v>48</v>
      </c>
      <c r="J505" s="36">
        <v>2667.5</v>
      </c>
      <c r="K505" s="36">
        <v>2024.12</v>
      </c>
      <c r="L505" s="36">
        <f t="shared" si="35"/>
        <v>-643.38000000000011</v>
      </c>
      <c r="M505" s="37">
        <f t="shared" si="36"/>
        <v>-0.24119212746016874</v>
      </c>
      <c r="N505" s="17" t="str">
        <f t="shared" si="37"/>
        <v>Under Budget</v>
      </c>
      <c r="O505" s="38">
        <f t="shared" si="38"/>
        <v>-2024.12</v>
      </c>
      <c r="P505" s="39">
        <f t="shared" si="39"/>
        <v>46054</v>
      </c>
    </row>
    <row r="506" spans="1:16" ht="15.5" x14ac:dyDescent="0.35">
      <c r="A506" s="17" t="s">
        <v>554</v>
      </c>
      <c r="B506" s="35">
        <v>46079</v>
      </c>
      <c r="C506" s="17" t="s">
        <v>12</v>
      </c>
      <c r="D506" s="17" t="s">
        <v>26</v>
      </c>
      <c r="E506" s="17" t="s">
        <v>45</v>
      </c>
      <c r="F506" s="17" t="s">
        <v>21</v>
      </c>
      <c r="G506" s="17" t="s">
        <v>38</v>
      </c>
      <c r="H506" s="17" t="s">
        <v>2592</v>
      </c>
      <c r="I506" s="17" t="s">
        <v>30</v>
      </c>
      <c r="J506" s="36">
        <v>9189.4699999999993</v>
      </c>
      <c r="K506" s="36">
        <v>6189.2</v>
      </c>
      <c r="L506" s="36">
        <f t="shared" si="35"/>
        <v>-3000.2699999999995</v>
      </c>
      <c r="M506" s="37">
        <f t="shared" si="36"/>
        <v>-0.32648999343814167</v>
      </c>
      <c r="N506" s="17" t="str">
        <f t="shared" si="37"/>
        <v>Under Budget</v>
      </c>
      <c r="O506" s="38">
        <f t="shared" si="38"/>
        <v>-6189.2</v>
      </c>
      <c r="P506" s="39">
        <f t="shared" si="39"/>
        <v>46054</v>
      </c>
    </row>
    <row r="507" spans="1:16" ht="15.5" x14ac:dyDescent="0.35">
      <c r="A507" s="17" t="s">
        <v>555</v>
      </c>
      <c r="B507" s="35">
        <v>46146</v>
      </c>
      <c r="C507" s="17" t="s">
        <v>12</v>
      </c>
      <c r="D507" s="17" t="s">
        <v>19</v>
      </c>
      <c r="E507" s="17" t="s">
        <v>45</v>
      </c>
      <c r="F507" s="17" t="s">
        <v>52</v>
      </c>
      <c r="G507" s="17" t="s">
        <v>38</v>
      </c>
      <c r="H507" s="17" t="s">
        <v>2590</v>
      </c>
      <c r="I507" s="17" t="s">
        <v>23</v>
      </c>
      <c r="J507" s="36">
        <v>16363.64</v>
      </c>
      <c r="K507" s="36">
        <v>9065.6299999999992</v>
      </c>
      <c r="L507" s="36">
        <f t="shared" si="35"/>
        <v>-7298.01</v>
      </c>
      <c r="M507" s="37">
        <f t="shared" si="36"/>
        <v>-0.44598940089124428</v>
      </c>
      <c r="N507" s="17" t="str">
        <f t="shared" si="37"/>
        <v>Under Budget</v>
      </c>
      <c r="O507" s="38">
        <f t="shared" si="38"/>
        <v>-9065.6299999999992</v>
      </c>
      <c r="P507" s="39">
        <f t="shared" si="39"/>
        <v>46143</v>
      </c>
    </row>
    <row r="508" spans="1:16" ht="15.5" x14ac:dyDescent="0.35">
      <c r="A508" s="17" t="s">
        <v>556</v>
      </c>
      <c r="B508" s="35">
        <v>45841</v>
      </c>
      <c r="C508" s="17" t="s">
        <v>12</v>
      </c>
      <c r="D508" s="17" t="s">
        <v>13</v>
      </c>
      <c r="E508" s="17" t="s">
        <v>74</v>
      </c>
      <c r="F508" s="17" t="s">
        <v>28</v>
      </c>
      <c r="G508" s="17" t="s">
        <v>16</v>
      </c>
      <c r="H508" s="17" t="s">
        <v>2594</v>
      </c>
      <c r="I508" s="17" t="s">
        <v>30</v>
      </c>
      <c r="J508" s="36">
        <v>3333.33</v>
      </c>
      <c r="K508" s="36">
        <v>3350.92</v>
      </c>
      <c r="L508" s="36">
        <f t="shared" si="35"/>
        <v>17.590000000000146</v>
      </c>
      <c r="M508" s="37">
        <f t="shared" si="36"/>
        <v>5.277005277005321E-3</v>
      </c>
      <c r="N508" s="17" t="str">
        <f t="shared" si="37"/>
        <v>Over Budget</v>
      </c>
      <c r="O508" s="38">
        <f t="shared" si="38"/>
        <v>-3350.92</v>
      </c>
      <c r="P508" s="39">
        <f t="shared" si="39"/>
        <v>45839</v>
      </c>
    </row>
    <row r="509" spans="1:16" ht="15.5" x14ac:dyDescent="0.35">
      <c r="A509" s="17" t="s">
        <v>557</v>
      </c>
      <c r="B509" s="35">
        <v>45758</v>
      </c>
      <c r="C509" s="17" t="s">
        <v>12</v>
      </c>
      <c r="D509" s="17" t="s">
        <v>19</v>
      </c>
      <c r="E509" s="17" t="s">
        <v>20</v>
      </c>
      <c r="F509" s="17" t="s">
        <v>34</v>
      </c>
      <c r="G509" s="17" t="s">
        <v>38</v>
      </c>
      <c r="H509" s="17" t="s">
        <v>2589</v>
      </c>
      <c r="I509" s="17" t="s">
        <v>39</v>
      </c>
      <c r="J509" s="36">
        <v>2250</v>
      </c>
      <c r="K509" s="36">
        <v>1741.93</v>
      </c>
      <c r="L509" s="36">
        <f t="shared" si="35"/>
        <v>-508.06999999999994</v>
      </c>
      <c r="M509" s="37">
        <f t="shared" si="36"/>
        <v>-0.22580888888888886</v>
      </c>
      <c r="N509" s="17" t="str">
        <f t="shared" si="37"/>
        <v>Under Budget</v>
      </c>
      <c r="O509" s="38">
        <f t="shared" si="38"/>
        <v>-1741.93</v>
      </c>
      <c r="P509" s="39">
        <f t="shared" si="39"/>
        <v>45748</v>
      </c>
    </row>
    <row r="510" spans="1:16" ht="15.5" x14ac:dyDescent="0.35">
      <c r="A510" s="17" t="s">
        <v>558</v>
      </c>
      <c r="B510" s="35">
        <v>45771</v>
      </c>
      <c r="C510" s="17" t="s">
        <v>12</v>
      </c>
      <c r="D510" s="17" t="s">
        <v>13</v>
      </c>
      <c r="E510" s="17" t="s">
        <v>65</v>
      </c>
      <c r="F510" s="17" t="s">
        <v>52</v>
      </c>
      <c r="G510" s="17" t="s">
        <v>38</v>
      </c>
      <c r="H510" s="17" t="s">
        <v>2587</v>
      </c>
      <c r="I510" s="17" t="s">
        <v>39</v>
      </c>
      <c r="J510" s="36">
        <v>6111.11</v>
      </c>
      <c r="K510" s="36">
        <v>8217.7800000000007</v>
      </c>
      <c r="L510" s="36">
        <f t="shared" si="35"/>
        <v>2106.670000000001</v>
      </c>
      <c r="M510" s="37">
        <f t="shared" si="36"/>
        <v>0.34472788085961487</v>
      </c>
      <c r="N510" s="17" t="str">
        <f t="shared" si="37"/>
        <v>Over Budget</v>
      </c>
      <c r="O510" s="38">
        <f t="shared" si="38"/>
        <v>-8217.7800000000007</v>
      </c>
      <c r="P510" s="39">
        <f t="shared" si="39"/>
        <v>45748</v>
      </c>
    </row>
    <row r="511" spans="1:16" ht="15.5" x14ac:dyDescent="0.35">
      <c r="A511" s="17" t="s">
        <v>559</v>
      </c>
      <c r="B511" s="35">
        <v>45986</v>
      </c>
      <c r="C511" s="17" t="s">
        <v>25</v>
      </c>
      <c r="D511" s="17" t="s">
        <v>32</v>
      </c>
      <c r="E511" s="17" t="s">
        <v>33</v>
      </c>
      <c r="F511" s="17" t="s">
        <v>34</v>
      </c>
      <c r="G511" s="17" t="s">
        <v>38</v>
      </c>
      <c r="H511" s="17" t="s">
        <v>2590</v>
      </c>
      <c r="I511" s="17" t="s">
        <v>48</v>
      </c>
      <c r="J511" s="36">
        <v>13125</v>
      </c>
      <c r="K511" s="36">
        <v>16370.54</v>
      </c>
      <c r="L511" s="36">
        <f t="shared" si="35"/>
        <v>3245.5400000000009</v>
      </c>
      <c r="M511" s="37">
        <f t="shared" si="36"/>
        <v>0.24727923809523816</v>
      </c>
      <c r="N511" s="17" t="str">
        <f t="shared" si="37"/>
        <v>Over Budget</v>
      </c>
      <c r="O511" s="38">
        <f t="shared" si="38"/>
        <v>16370.54</v>
      </c>
      <c r="P511" s="39">
        <f t="shared" si="39"/>
        <v>45962</v>
      </c>
    </row>
    <row r="512" spans="1:16" ht="15.5" x14ac:dyDescent="0.35">
      <c r="A512" s="17" t="s">
        <v>560</v>
      </c>
      <c r="B512" s="35">
        <v>45749</v>
      </c>
      <c r="C512" s="17" t="s">
        <v>25</v>
      </c>
      <c r="D512" s="17" t="s">
        <v>32</v>
      </c>
      <c r="E512" s="17" t="s">
        <v>109</v>
      </c>
      <c r="F512" s="17" t="s">
        <v>15</v>
      </c>
      <c r="G512" s="17" t="s">
        <v>22</v>
      </c>
      <c r="H512" s="17" t="s">
        <v>2594</v>
      </c>
      <c r="I512" s="17" t="s">
        <v>39</v>
      </c>
      <c r="J512" s="36">
        <v>14285.71</v>
      </c>
      <c r="K512" s="36">
        <v>9952.48</v>
      </c>
      <c r="L512" s="36">
        <f t="shared" si="35"/>
        <v>-4333.2299999999996</v>
      </c>
      <c r="M512" s="37">
        <f t="shared" si="36"/>
        <v>-0.30332619099785729</v>
      </c>
      <c r="N512" s="17" t="str">
        <f t="shared" si="37"/>
        <v>Under Budget</v>
      </c>
      <c r="O512" s="38">
        <f t="shared" si="38"/>
        <v>9952.48</v>
      </c>
      <c r="P512" s="39">
        <f t="shared" si="39"/>
        <v>45748</v>
      </c>
    </row>
    <row r="513" spans="1:16" ht="15.5" x14ac:dyDescent="0.35">
      <c r="A513" s="17" t="s">
        <v>561</v>
      </c>
      <c r="B513" s="35">
        <v>45741</v>
      </c>
      <c r="C513" s="17" t="s">
        <v>25</v>
      </c>
      <c r="D513" s="17" t="s">
        <v>2585</v>
      </c>
      <c r="E513" s="17" t="s">
        <v>33</v>
      </c>
      <c r="F513" s="17" t="s">
        <v>52</v>
      </c>
      <c r="G513" s="17" t="s">
        <v>38</v>
      </c>
      <c r="H513" s="17" t="s">
        <v>2587</v>
      </c>
      <c r="I513" s="17" t="s">
        <v>48</v>
      </c>
      <c r="J513" s="36">
        <v>8064.52</v>
      </c>
      <c r="K513" s="36">
        <v>20963.66</v>
      </c>
      <c r="L513" s="36">
        <f t="shared" si="35"/>
        <v>12899.14</v>
      </c>
      <c r="M513" s="37">
        <f t="shared" si="36"/>
        <v>1.5994925922435557</v>
      </c>
      <c r="N513" s="17" t="str">
        <f t="shared" si="37"/>
        <v>Over Budget</v>
      </c>
      <c r="O513" s="38">
        <f t="shared" si="38"/>
        <v>20963.66</v>
      </c>
      <c r="P513" s="39">
        <f t="shared" si="39"/>
        <v>45717</v>
      </c>
    </row>
    <row r="514" spans="1:16" ht="15.5" x14ac:dyDescent="0.35">
      <c r="A514" s="17" t="s">
        <v>562</v>
      </c>
      <c r="B514" s="35">
        <v>45775</v>
      </c>
      <c r="C514" s="17" t="s">
        <v>12</v>
      </c>
      <c r="D514" s="17" t="s">
        <v>19</v>
      </c>
      <c r="E514" s="17" t="s">
        <v>41</v>
      </c>
      <c r="F514" s="17" t="s">
        <v>34</v>
      </c>
      <c r="G514" s="17" t="s">
        <v>22</v>
      </c>
      <c r="H514" s="17" t="s">
        <v>2588</v>
      </c>
      <c r="I514" s="17" t="s">
        <v>48</v>
      </c>
      <c r="J514" s="36">
        <v>5416.67</v>
      </c>
      <c r="K514" s="36">
        <v>5302.88</v>
      </c>
      <c r="L514" s="36">
        <f t="shared" si="35"/>
        <v>-113.78999999999996</v>
      </c>
      <c r="M514" s="37">
        <f t="shared" si="36"/>
        <v>-2.100737168777126E-2</v>
      </c>
      <c r="N514" s="17" t="str">
        <f t="shared" si="37"/>
        <v>Under Budget</v>
      </c>
      <c r="O514" s="38">
        <f t="shared" si="38"/>
        <v>-5302.88</v>
      </c>
      <c r="P514" s="39">
        <f t="shared" si="39"/>
        <v>45748</v>
      </c>
    </row>
    <row r="515" spans="1:16" ht="15.5" x14ac:dyDescent="0.35">
      <c r="A515" s="17" t="s">
        <v>563</v>
      </c>
      <c r="B515" s="35">
        <v>45829</v>
      </c>
      <c r="C515" s="17" t="s">
        <v>25</v>
      </c>
      <c r="D515" s="17" t="s">
        <v>2584</v>
      </c>
      <c r="E515" s="17" t="s">
        <v>109</v>
      </c>
      <c r="F515" s="17" t="s">
        <v>34</v>
      </c>
      <c r="G515" s="17" t="s">
        <v>38</v>
      </c>
      <c r="H515" s="17" t="s">
        <v>80</v>
      </c>
      <c r="I515" s="17" t="s">
        <v>30</v>
      </c>
      <c r="J515" s="36">
        <v>6250</v>
      </c>
      <c r="K515" s="36">
        <v>16518.21</v>
      </c>
      <c r="L515" s="36">
        <f t="shared" ref="L515:L578" si="40">K515-J515</f>
        <v>10268.209999999999</v>
      </c>
      <c r="M515" s="37">
        <f t="shared" ref="M515:M578" si="41">IF(J515=0,0,L515/J515)</f>
        <v>1.6429135999999998</v>
      </c>
      <c r="N515" s="17" t="str">
        <f t="shared" ref="N515:N578" si="42">IF(J515=0,"No Budget",IF(K515&gt;J515,"Over Budget",IF(K515&lt;J515,"Under Budget","On Budget")))</f>
        <v>Over Budget</v>
      </c>
      <c r="O515" s="38">
        <f t="shared" ref="O515:O578" si="43">IF(C515="Revenue",K515,-K515)</f>
        <v>16518.21</v>
      </c>
      <c r="P515" s="39">
        <f t="shared" ref="P515:P578" si="44">DATE(YEAR(B515),MONTH(B515),1)</f>
        <v>45809</v>
      </c>
    </row>
    <row r="516" spans="1:16" ht="15.5" x14ac:dyDescent="0.35">
      <c r="A516" s="17" t="s">
        <v>564</v>
      </c>
      <c r="B516" s="35">
        <v>46144</v>
      </c>
      <c r="C516" s="17" t="s">
        <v>12</v>
      </c>
      <c r="D516" s="17" t="s">
        <v>2583</v>
      </c>
      <c r="E516" s="17" t="s">
        <v>51</v>
      </c>
      <c r="F516" s="17" t="s">
        <v>15</v>
      </c>
      <c r="G516" s="17" t="s">
        <v>38</v>
      </c>
      <c r="H516" s="17" t="s">
        <v>2586</v>
      </c>
      <c r="I516" s="17" t="s">
        <v>48</v>
      </c>
      <c r="J516" s="36">
        <v>2727.27</v>
      </c>
      <c r="K516" s="36">
        <v>4921.3</v>
      </c>
      <c r="L516" s="36">
        <f t="shared" si="40"/>
        <v>2194.0300000000002</v>
      </c>
      <c r="M516" s="37">
        <f t="shared" si="41"/>
        <v>0.80447847114513793</v>
      </c>
      <c r="N516" s="17" t="str">
        <f t="shared" si="42"/>
        <v>Over Budget</v>
      </c>
      <c r="O516" s="38">
        <f t="shared" si="43"/>
        <v>-4921.3</v>
      </c>
      <c r="P516" s="39">
        <f t="shared" si="44"/>
        <v>46143</v>
      </c>
    </row>
    <row r="517" spans="1:16" ht="15.5" x14ac:dyDescent="0.35">
      <c r="A517" s="17" t="s">
        <v>565</v>
      </c>
      <c r="B517" s="35">
        <v>46041</v>
      </c>
      <c r="C517" s="17" t="s">
        <v>12</v>
      </c>
      <c r="D517" s="17" t="s">
        <v>26</v>
      </c>
      <c r="E517" s="17" t="s">
        <v>14</v>
      </c>
      <c r="F517" s="17" t="s">
        <v>52</v>
      </c>
      <c r="G517" s="17" t="s">
        <v>22</v>
      </c>
      <c r="H517" s="17" t="s">
        <v>60</v>
      </c>
      <c r="I517" s="17" t="s">
        <v>48</v>
      </c>
      <c r="J517" s="36">
        <v>3104</v>
      </c>
      <c r="K517" s="36">
        <v>6976.06</v>
      </c>
      <c r="L517" s="36">
        <f t="shared" si="40"/>
        <v>3872.0600000000004</v>
      </c>
      <c r="M517" s="37">
        <f t="shared" si="41"/>
        <v>1.2474420103092785</v>
      </c>
      <c r="N517" s="17" t="str">
        <f t="shared" si="42"/>
        <v>Over Budget</v>
      </c>
      <c r="O517" s="38">
        <f t="shared" si="43"/>
        <v>-6976.06</v>
      </c>
      <c r="P517" s="39">
        <f t="shared" si="44"/>
        <v>46023</v>
      </c>
    </row>
    <row r="518" spans="1:16" ht="15.5" x14ac:dyDescent="0.35">
      <c r="A518" s="17" t="s">
        <v>566</v>
      </c>
      <c r="B518" s="35">
        <v>45963</v>
      </c>
      <c r="C518" s="17" t="s">
        <v>12</v>
      </c>
      <c r="D518" s="17" t="s">
        <v>2585</v>
      </c>
      <c r="E518" s="17" t="s">
        <v>41</v>
      </c>
      <c r="F518" s="17" t="s">
        <v>34</v>
      </c>
      <c r="G518" s="17" t="s">
        <v>22</v>
      </c>
      <c r="H518" s="17" t="s">
        <v>2586</v>
      </c>
      <c r="I518" s="17" t="s">
        <v>23</v>
      </c>
      <c r="J518" s="36">
        <v>17062.5</v>
      </c>
      <c r="K518" s="36">
        <v>6560.58</v>
      </c>
      <c r="L518" s="36">
        <f t="shared" si="40"/>
        <v>-10501.92</v>
      </c>
      <c r="M518" s="37">
        <f t="shared" si="41"/>
        <v>-0.61549714285714285</v>
      </c>
      <c r="N518" s="17" t="str">
        <f t="shared" si="42"/>
        <v>Under Budget</v>
      </c>
      <c r="O518" s="38">
        <f t="shared" si="43"/>
        <v>-6560.58</v>
      </c>
      <c r="P518" s="39">
        <f t="shared" si="44"/>
        <v>45962</v>
      </c>
    </row>
    <row r="519" spans="1:16" ht="15.5" x14ac:dyDescent="0.35">
      <c r="A519" s="17" t="s">
        <v>567</v>
      </c>
      <c r="B519" s="35">
        <v>45726</v>
      </c>
      <c r="C519" s="17" t="s">
        <v>12</v>
      </c>
      <c r="D519" s="17" t="s">
        <v>19</v>
      </c>
      <c r="E519" s="17" t="s">
        <v>41</v>
      </c>
      <c r="F519" s="17" t="s">
        <v>34</v>
      </c>
      <c r="G519" s="17" t="s">
        <v>38</v>
      </c>
      <c r="H519" s="17" t="s">
        <v>2595</v>
      </c>
      <c r="I519" s="17" t="s">
        <v>48</v>
      </c>
      <c r="J519" s="36">
        <v>5000</v>
      </c>
      <c r="K519" s="36">
        <v>6209.61</v>
      </c>
      <c r="L519" s="36">
        <f t="shared" si="40"/>
        <v>1209.6099999999997</v>
      </c>
      <c r="M519" s="37">
        <f t="shared" si="41"/>
        <v>0.24192199999999994</v>
      </c>
      <c r="N519" s="17" t="str">
        <f t="shared" si="42"/>
        <v>Over Budget</v>
      </c>
      <c r="O519" s="38">
        <f t="shared" si="43"/>
        <v>-6209.61</v>
      </c>
      <c r="P519" s="39">
        <f t="shared" si="44"/>
        <v>45717</v>
      </c>
    </row>
    <row r="520" spans="1:16" ht="15.5" x14ac:dyDescent="0.35">
      <c r="A520" s="17" t="s">
        <v>568</v>
      </c>
      <c r="B520" s="35">
        <v>45937</v>
      </c>
      <c r="C520" s="17" t="s">
        <v>25</v>
      </c>
      <c r="D520" s="17" t="s">
        <v>26</v>
      </c>
      <c r="E520" s="17" t="s">
        <v>33</v>
      </c>
      <c r="F520" s="17" t="s">
        <v>28</v>
      </c>
      <c r="G520" s="17" t="s">
        <v>38</v>
      </c>
      <c r="H520" s="17" t="s">
        <v>2595</v>
      </c>
      <c r="I520" s="17" t="s">
        <v>39</v>
      </c>
      <c r="J520" s="36">
        <v>8928.57</v>
      </c>
      <c r="K520" s="36">
        <v>11103.16</v>
      </c>
      <c r="L520" s="36">
        <f t="shared" si="40"/>
        <v>2174.59</v>
      </c>
      <c r="M520" s="37">
        <f t="shared" si="41"/>
        <v>0.24355411896865906</v>
      </c>
      <c r="N520" s="17" t="str">
        <f t="shared" si="42"/>
        <v>Over Budget</v>
      </c>
      <c r="O520" s="38">
        <f t="shared" si="43"/>
        <v>11103.16</v>
      </c>
      <c r="P520" s="39">
        <f t="shared" si="44"/>
        <v>45931</v>
      </c>
    </row>
    <row r="521" spans="1:16" ht="15.5" x14ac:dyDescent="0.35">
      <c r="A521" s="17" t="s">
        <v>569</v>
      </c>
      <c r="B521" s="35">
        <v>45838</v>
      </c>
      <c r="C521" s="17" t="s">
        <v>12</v>
      </c>
      <c r="D521" s="17" t="s">
        <v>32</v>
      </c>
      <c r="E521" s="17" t="s">
        <v>47</v>
      </c>
      <c r="F521" s="17" t="s">
        <v>52</v>
      </c>
      <c r="G521" s="17" t="s">
        <v>22</v>
      </c>
      <c r="H521" s="17" t="s">
        <v>2590</v>
      </c>
      <c r="I521" s="17" t="s">
        <v>23</v>
      </c>
      <c r="J521" s="36">
        <v>4375</v>
      </c>
      <c r="K521" s="36">
        <v>4547.71</v>
      </c>
      <c r="L521" s="36">
        <f t="shared" si="40"/>
        <v>172.71000000000004</v>
      </c>
      <c r="M521" s="37">
        <f t="shared" si="41"/>
        <v>3.9476571428571437E-2</v>
      </c>
      <c r="N521" s="17" t="str">
        <f t="shared" si="42"/>
        <v>Over Budget</v>
      </c>
      <c r="O521" s="38">
        <f t="shared" si="43"/>
        <v>-4547.71</v>
      </c>
      <c r="P521" s="39">
        <f t="shared" si="44"/>
        <v>45809</v>
      </c>
    </row>
    <row r="522" spans="1:16" ht="15.5" x14ac:dyDescent="0.35">
      <c r="A522" s="17" t="s">
        <v>570</v>
      </c>
      <c r="B522" s="35">
        <v>46021</v>
      </c>
      <c r="C522" s="17" t="s">
        <v>25</v>
      </c>
      <c r="D522" s="17" t="s">
        <v>32</v>
      </c>
      <c r="E522" s="17" t="s">
        <v>27</v>
      </c>
      <c r="F522" s="17" t="s">
        <v>52</v>
      </c>
      <c r="G522" s="17" t="s">
        <v>38</v>
      </c>
      <c r="H522" s="17" t="s">
        <v>2595</v>
      </c>
      <c r="I522" s="17" t="s">
        <v>48</v>
      </c>
      <c r="J522" s="36">
        <v>9333.33</v>
      </c>
      <c r="K522" s="36">
        <v>5146.17</v>
      </c>
      <c r="L522" s="36">
        <f t="shared" si="40"/>
        <v>-4187.16</v>
      </c>
      <c r="M522" s="37">
        <f t="shared" si="41"/>
        <v>-0.44862444593730211</v>
      </c>
      <c r="N522" s="17" t="str">
        <f t="shared" si="42"/>
        <v>Under Budget</v>
      </c>
      <c r="O522" s="38">
        <f t="shared" si="43"/>
        <v>5146.17</v>
      </c>
      <c r="P522" s="39">
        <f t="shared" si="44"/>
        <v>45992</v>
      </c>
    </row>
    <row r="523" spans="1:16" ht="15.5" x14ac:dyDescent="0.35">
      <c r="A523" s="17" t="s">
        <v>571</v>
      </c>
      <c r="B523" s="35">
        <v>45875</v>
      </c>
      <c r="C523" s="17" t="s">
        <v>12</v>
      </c>
      <c r="D523" s="17" t="s">
        <v>13</v>
      </c>
      <c r="E523" s="17" t="s">
        <v>74</v>
      </c>
      <c r="F523" s="17" t="s">
        <v>28</v>
      </c>
      <c r="G523" s="17" t="s">
        <v>16</v>
      </c>
      <c r="H523" s="17" t="s">
        <v>2588</v>
      </c>
      <c r="I523" s="17" t="s">
        <v>39</v>
      </c>
      <c r="J523" s="36">
        <v>5714.29</v>
      </c>
      <c r="K523" s="36">
        <v>5974.67</v>
      </c>
      <c r="L523" s="36">
        <f t="shared" si="40"/>
        <v>260.38000000000011</v>
      </c>
      <c r="M523" s="37">
        <f t="shared" si="41"/>
        <v>4.556646582515065E-2</v>
      </c>
      <c r="N523" s="17" t="str">
        <f t="shared" si="42"/>
        <v>Over Budget</v>
      </c>
      <c r="O523" s="38">
        <f t="shared" si="43"/>
        <v>-5974.67</v>
      </c>
      <c r="P523" s="39">
        <f t="shared" si="44"/>
        <v>45870</v>
      </c>
    </row>
    <row r="524" spans="1:16" ht="15.5" x14ac:dyDescent="0.35">
      <c r="A524" s="17" t="s">
        <v>572</v>
      </c>
      <c r="B524" s="35">
        <v>45846</v>
      </c>
      <c r="C524" s="17" t="s">
        <v>12</v>
      </c>
      <c r="D524" s="17" t="s">
        <v>19</v>
      </c>
      <c r="E524" s="17" t="s">
        <v>77</v>
      </c>
      <c r="F524" s="17" t="s">
        <v>52</v>
      </c>
      <c r="G524" s="17" t="s">
        <v>43</v>
      </c>
      <c r="H524" s="17" t="s">
        <v>2592</v>
      </c>
      <c r="I524" s="17" t="s">
        <v>48</v>
      </c>
      <c r="J524" s="36">
        <v>2750</v>
      </c>
      <c r="K524" s="36">
        <v>2957.85</v>
      </c>
      <c r="L524" s="36">
        <f t="shared" si="40"/>
        <v>207.84999999999991</v>
      </c>
      <c r="M524" s="37">
        <f t="shared" si="41"/>
        <v>7.5581818181818153E-2</v>
      </c>
      <c r="N524" s="17" t="str">
        <f t="shared" si="42"/>
        <v>Over Budget</v>
      </c>
      <c r="O524" s="38">
        <f t="shared" si="43"/>
        <v>-2957.85</v>
      </c>
      <c r="P524" s="39">
        <f t="shared" si="44"/>
        <v>45839</v>
      </c>
    </row>
    <row r="525" spans="1:16" ht="15.5" x14ac:dyDescent="0.35">
      <c r="A525" s="17" t="s">
        <v>573</v>
      </c>
      <c r="B525" s="35">
        <v>45925</v>
      </c>
      <c r="C525" s="17" t="s">
        <v>12</v>
      </c>
      <c r="D525" s="17" t="s">
        <v>36</v>
      </c>
      <c r="E525" s="17" t="s">
        <v>45</v>
      </c>
      <c r="F525" s="17" t="s">
        <v>34</v>
      </c>
      <c r="G525" s="17" t="s">
        <v>38</v>
      </c>
      <c r="H525" s="17" t="s">
        <v>80</v>
      </c>
      <c r="I525" s="17" t="s">
        <v>17</v>
      </c>
      <c r="J525" s="36">
        <v>7500</v>
      </c>
      <c r="K525" s="36">
        <v>1997.31</v>
      </c>
      <c r="L525" s="36">
        <f t="shared" si="40"/>
        <v>-5502.6900000000005</v>
      </c>
      <c r="M525" s="37">
        <f t="shared" si="41"/>
        <v>-0.73369200000000012</v>
      </c>
      <c r="N525" s="17" t="str">
        <f t="shared" si="42"/>
        <v>Under Budget</v>
      </c>
      <c r="O525" s="38">
        <f t="shared" si="43"/>
        <v>-1997.31</v>
      </c>
      <c r="P525" s="39">
        <f t="shared" si="44"/>
        <v>45901</v>
      </c>
    </row>
    <row r="526" spans="1:16" ht="15.5" x14ac:dyDescent="0.35">
      <c r="A526" s="17" t="s">
        <v>574</v>
      </c>
      <c r="B526" s="35">
        <v>46201</v>
      </c>
      <c r="C526" s="17" t="s">
        <v>12</v>
      </c>
      <c r="D526" s="17" t="s">
        <v>2584</v>
      </c>
      <c r="E526" s="17" t="s">
        <v>65</v>
      </c>
      <c r="F526" s="17" t="s">
        <v>15</v>
      </c>
      <c r="G526" s="17" t="s">
        <v>38</v>
      </c>
      <c r="H526" s="17" t="s">
        <v>2588</v>
      </c>
      <c r="I526" s="17" t="s">
        <v>23</v>
      </c>
      <c r="J526" s="36">
        <v>3666.67</v>
      </c>
      <c r="K526" s="36">
        <v>1322.07</v>
      </c>
      <c r="L526" s="36">
        <f t="shared" si="40"/>
        <v>-2344.6000000000004</v>
      </c>
      <c r="M526" s="37">
        <f t="shared" si="41"/>
        <v>-0.63943578233110709</v>
      </c>
      <c r="N526" s="17" t="str">
        <f t="shared" si="42"/>
        <v>Under Budget</v>
      </c>
      <c r="O526" s="38">
        <f t="shared" si="43"/>
        <v>-1322.07</v>
      </c>
      <c r="P526" s="39">
        <f t="shared" si="44"/>
        <v>46174</v>
      </c>
    </row>
    <row r="527" spans="1:16" ht="15.5" x14ac:dyDescent="0.35">
      <c r="A527" s="17" t="s">
        <v>575</v>
      </c>
      <c r="B527" s="35">
        <v>46030</v>
      </c>
      <c r="C527" s="17" t="s">
        <v>12</v>
      </c>
      <c r="D527" s="17" t="s">
        <v>2585</v>
      </c>
      <c r="E527" s="17" t="s">
        <v>45</v>
      </c>
      <c r="F527" s="17" t="s">
        <v>21</v>
      </c>
      <c r="G527" s="17" t="s">
        <v>38</v>
      </c>
      <c r="H527" s="17" t="s">
        <v>2598</v>
      </c>
      <c r="I527" s="17" t="s">
        <v>23</v>
      </c>
      <c r="J527" s="36">
        <v>6715.38</v>
      </c>
      <c r="K527" s="36">
        <v>13634.32</v>
      </c>
      <c r="L527" s="36">
        <f t="shared" si="40"/>
        <v>6918.94</v>
      </c>
      <c r="M527" s="37">
        <f t="shared" si="41"/>
        <v>1.0303125065148955</v>
      </c>
      <c r="N527" s="17" t="str">
        <f t="shared" si="42"/>
        <v>Over Budget</v>
      </c>
      <c r="O527" s="38">
        <f t="shared" si="43"/>
        <v>-13634.32</v>
      </c>
      <c r="P527" s="39">
        <f t="shared" si="44"/>
        <v>46023</v>
      </c>
    </row>
    <row r="528" spans="1:16" ht="15.5" x14ac:dyDescent="0.35">
      <c r="A528" s="17" t="s">
        <v>576</v>
      </c>
      <c r="B528" s="35">
        <v>45951</v>
      </c>
      <c r="C528" s="17" t="s">
        <v>25</v>
      </c>
      <c r="D528" s="17" t="s">
        <v>32</v>
      </c>
      <c r="E528" s="17" t="s">
        <v>109</v>
      </c>
      <c r="F528" s="17" t="s">
        <v>52</v>
      </c>
      <c r="G528" s="17" t="s">
        <v>22</v>
      </c>
      <c r="H528" s="17" t="s">
        <v>2590</v>
      </c>
      <c r="I528" s="17" t="s">
        <v>23</v>
      </c>
      <c r="J528" s="36">
        <v>7692.31</v>
      </c>
      <c r="K528" s="36">
        <v>8363.69</v>
      </c>
      <c r="L528" s="36">
        <f t="shared" si="40"/>
        <v>671.38000000000011</v>
      </c>
      <c r="M528" s="37">
        <f t="shared" si="41"/>
        <v>8.7279373816187861E-2</v>
      </c>
      <c r="N528" s="17" t="str">
        <f t="shared" si="42"/>
        <v>Over Budget</v>
      </c>
      <c r="O528" s="38">
        <f t="shared" si="43"/>
        <v>8363.69</v>
      </c>
      <c r="P528" s="39">
        <f t="shared" si="44"/>
        <v>45931</v>
      </c>
    </row>
    <row r="529" spans="1:16" ht="15.5" x14ac:dyDescent="0.35">
      <c r="A529" s="17" t="s">
        <v>577</v>
      </c>
      <c r="B529" s="35">
        <v>45703</v>
      </c>
      <c r="C529" s="17" t="s">
        <v>25</v>
      </c>
      <c r="D529" s="17" t="s">
        <v>26</v>
      </c>
      <c r="E529" s="17" t="s">
        <v>169</v>
      </c>
      <c r="F529" s="17" t="s">
        <v>52</v>
      </c>
      <c r="G529" s="17" t="s">
        <v>38</v>
      </c>
      <c r="H529" s="17" t="s">
        <v>2591</v>
      </c>
      <c r="I529" s="17" t="s">
        <v>23</v>
      </c>
      <c r="J529" s="36">
        <v>3233.33</v>
      </c>
      <c r="K529" s="36">
        <v>990.47</v>
      </c>
      <c r="L529" s="36">
        <f t="shared" si="40"/>
        <v>-2242.8599999999997</v>
      </c>
      <c r="M529" s="37">
        <f t="shared" si="41"/>
        <v>-0.6936687563595425</v>
      </c>
      <c r="N529" s="17" t="str">
        <f t="shared" si="42"/>
        <v>Under Budget</v>
      </c>
      <c r="O529" s="38">
        <f t="shared" si="43"/>
        <v>990.47</v>
      </c>
      <c r="P529" s="39">
        <f t="shared" si="44"/>
        <v>45689</v>
      </c>
    </row>
    <row r="530" spans="1:16" ht="15.5" x14ac:dyDescent="0.35">
      <c r="A530" s="17" t="s">
        <v>578</v>
      </c>
      <c r="B530" s="35">
        <v>46108</v>
      </c>
      <c r="C530" s="17" t="s">
        <v>12</v>
      </c>
      <c r="D530" s="17" t="s">
        <v>36</v>
      </c>
      <c r="E530" s="17" t="s">
        <v>77</v>
      </c>
      <c r="F530" s="17" t="s">
        <v>52</v>
      </c>
      <c r="G530" s="17" t="s">
        <v>29</v>
      </c>
      <c r="H530" s="17" t="s">
        <v>2598</v>
      </c>
      <c r="I530" s="17" t="s">
        <v>23</v>
      </c>
      <c r="J530" s="36">
        <v>1833.33</v>
      </c>
      <c r="K530" s="36">
        <v>2315.31</v>
      </c>
      <c r="L530" s="36">
        <f t="shared" si="40"/>
        <v>481.98</v>
      </c>
      <c r="M530" s="37">
        <f t="shared" si="41"/>
        <v>0.26289865981574512</v>
      </c>
      <c r="N530" s="17" t="str">
        <f t="shared" si="42"/>
        <v>Over Budget</v>
      </c>
      <c r="O530" s="38">
        <f t="shared" si="43"/>
        <v>-2315.31</v>
      </c>
      <c r="P530" s="39">
        <f t="shared" si="44"/>
        <v>46082</v>
      </c>
    </row>
    <row r="531" spans="1:16" ht="15.5" x14ac:dyDescent="0.35">
      <c r="A531" s="17" t="s">
        <v>579</v>
      </c>
      <c r="B531" s="35">
        <v>45914</v>
      </c>
      <c r="C531" s="17" t="s">
        <v>12</v>
      </c>
      <c r="D531" s="17" t="s">
        <v>36</v>
      </c>
      <c r="E531" s="17" t="s">
        <v>45</v>
      </c>
      <c r="F531" s="17" t="s">
        <v>15</v>
      </c>
      <c r="G531" s="17" t="s">
        <v>22</v>
      </c>
      <c r="H531" s="17" t="s">
        <v>2591</v>
      </c>
      <c r="I531" s="17" t="s">
        <v>39</v>
      </c>
      <c r="J531" s="36">
        <v>7500</v>
      </c>
      <c r="K531" s="36">
        <v>7410.07</v>
      </c>
      <c r="L531" s="36">
        <f t="shared" si="40"/>
        <v>-89.930000000000291</v>
      </c>
      <c r="M531" s="37">
        <f t="shared" si="41"/>
        <v>-1.1990666666666705E-2</v>
      </c>
      <c r="N531" s="17" t="str">
        <f t="shared" si="42"/>
        <v>Under Budget</v>
      </c>
      <c r="O531" s="38">
        <f t="shared" si="43"/>
        <v>-7410.07</v>
      </c>
      <c r="P531" s="39">
        <f t="shared" si="44"/>
        <v>45901</v>
      </c>
    </row>
    <row r="532" spans="1:16" ht="15.5" x14ac:dyDescent="0.35">
      <c r="A532" s="17" t="s">
        <v>580</v>
      </c>
      <c r="B532" s="35">
        <v>46004</v>
      </c>
      <c r="C532" s="17" t="s">
        <v>12</v>
      </c>
      <c r="D532" s="17" t="s">
        <v>2584</v>
      </c>
      <c r="E532" s="17" t="s">
        <v>37</v>
      </c>
      <c r="F532" s="17" t="s">
        <v>52</v>
      </c>
      <c r="G532" s="17" t="s">
        <v>82</v>
      </c>
      <c r="H532" s="17" t="s">
        <v>2586</v>
      </c>
      <c r="I532" s="17" t="s">
        <v>23</v>
      </c>
      <c r="J532" s="36">
        <v>9800</v>
      </c>
      <c r="K532" s="36">
        <v>2535.58</v>
      </c>
      <c r="L532" s="36">
        <f t="shared" si="40"/>
        <v>-7264.42</v>
      </c>
      <c r="M532" s="37">
        <f t="shared" si="41"/>
        <v>-0.7412673469387755</v>
      </c>
      <c r="N532" s="17" t="str">
        <f t="shared" si="42"/>
        <v>Under Budget</v>
      </c>
      <c r="O532" s="38">
        <f t="shared" si="43"/>
        <v>-2535.58</v>
      </c>
      <c r="P532" s="39">
        <f t="shared" si="44"/>
        <v>45992</v>
      </c>
    </row>
    <row r="533" spans="1:16" ht="15.5" x14ac:dyDescent="0.35">
      <c r="A533" s="17" t="s">
        <v>581</v>
      </c>
      <c r="B533" s="35">
        <v>46191</v>
      </c>
      <c r="C533" s="17" t="s">
        <v>12</v>
      </c>
      <c r="D533" s="17" t="s">
        <v>36</v>
      </c>
      <c r="E533" s="17" t="s">
        <v>65</v>
      </c>
      <c r="F533" s="17" t="s">
        <v>34</v>
      </c>
      <c r="G533" s="17" t="s">
        <v>82</v>
      </c>
      <c r="H533" s="17" t="s">
        <v>2593</v>
      </c>
      <c r="I533" s="17" t="s">
        <v>23</v>
      </c>
      <c r="J533" s="36">
        <v>3666.67</v>
      </c>
      <c r="K533" s="36">
        <v>1924.77</v>
      </c>
      <c r="L533" s="36">
        <f t="shared" si="40"/>
        <v>-1741.9</v>
      </c>
      <c r="M533" s="37">
        <f t="shared" si="41"/>
        <v>-0.47506320448799594</v>
      </c>
      <c r="N533" s="17" t="str">
        <f t="shared" si="42"/>
        <v>Under Budget</v>
      </c>
      <c r="O533" s="38">
        <f t="shared" si="43"/>
        <v>-1924.77</v>
      </c>
      <c r="P533" s="39">
        <f t="shared" si="44"/>
        <v>46174</v>
      </c>
    </row>
    <row r="534" spans="1:16" ht="15.5" x14ac:dyDescent="0.35">
      <c r="A534" s="17" t="s">
        <v>582</v>
      </c>
      <c r="B534" s="35">
        <v>46118</v>
      </c>
      <c r="C534" s="17" t="s">
        <v>12</v>
      </c>
      <c r="D534" s="17" t="s">
        <v>26</v>
      </c>
      <c r="E534" s="17" t="s">
        <v>74</v>
      </c>
      <c r="F534" s="17" t="s">
        <v>15</v>
      </c>
      <c r="G534" s="17" t="s">
        <v>38</v>
      </c>
      <c r="H534" s="17" t="s">
        <v>2597</v>
      </c>
      <c r="I534" s="17" t="s">
        <v>30</v>
      </c>
      <c r="J534" s="36">
        <v>6666.67</v>
      </c>
      <c r="K534" s="36">
        <v>5761.15</v>
      </c>
      <c r="L534" s="36">
        <f t="shared" si="40"/>
        <v>-905.52000000000044</v>
      </c>
      <c r="M534" s="37">
        <f t="shared" si="41"/>
        <v>-0.13582793208603403</v>
      </c>
      <c r="N534" s="17" t="str">
        <f t="shared" si="42"/>
        <v>Under Budget</v>
      </c>
      <c r="O534" s="38">
        <f t="shared" si="43"/>
        <v>-5761.15</v>
      </c>
      <c r="P534" s="39">
        <f t="shared" si="44"/>
        <v>46113</v>
      </c>
    </row>
    <row r="535" spans="1:16" ht="15.5" x14ac:dyDescent="0.35">
      <c r="A535" s="17" t="s">
        <v>583</v>
      </c>
      <c r="B535" s="35">
        <v>46165</v>
      </c>
      <c r="C535" s="17" t="s">
        <v>12</v>
      </c>
      <c r="D535" s="17" t="s">
        <v>19</v>
      </c>
      <c r="E535" s="17" t="s">
        <v>20</v>
      </c>
      <c r="F535" s="17" t="s">
        <v>21</v>
      </c>
      <c r="G535" s="17" t="s">
        <v>29</v>
      </c>
      <c r="H535" s="17" t="s">
        <v>2591</v>
      </c>
      <c r="I535" s="17" t="s">
        <v>48</v>
      </c>
      <c r="J535" s="36">
        <v>6000</v>
      </c>
      <c r="K535" s="36">
        <v>1437.89</v>
      </c>
      <c r="L535" s="36">
        <f t="shared" si="40"/>
        <v>-4562.1099999999997</v>
      </c>
      <c r="M535" s="37">
        <f t="shared" si="41"/>
        <v>-0.76035166666666665</v>
      </c>
      <c r="N535" s="17" t="str">
        <f t="shared" si="42"/>
        <v>Under Budget</v>
      </c>
      <c r="O535" s="38">
        <f t="shared" si="43"/>
        <v>-1437.89</v>
      </c>
      <c r="P535" s="39">
        <f t="shared" si="44"/>
        <v>46143</v>
      </c>
    </row>
    <row r="536" spans="1:16" ht="15.5" x14ac:dyDescent="0.35">
      <c r="A536" s="17" t="s">
        <v>584</v>
      </c>
      <c r="B536" s="35">
        <v>45727</v>
      </c>
      <c r="C536" s="17" t="s">
        <v>12</v>
      </c>
      <c r="D536" s="17" t="s">
        <v>32</v>
      </c>
      <c r="E536" s="17" t="s">
        <v>45</v>
      </c>
      <c r="F536" s="17" t="s">
        <v>21</v>
      </c>
      <c r="G536" s="17" t="s">
        <v>38</v>
      </c>
      <c r="H536" s="17" t="s">
        <v>2596</v>
      </c>
      <c r="I536" s="17" t="s">
        <v>39</v>
      </c>
      <c r="J536" s="36">
        <v>6000</v>
      </c>
      <c r="K536" s="36">
        <v>7761.67</v>
      </c>
      <c r="L536" s="36">
        <f t="shared" si="40"/>
        <v>1761.67</v>
      </c>
      <c r="M536" s="37">
        <f t="shared" si="41"/>
        <v>0.29361166666666666</v>
      </c>
      <c r="N536" s="17" t="str">
        <f t="shared" si="42"/>
        <v>Over Budget</v>
      </c>
      <c r="O536" s="38">
        <f t="shared" si="43"/>
        <v>-7761.67</v>
      </c>
      <c r="P536" s="39">
        <f t="shared" si="44"/>
        <v>45717</v>
      </c>
    </row>
    <row r="537" spans="1:16" ht="15.5" x14ac:dyDescent="0.35">
      <c r="A537" s="17" t="s">
        <v>585</v>
      </c>
      <c r="B537" s="35">
        <v>46186</v>
      </c>
      <c r="C537" s="17" t="s">
        <v>25</v>
      </c>
      <c r="D537" s="17" t="s">
        <v>32</v>
      </c>
      <c r="E537" s="17" t="s">
        <v>109</v>
      </c>
      <c r="F537" s="17" t="s">
        <v>52</v>
      </c>
      <c r="G537" s="17" t="s">
        <v>82</v>
      </c>
      <c r="H537" s="17" t="s">
        <v>2597</v>
      </c>
      <c r="I537" s="17" t="s">
        <v>23</v>
      </c>
      <c r="J537" s="36">
        <v>4761.8999999999996</v>
      </c>
      <c r="K537" s="36">
        <v>16190.62</v>
      </c>
      <c r="L537" s="36">
        <f t="shared" si="40"/>
        <v>11428.720000000001</v>
      </c>
      <c r="M537" s="37">
        <f t="shared" si="41"/>
        <v>2.4000336000336007</v>
      </c>
      <c r="N537" s="17" t="str">
        <f t="shared" si="42"/>
        <v>Over Budget</v>
      </c>
      <c r="O537" s="38">
        <f t="shared" si="43"/>
        <v>16190.62</v>
      </c>
      <c r="P537" s="39">
        <f t="shared" si="44"/>
        <v>46174</v>
      </c>
    </row>
    <row r="538" spans="1:16" ht="15.5" x14ac:dyDescent="0.35">
      <c r="A538" s="17" t="s">
        <v>586</v>
      </c>
      <c r="B538" s="35">
        <v>45974</v>
      </c>
      <c r="C538" s="17" t="s">
        <v>12</v>
      </c>
      <c r="D538" s="17" t="s">
        <v>36</v>
      </c>
      <c r="E538" s="17" t="s">
        <v>45</v>
      </c>
      <c r="F538" s="17" t="s">
        <v>34</v>
      </c>
      <c r="G538" s="17" t="s">
        <v>16</v>
      </c>
      <c r="H538" s="17" t="s">
        <v>60</v>
      </c>
      <c r="I538" s="17" t="s">
        <v>48</v>
      </c>
      <c r="J538" s="36">
        <v>9947.3700000000008</v>
      </c>
      <c r="K538" s="36">
        <v>2088.65</v>
      </c>
      <c r="L538" s="36">
        <f t="shared" si="40"/>
        <v>-7858.7200000000012</v>
      </c>
      <c r="M538" s="37">
        <f t="shared" si="41"/>
        <v>-0.79002992750847711</v>
      </c>
      <c r="N538" s="17" t="str">
        <f t="shared" si="42"/>
        <v>Under Budget</v>
      </c>
      <c r="O538" s="38">
        <f t="shared" si="43"/>
        <v>-2088.65</v>
      </c>
      <c r="P538" s="39">
        <f t="shared" si="44"/>
        <v>45962</v>
      </c>
    </row>
    <row r="539" spans="1:16" ht="15.5" x14ac:dyDescent="0.35">
      <c r="A539" s="17" t="s">
        <v>587</v>
      </c>
      <c r="B539" s="35">
        <v>45770</v>
      </c>
      <c r="C539" s="17" t="s">
        <v>12</v>
      </c>
      <c r="D539" s="17" t="s">
        <v>13</v>
      </c>
      <c r="E539" s="17" t="s">
        <v>47</v>
      </c>
      <c r="F539" s="17" t="s">
        <v>21</v>
      </c>
      <c r="G539" s="17" t="s">
        <v>29</v>
      </c>
      <c r="H539" s="17" t="s">
        <v>2590</v>
      </c>
      <c r="I539" s="17" t="s">
        <v>48</v>
      </c>
      <c r="J539" s="36">
        <v>4375</v>
      </c>
      <c r="K539" s="36">
        <v>2411.75</v>
      </c>
      <c r="L539" s="36">
        <f t="shared" si="40"/>
        <v>-1963.25</v>
      </c>
      <c r="M539" s="37">
        <f t="shared" si="41"/>
        <v>-0.44874285714285717</v>
      </c>
      <c r="N539" s="17" t="str">
        <f t="shared" si="42"/>
        <v>Under Budget</v>
      </c>
      <c r="O539" s="38">
        <f t="shared" si="43"/>
        <v>-2411.75</v>
      </c>
      <c r="P539" s="39">
        <f t="shared" si="44"/>
        <v>45748</v>
      </c>
    </row>
    <row r="540" spans="1:16" ht="15.5" x14ac:dyDescent="0.35">
      <c r="A540" s="17" t="s">
        <v>588</v>
      </c>
      <c r="B540" s="35">
        <v>46054</v>
      </c>
      <c r="C540" s="17" t="s">
        <v>25</v>
      </c>
      <c r="D540" s="17" t="s">
        <v>32</v>
      </c>
      <c r="E540" s="17" t="s">
        <v>109</v>
      </c>
      <c r="F540" s="17" t="s">
        <v>34</v>
      </c>
      <c r="G540" s="17" t="s">
        <v>22</v>
      </c>
      <c r="H540" s="17" t="s">
        <v>2597</v>
      </c>
      <c r="I540" s="17" t="s">
        <v>30</v>
      </c>
      <c r="J540" s="36">
        <v>8083.33</v>
      </c>
      <c r="K540" s="36">
        <v>16949.7</v>
      </c>
      <c r="L540" s="36">
        <f t="shared" si="40"/>
        <v>8866.3700000000008</v>
      </c>
      <c r="M540" s="37">
        <f t="shared" si="41"/>
        <v>1.0968709677818425</v>
      </c>
      <c r="N540" s="17" t="str">
        <f t="shared" si="42"/>
        <v>Over Budget</v>
      </c>
      <c r="O540" s="38">
        <f t="shared" si="43"/>
        <v>16949.7</v>
      </c>
      <c r="P540" s="39">
        <f t="shared" si="44"/>
        <v>46054</v>
      </c>
    </row>
    <row r="541" spans="1:16" ht="15.5" x14ac:dyDescent="0.35">
      <c r="A541" s="17" t="s">
        <v>589</v>
      </c>
      <c r="B541" s="35">
        <v>45785</v>
      </c>
      <c r="C541" s="17" t="s">
        <v>12</v>
      </c>
      <c r="D541" s="17" t="s">
        <v>2585</v>
      </c>
      <c r="E541" s="17" t="s">
        <v>45</v>
      </c>
      <c r="F541" s="17" t="s">
        <v>21</v>
      </c>
      <c r="G541" s="17" t="s">
        <v>82</v>
      </c>
      <c r="H541" s="17" t="s">
        <v>2598</v>
      </c>
      <c r="I541" s="17" t="s">
        <v>48</v>
      </c>
      <c r="J541" s="36">
        <v>7200</v>
      </c>
      <c r="K541" s="36">
        <v>16877.82</v>
      </c>
      <c r="L541" s="36">
        <f t="shared" si="40"/>
        <v>9677.82</v>
      </c>
      <c r="M541" s="37">
        <f t="shared" si="41"/>
        <v>1.3441416666666666</v>
      </c>
      <c r="N541" s="17" t="str">
        <f t="shared" si="42"/>
        <v>Over Budget</v>
      </c>
      <c r="O541" s="38">
        <f t="shared" si="43"/>
        <v>-16877.82</v>
      </c>
      <c r="P541" s="39">
        <f t="shared" si="44"/>
        <v>45778</v>
      </c>
    </row>
    <row r="542" spans="1:16" ht="15.5" x14ac:dyDescent="0.35">
      <c r="A542" s="17" t="s">
        <v>590</v>
      </c>
      <c r="B542" s="35">
        <v>45979</v>
      </c>
      <c r="C542" s="17" t="s">
        <v>12</v>
      </c>
      <c r="D542" s="17" t="s">
        <v>32</v>
      </c>
      <c r="E542" s="17" t="s">
        <v>77</v>
      </c>
      <c r="F542" s="17" t="s">
        <v>34</v>
      </c>
      <c r="G542" s="17" t="s">
        <v>38</v>
      </c>
      <c r="H542" s="17" t="s">
        <v>2596</v>
      </c>
      <c r="I542" s="17" t="s">
        <v>17</v>
      </c>
      <c r="J542" s="36">
        <v>2310</v>
      </c>
      <c r="K542" s="36">
        <v>965.9</v>
      </c>
      <c r="L542" s="36">
        <f t="shared" si="40"/>
        <v>-1344.1</v>
      </c>
      <c r="M542" s="37">
        <f t="shared" si="41"/>
        <v>-0.58186147186147186</v>
      </c>
      <c r="N542" s="17" t="str">
        <f t="shared" si="42"/>
        <v>Under Budget</v>
      </c>
      <c r="O542" s="38">
        <f t="shared" si="43"/>
        <v>-965.9</v>
      </c>
      <c r="P542" s="39">
        <f t="shared" si="44"/>
        <v>45962</v>
      </c>
    </row>
    <row r="543" spans="1:16" ht="15.5" x14ac:dyDescent="0.35">
      <c r="A543" s="17" t="s">
        <v>591</v>
      </c>
      <c r="B543" s="35">
        <v>45863</v>
      </c>
      <c r="C543" s="17" t="s">
        <v>12</v>
      </c>
      <c r="D543" s="17" t="s">
        <v>19</v>
      </c>
      <c r="E543" s="17" t="s">
        <v>45</v>
      </c>
      <c r="F543" s="17" t="s">
        <v>34</v>
      </c>
      <c r="G543" s="17" t="s">
        <v>82</v>
      </c>
      <c r="H543" s="17" t="s">
        <v>2596</v>
      </c>
      <c r="I543" s="17" t="s">
        <v>23</v>
      </c>
      <c r="J543" s="36">
        <v>6923.08</v>
      </c>
      <c r="K543" s="36">
        <v>1963.06</v>
      </c>
      <c r="L543" s="36">
        <f t="shared" si="40"/>
        <v>-4960.0200000000004</v>
      </c>
      <c r="M543" s="37">
        <f t="shared" si="41"/>
        <v>-0.7164470149124379</v>
      </c>
      <c r="N543" s="17" t="str">
        <f t="shared" si="42"/>
        <v>Under Budget</v>
      </c>
      <c r="O543" s="38">
        <f t="shared" si="43"/>
        <v>-1963.06</v>
      </c>
      <c r="P543" s="39">
        <f t="shared" si="44"/>
        <v>45839</v>
      </c>
    </row>
    <row r="544" spans="1:16" ht="15.5" x14ac:dyDescent="0.35">
      <c r="A544" s="17" t="s">
        <v>592</v>
      </c>
      <c r="B544" s="35">
        <v>45799</v>
      </c>
      <c r="C544" s="17" t="s">
        <v>25</v>
      </c>
      <c r="D544" s="17" t="s">
        <v>13</v>
      </c>
      <c r="E544" s="17" t="s">
        <v>109</v>
      </c>
      <c r="F544" s="17" t="s">
        <v>52</v>
      </c>
      <c r="G544" s="17" t="s">
        <v>22</v>
      </c>
      <c r="H544" s="17" t="s">
        <v>2597</v>
      </c>
      <c r="I544" s="17" t="s">
        <v>23</v>
      </c>
      <c r="J544" s="36">
        <v>9090.91</v>
      </c>
      <c r="K544" s="36">
        <v>2729.97</v>
      </c>
      <c r="L544" s="36">
        <f t="shared" si="40"/>
        <v>-6360.9400000000005</v>
      </c>
      <c r="M544" s="37">
        <f t="shared" si="41"/>
        <v>-0.69970333002966711</v>
      </c>
      <c r="N544" s="17" t="str">
        <f t="shared" si="42"/>
        <v>Under Budget</v>
      </c>
      <c r="O544" s="38">
        <f t="shared" si="43"/>
        <v>2729.97</v>
      </c>
      <c r="P544" s="39">
        <f t="shared" si="44"/>
        <v>45778</v>
      </c>
    </row>
    <row r="545" spans="1:16" ht="15.5" x14ac:dyDescent="0.35">
      <c r="A545" s="17" t="s">
        <v>593</v>
      </c>
      <c r="B545" s="35">
        <v>45951</v>
      </c>
      <c r="C545" s="17" t="s">
        <v>12</v>
      </c>
      <c r="D545" s="17" t="s">
        <v>19</v>
      </c>
      <c r="E545" s="17" t="s">
        <v>51</v>
      </c>
      <c r="F545" s="17" t="s">
        <v>21</v>
      </c>
      <c r="G545" s="17" t="s">
        <v>38</v>
      </c>
      <c r="H545" s="17" t="s">
        <v>2591</v>
      </c>
      <c r="I545" s="17" t="s">
        <v>23</v>
      </c>
      <c r="J545" s="36">
        <v>5000</v>
      </c>
      <c r="K545" s="36">
        <v>4396.8999999999996</v>
      </c>
      <c r="L545" s="36">
        <f t="shared" si="40"/>
        <v>-603.10000000000036</v>
      </c>
      <c r="M545" s="37">
        <f t="shared" si="41"/>
        <v>-0.12062000000000007</v>
      </c>
      <c r="N545" s="17" t="str">
        <f t="shared" si="42"/>
        <v>Under Budget</v>
      </c>
      <c r="O545" s="38">
        <f t="shared" si="43"/>
        <v>-4396.8999999999996</v>
      </c>
      <c r="P545" s="39">
        <f t="shared" si="44"/>
        <v>45931</v>
      </c>
    </row>
    <row r="546" spans="1:16" ht="15.5" x14ac:dyDescent="0.35">
      <c r="A546" s="17" t="s">
        <v>594</v>
      </c>
      <c r="B546" s="35">
        <v>46037</v>
      </c>
      <c r="C546" s="17" t="s">
        <v>25</v>
      </c>
      <c r="D546" s="17" t="s">
        <v>26</v>
      </c>
      <c r="E546" s="17" t="s">
        <v>27</v>
      </c>
      <c r="F546" s="17" t="s">
        <v>28</v>
      </c>
      <c r="G546" s="17" t="s">
        <v>22</v>
      </c>
      <c r="H546" s="17" t="s">
        <v>2592</v>
      </c>
      <c r="I546" s="17" t="s">
        <v>17</v>
      </c>
      <c r="J546" s="36">
        <v>8622.2199999999993</v>
      </c>
      <c r="K546" s="36">
        <v>7622.39</v>
      </c>
      <c r="L546" s="36">
        <f t="shared" si="40"/>
        <v>-999.82999999999902</v>
      </c>
      <c r="M546" s="37">
        <f t="shared" si="41"/>
        <v>-0.11595969483497279</v>
      </c>
      <c r="N546" s="17" t="str">
        <f t="shared" si="42"/>
        <v>Under Budget</v>
      </c>
      <c r="O546" s="38">
        <f t="shared" si="43"/>
        <v>7622.39</v>
      </c>
      <c r="P546" s="39">
        <f t="shared" si="44"/>
        <v>46023</v>
      </c>
    </row>
    <row r="547" spans="1:16" ht="15.5" x14ac:dyDescent="0.35">
      <c r="A547" s="17" t="s">
        <v>595</v>
      </c>
      <c r="B547" s="35">
        <v>46045</v>
      </c>
      <c r="C547" s="17" t="s">
        <v>12</v>
      </c>
      <c r="D547" s="17" t="s">
        <v>19</v>
      </c>
      <c r="E547" s="17" t="s">
        <v>77</v>
      </c>
      <c r="F547" s="17" t="s">
        <v>52</v>
      </c>
      <c r="G547" s="17" t="s">
        <v>22</v>
      </c>
      <c r="H547" s="17" t="s">
        <v>2598</v>
      </c>
      <c r="I547" s="17" t="s">
        <v>39</v>
      </c>
      <c r="J547" s="36">
        <v>3556.67</v>
      </c>
      <c r="K547" s="36">
        <v>3029.87</v>
      </c>
      <c r="L547" s="36">
        <f t="shared" si="40"/>
        <v>-526.80000000000018</v>
      </c>
      <c r="M547" s="37">
        <f t="shared" si="41"/>
        <v>-0.14811607486778366</v>
      </c>
      <c r="N547" s="17" t="str">
        <f t="shared" si="42"/>
        <v>Under Budget</v>
      </c>
      <c r="O547" s="38">
        <f t="shared" si="43"/>
        <v>-3029.87</v>
      </c>
      <c r="P547" s="39">
        <f t="shared" si="44"/>
        <v>46023</v>
      </c>
    </row>
    <row r="548" spans="1:16" ht="15.5" x14ac:dyDescent="0.35">
      <c r="A548" s="17" t="s">
        <v>596</v>
      </c>
      <c r="B548" s="35">
        <v>45897</v>
      </c>
      <c r="C548" s="17" t="s">
        <v>12</v>
      </c>
      <c r="D548" s="17" t="s">
        <v>36</v>
      </c>
      <c r="E548" s="17" t="s">
        <v>65</v>
      </c>
      <c r="F548" s="17" t="s">
        <v>52</v>
      </c>
      <c r="G548" s="17" t="s">
        <v>22</v>
      </c>
      <c r="H548" s="17" t="s">
        <v>2593</v>
      </c>
      <c r="I548" s="17" t="s">
        <v>23</v>
      </c>
      <c r="J548" s="36">
        <v>3928.57</v>
      </c>
      <c r="K548" s="36">
        <v>4754.76</v>
      </c>
      <c r="L548" s="36">
        <f t="shared" si="40"/>
        <v>826.19</v>
      </c>
      <c r="M548" s="37">
        <f t="shared" si="41"/>
        <v>0.21030298556472202</v>
      </c>
      <c r="N548" s="17" t="str">
        <f t="shared" si="42"/>
        <v>Over Budget</v>
      </c>
      <c r="O548" s="38">
        <f t="shared" si="43"/>
        <v>-4754.76</v>
      </c>
      <c r="P548" s="39">
        <f t="shared" si="44"/>
        <v>45870</v>
      </c>
    </row>
    <row r="549" spans="1:16" ht="15.5" x14ac:dyDescent="0.35">
      <c r="A549" s="17" t="s">
        <v>597</v>
      </c>
      <c r="B549" s="35">
        <v>45890</v>
      </c>
      <c r="C549" s="17" t="s">
        <v>25</v>
      </c>
      <c r="D549" s="17" t="s">
        <v>32</v>
      </c>
      <c r="E549" s="17" t="s">
        <v>27</v>
      </c>
      <c r="F549" s="17" t="s">
        <v>28</v>
      </c>
      <c r="G549" s="17" t="s">
        <v>38</v>
      </c>
      <c r="H549" s="17" t="s">
        <v>2591</v>
      </c>
      <c r="I549" s="17" t="s">
        <v>48</v>
      </c>
      <c r="J549" s="36">
        <v>13333.33</v>
      </c>
      <c r="K549" s="36">
        <v>4223.78</v>
      </c>
      <c r="L549" s="36">
        <f t="shared" si="40"/>
        <v>-9109.5499999999993</v>
      </c>
      <c r="M549" s="37">
        <f t="shared" si="41"/>
        <v>-0.68321642080410516</v>
      </c>
      <c r="N549" s="17" t="str">
        <f t="shared" si="42"/>
        <v>Under Budget</v>
      </c>
      <c r="O549" s="38">
        <f t="shared" si="43"/>
        <v>4223.78</v>
      </c>
      <c r="P549" s="39">
        <f t="shared" si="44"/>
        <v>45870</v>
      </c>
    </row>
    <row r="550" spans="1:16" ht="15.5" x14ac:dyDescent="0.35">
      <c r="A550" s="17" t="s">
        <v>598</v>
      </c>
      <c r="B550" s="35">
        <v>45715</v>
      </c>
      <c r="C550" s="17" t="s">
        <v>12</v>
      </c>
      <c r="D550" s="17" t="s">
        <v>36</v>
      </c>
      <c r="E550" s="17" t="s">
        <v>65</v>
      </c>
      <c r="F550" s="17" t="s">
        <v>34</v>
      </c>
      <c r="G550" s="17" t="s">
        <v>38</v>
      </c>
      <c r="H550" s="17" t="s">
        <v>2596</v>
      </c>
      <c r="I550" s="17" t="s">
        <v>17</v>
      </c>
      <c r="J550" s="36">
        <v>7621.43</v>
      </c>
      <c r="K550" s="36">
        <v>6565.22</v>
      </c>
      <c r="L550" s="36">
        <f t="shared" si="40"/>
        <v>-1056.21</v>
      </c>
      <c r="M550" s="37">
        <f t="shared" si="41"/>
        <v>-0.13858422894391209</v>
      </c>
      <c r="N550" s="17" t="str">
        <f t="shared" si="42"/>
        <v>Under Budget</v>
      </c>
      <c r="O550" s="38">
        <f t="shared" si="43"/>
        <v>-6565.22</v>
      </c>
      <c r="P550" s="39">
        <f t="shared" si="44"/>
        <v>45689</v>
      </c>
    </row>
    <row r="551" spans="1:16" ht="15.5" x14ac:dyDescent="0.35">
      <c r="A551" s="17" t="s">
        <v>599</v>
      </c>
      <c r="B551" s="35">
        <v>45802</v>
      </c>
      <c r="C551" s="17" t="s">
        <v>12</v>
      </c>
      <c r="D551" s="17" t="s">
        <v>2584</v>
      </c>
      <c r="E551" s="17" t="s">
        <v>65</v>
      </c>
      <c r="F551" s="17" t="s">
        <v>21</v>
      </c>
      <c r="G551" s="17" t="s">
        <v>38</v>
      </c>
      <c r="H551" s="17" t="s">
        <v>2595</v>
      </c>
      <c r="I551" s="17" t="s">
        <v>17</v>
      </c>
      <c r="J551" s="36">
        <v>5500</v>
      </c>
      <c r="K551" s="36">
        <v>1868.98</v>
      </c>
      <c r="L551" s="36">
        <f t="shared" si="40"/>
        <v>-3631.02</v>
      </c>
      <c r="M551" s="37">
        <f t="shared" si="41"/>
        <v>-0.66018545454545452</v>
      </c>
      <c r="N551" s="17" t="str">
        <f t="shared" si="42"/>
        <v>Under Budget</v>
      </c>
      <c r="O551" s="38">
        <f t="shared" si="43"/>
        <v>-1868.98</v>
      </c>
      <c r="P551" s="39">
        <f t="shared" si="44"/>
        <v>45778</v>
      </c>
    </row>
    <row r="552" spans="1:16" ht="15.5" x14ac:dyDescent="0.35">
      <c r="A552" s="17" t="s">
        <v>600</v>
      </c>
      <c r="B552" s="35">
        <v>46029</v>
      </c>
      <c r="C552" s="17" t="s">
        <v>12</v>
      </c>
      <c r="D552" s="17" t="s">
        <v>26</v>
      </c>
      <c r="E552" s="17" t="s">
        <v>45</v>
      </c>
      <c r="F552" s="17" t="s">
        <v>34</v>
      </c>
      <c r="G552" s="17" t="s">
        <v>82</v>
      </c>
      <c r="H552" s="17" t="s">
        <v>2586</v>
      </c>
      <c r="I552" s="17" t="s">
        <v>48</v>
      </c>
      <c r="J552" s="36">
        <v>6715.38</v>
      </c>
      <c r="K552" s="36">
        <v>8855.41</v>
      </c>
      <c r="L552" s="36">
        <f t="shared" si="40"/>
        <v>2140.0299999999997</v>
      </c>
      <c r="M552" s="37">
        <f t="shared" si="41"/>
        <v>0.31867593494336877</v>
      </c>
      <c r="N552" s="17" t="str">
        <f t="shared" si="42"/>
        <v>Over Budget</v>
      </c>
      <c r="O552" s="38">
        <f t="shared" si="43"/>
        <v>-8855.41</v>
      </c>
      <c r="P552" s="39">
        <f t="shared" si="44"/>
        <v>46023</v>
      </c>
    </row>
    <row r="553" spans="1:16" ht="15.5" x14ac:dyDescent="0.35">
      <c r="A553" s="17" t="s">
        <v>601</v>
      </c>
      <c r="B553" s="35">
        <v>45860</v>
      </c>
      <c r="C553" s="17" t="s">
        <v>25</v>
      </c>
      <c r="D553" s="17" t="s">
        <v>32</v>
      </c>
      <c r="E553" s="17" t="s">
        <v>33</v>
      </c>
      <c r="F553" s="17" t="s">
        <v>52</v>
      </c>
      <c r="G553" s="17" t="s">
        <v>38</v>
      </c>
      <c r="H553" s="17" t="s">
        <v>80</v>
      </c>
      <c r="I553" s="17" t="s">
        <v>17</v>
      </c>
      <c r="J553" s="36">
        <v>12500</v>
      </c>
      <c r="K553" s="36">
        <v>18665.240000000002</v>
      </c>
      <c r="L553" s="36">
        <f t="shared" si="40"/>
        <v>6165.2400000000016</v>
      </c>
      <c r="M553" s="37">
        <f t="shared" si="41"/>
        <v>0.49321920000000014</v>
      </c>
      <c r="N553" s="17" t="str">
        <f t="shared" si="42"/>
        <v>Over Budget</v>
      </c>
      <c r="O553" s="38">
        <f t="shared" si="43"/>
        <v>18665.240000000002</v>
      </c>
      <c r="P553" s="39">
        <f t="shared" si="44"/>
        <v>45839</v>
      </c>
    </row>
    <row r="554" spans="1:16" ht="15.5" x14ac:dyDescent="0.35">
      <c r="A554" s="17" t="s">
        <v>602</v>
      </c>
      <c r="B554" s="35">
        <v>46179</v>
      </c>
      <c r="C554" s="17" t="s">
        <v>25</v>
      </c>
      <c r="D554" s="17" t="s">
        <v>36</v>
      </c>
      <c r="E554" s="17" t="s">
        <v>33</v>
      </c>
      <c r="F554" s="17" t="s">
        <v>52</v>
      </c>
      <c r="G554" s="17" t="s">
        <v>43</v>
      </c>
      <c r="H554" s="17" t="s">
        <v>2588</v>
      </c>
      <c r="I554" s="17" t="s">
        <v>23</v>
      </c>
      <c r="J554" s="36">
        <v>10000</v>
      </c>
      <c r="K554" s="36">
        <v>7901.91</v>
      </c>
      <c r="L554" s="36">
        <f t="shared" si="40"/>
        <v>-2098.09</v>
      </c>
      <c r="M554" s="37">
        <f t="shared" si="41"/>
        <v>-0.20980900000000002</v>
      </c>
      <c r="N554" s="17" t="str">
        <f t="shared" si="42"/>
        <v>Under Budget</v>
      </c>
      <c r="O554" s="38">
        <f t="shared" si="43"/>
        <v>7901.91</v>
      </c>
      <c r="P554" s="39">
        <f t="shared" si="44"/>
        <v>46174</v>
      </c>
    </row>
    <row r="555" spans="1:16" ht="15.5" x14ac:dyDescent="0.35">
      <c r="A555" s="17" t="s">
        <v>603</v>
      </c>
      <c r="B555" s="35">
        <v>45851</v>
      </c>
      <c r="C555" s="17" t="s">
        <v>12</v>
      </c>
      <c r="D555" s="17" t="s">
        <v>36</v>
      </c>
      <c r="E555" s="17" t="s">
        <v>45</v>
      </c>
      <c r="F555" s="17" t="s">
        <v>52</v>
      </c>
      <c r="G555" s="17" t="s">
        <v>38</v>
      </c>
      <c r="H555" s="17" t="s">
        <v>2588</v>
      </c>
      <c r="I555" s="17" t="s">
        <v>30</v>
      </c>
      <c r="J555" s="36">
        <v>6923.08</v>
      </c>
      <c r="K555" s="36">
        <v>4874</v>
      </c>
      <c r="L555" s="36">
        <f t="shared" si="40"/>
        <v>-2049.08</v>
      </c>
      <c r="M555" s="37">
        <f t="shared" si="41"/>
        <v>-0.29597809067640413</v>
      </c>
      <c r="N555" s="17" t="str">
        <f t="shared" si="42"/>
        <v>Under Budget</v>
      </c>
      <c r="O555" s="38">
        <f t="shared" si="43"/>
        <v>-4874</v>
      </c>
      <c r="P555" s="39">
        <f t="shared" si="44"/>
        <v>45839</v>
      </c>
    </row>
    <row r="556" spans="1:16" ht="15.5" x14ac:dyDescent="0.35">
      <c r="A556" s="17" t="s">
        <v>604</v>
      </c>
      <c r="B556" s="35">
        <v>46095</v>
      </c>
      <c r="C556" s="17" t="s">
        <v>12</v>
      </c>
      <c r="D556" s="17" t="s">
        <v>2585</v>
      </c>
      <c r="E556" s="17" t="s">
        <v>47</v>
      </c>
      <c r="F556" s="17" t="s">
        <v>52</v>
      </c>
      <c r="G556" s="17" t="s">
        <v>38</v>
      </c>
      <c r="H556" s="17" t="s">
        <v>2596</v>
      </c>
      <c r="I556" s="17" t="s">
        <v>48</v>
      </c>
      <c r="J556" s="36">
        <v>3181.82</v>
      </c>
      <c r="K556" s="36">
        <v>4160.8100000000004</v>
      </c>
      <c r="L556" s="36">
        <f t="shared" si="40"/>
        <v>978.99000000000024</v>
      </c>
      <c r="M556" s="37">
        <f t="shared" si="41"/>
        <v>0.30768239561005972</v>
      </c>
      <c r="N556" s="17" t="str">
        <f t="shared" si="42"/>
        <v>Over Budget</v>
      </c>
      <c r="O556" s="38">
        <f t="shared" si="43"/>
        <v>-4160.8100000000004</v>
      </c>
      <c r="P556" s="39">
        <f t="shared" si="44"/>
        <v>46082</v>
      </c>
    </row>
    <row r="557" spans="1:16" ht="15.5" x14ac:dyDescent="0.35">
      <c r="A557" s="17" t="s">
        <v>605</v>
      </c>
      <c r="B557" s="35">
        <v>45907</v>
      </c>
      <c r="C557" s="17" t="s">
        <v>25</v>
      </c>
      <c r="D557" s="17" t="s">
        <v>19</v>
      </c>
      <c r="E557" s="17" t="s">
        <v>27</v>
      </c>
      <c r="F557" s="17" t="s">
        <v>28</v>
      </c>
      <c r="G557" s="17" t="s">
        <v>38</v>
      </c>
      <c r="H557" s="17" t="s">
        <v>2597</v>
      </c>
      <c r="I557" s="17" t="s">
        <v>48</v>
      </c>
      <c r="J557" s="36">
        <v>10000</v>
      </c>
      <c r="K557" s="36">
        <v>966.12</v>
      </c>
      <c r="L557" s="36">
        <f t="shared" si="40"/>
        <v>-9033.8799999999992</v>
      </c>
      <c r="M557" s="37">
        <f t="shared" si="41"/>
        <v>-0.90338799999999997</v>
      </c>
      <c r="N557" s="17" t="str">
        <f t="shared" si="42"/>
        <v>Under Budget</v>
      </c>
      <c r="O557" s="38">
        <f t="shared" si="43"/>
        <v>966.12</v>
      </c>
      <c r="P557" s="39">
        <f t="shared" si="44"/>
        <v>45901</v>
      </c>
    </row>
    <row r="558" spans="1:16" ht="15.5" x14ac:dyDescent="0.35">
      <c r="A558" s="17" t="s">
        <v>606</v>
      </c>
      <c r="B558" s="35">
        <v>45813</v>
      </c>
      <c r="C558" s="17" t="s">
        <v>25</v>
      </c>
      <c r="D558" s="17" t="s">
        <v>19</v>
      </c>
      <c r="E558" s="17" t="s">
        <v>27</v>
      </c>
      <c r="F558" s="17" t="s">
        <v>34</v>
      </c>
      <c r="G558" s="17" t="s">
        <v>22</v>
      </c>
      <c r="H558" s="17" t="s">
        <v>2588</v>
      </c>
      <c r="I558" s="17" t="s">
        <v>48</v>
      </c>
      <c r="J558" s="36">
        <v>5333.33</v>
      </c>
      <c r="K558" s="36">
        <v>5261.9</v>
      </c>
      <c r="L558" s="36">
        <f t="shared" si="40"/>
        <v>-71.430000000000291</v>
      </c>
      <c r="M558" s="37">
        <f t="shared" si="41"/>
        <v>-1.3393133370708412E-2</v>
      </c>
      <c r="N558" s="17" t="str">
        <f t="shared" si="42"/>
        <v>Under Budget</v>
      </c>
      <c r="O558" s="38">
        <f t="shared" si="43"/>
        <v>5261.9</v>
      </c>
      <c r="P558" s="39">
        <f t="shared" si="44"/>
        <v>45809</v>
      </c>
    </row>
    <row r="559" spans="1:16" ht="15.5" x14ac:dyDescent="0.35">
      <c r="A559" s="17" t="s">
        <v>607</v>
      </c>
      <c r="B559" s="35">
        <v>46029</v>
      </c>
      <c r="C559" s="17" t="s">
        <v>12</v>
      </c>
      <c r="D559" s="17" t="s">
        <v>19</v>
      </c>
      <c r="E559" s="17" t="s">
        <v>45</v>
      </c>
      <c r="F559" s="17" t="s">
        <v>28</v>
      </c>
      <c r="G559" s="17" t="s">
        <v>38</v>
      </c>
      <c r="H559" s="17" t="s">
        <v>2593</v>
      </c>
      <c r="I559" s="17" t="s">
        <v>30</v>
      </c>
      <c r="J559" s="36">
        <v>6715.38</v>
      </c>
      <c r="K559" s="36">
        <v>8039.68</v>
      </c>
      <c r="L559" s="36">
        <f t="shared" si="40"/>
        <v>1324.3000000000002</v>
      </c>
      <c r="M559" s="37">
        <f t="shared" si="41"/>
        <v>0.1972040301516817</v>
      </c>
      <c r="N559" s="17" t="str">
        <f t="shared" si="42"/>
        <v>Over Budget</v>
      </c>
      <c r="O559" s="38">
        <f t="shared" si="43"/>
        <v>-8039.68</v>
      </c>
      <c r="P559" s="39">
        <f t="shared" si="44"/>
        <v>46023</v>
      </c>
    </row>
    <row r="560" spans="1:16" ht="15.5" x14ac:dyDescent="0.35">
      <c r="A560" s="17" t="s">
        <v>608</v>
      </c>
      <c r="B560" s="35">
        <v>46021</v>
      </c>
      <c r="C560" s="17" t="s">
        <v>25</v>
      </c>
      <c r="D560" s="17" t="s">
        <v>26</v>
      </c>
      <c r="E560" s="17" t="s">
        <v>33</v>
      </c>
      <c r="F560" s="17" t="s">
        <v>52</v>
      </c>
      <c r="G560" s="17" t="s">
        <v>82</v>
      </c>
      <c r="H560" s="17" t="s">
        <v>2593</v>
      </c>
      <c r="I560" s="17" t="s">
        <v>23</v>
      </c>
      <c r="J560" s="36">
        <v>15441.18</v>
      </c>
      <c r="K560" s="36">
        <v>24800.62</v>
      </c>
      <c r="L560" s="36">
        <f t="shared" si="40"/>
        <v>9359.4399999999987</v>
      </c>
      <c r="M560" s="37">
        <f t="shared" si="41"/>
        <v>0.60613502335961367</v>
      </c>
      <c r="N560" s="17" t="str">
        <f t="shared" si="42"/>
        <v>Over Budget</v>
      </c>
      <c r="O560" s="38">
        <f t="shared" si="43"/>
        <v>24800.62</v>
      </c>
      <c r="P560" s="39">
        <f t="shared" si="44"/>
        <v>45992</v>
      </c>
    </row>
    <row r="561" spans="1:16" ht="15.5" x14ac:dyDescent="0.35">
      <c r="A561" s="17" t="s">
        <v>609</v>
      </c>
      <c r="B561" s="35">
        <v>45668</v>
      </c>
      <c r="C561" s="17" t="s">
        <v>25</v>
      </c>
      <c r="D561" s="17" t="s">
        <v>26</v>
      </c>
      <c r="E561" s="17" t="s">
        <v>109</v>
      </c>
      <c r="F561" s="17" t="s">
        <v>52</v>
      </c>
      <c r="G561" s="17" t="s">
        <v>16</v>
      </c>
      <c r="H561" s="17" t="s">
        <v>2583</v>
      </c>
      <c r="I561" s="17" t="s">
        <v>30</v>
      </c>
      <c r="J561" s="36">
        <v>9700</v>
      </c>
      <c r="K561" s="36">
        <v>9885.6</v>
      </c>
      <c r="L561" s="36">
        <f t="shared" si="40"/>
        <v>185.60000000000036</v>
      </c>
      <c r="M561" s="37">
        <f t="shared" si="41"/>
        <v>1.9134020618556739E-2</v>
      </c>
      <c r="N561" s="17" t="str">
        <f t="shared" si="42"/>
        <v>Over Budget</v>
      </c>
      <c r="O561" s="38">
        <f t="shared" si="43"/>
        <v>9885.6</v>
      </c>
      <c r="P561" s="39">
        <f t="shared" si="44"/>
        <v>45658</v>
      </c>
    </row>
    <row r="562" spans="1:16" ht="15.5" x14ac:dyDescent="0.35">
      <c r="A562" s="17" t="s">
        <v>610</v>
      </c>
      <c r="B562" s="35">
        <v>45902</v>
      </c>
      <c r="C562" s="17" t="s">
        <v>12</v>
      </c>
      <c r="D562" s="17" t="s">
        <v>26</v>
      </c>
      <c r="E562" s="17" t="s">
        <v>51</v>
      </c>
      <c r="F562" s="17" t="s">
        <v>28</v>
      </c>
      <c r="G562" s="17" t="s">
        <v>16</v>
      </c>
      <c r="H562" s="17" t="s">
        <v>2590</v>
      </c>
      <c r="I562" s="17" t="s">
        <v>23</v>
      </c>
      <c r="J562" s="36">
        <v>5000</v>
      </c>
      <c r="K562" s="36">
        <v>6983.38</v>
      </c>
      <c r="L562" s="36">
        <f t="shared" si="40"/>
        <v>1983.38</v>
      </c>
      <c r="M562" s="37">
        <f t="shared" si="41"/>
        <v>0.39667600000000003</v>
      </c>
      <c r="N562" s="17" t="str">
        <f t="shared" si="42"/>
        <v>Over Budget</v>
      </c>
      <c r="O562" s="38">
        <f t="shared" si="43"/>
        <v>-6983.38</v>
      </c>
      <c r="P562" s="39">
        <f t="shared" si="44"/>
        <v>45901</v>
      </c>
    </row>
    <row r="563" spans="1:16" ht="15.5" x14ac:dyDescent="0.35">
      <c r="A563" s="17" t="s">
        <v>611</v>
      </c>
      <c r="B563" s="35">
        <v>46075</v>
      </c>
      <c r="C563" s="17" t="s">
        <v>12</v>
      </c>
      <c r="D563" s="17" t="s">
        <v>19</v>
      </c>
      <c r="E563" s="17" t="s">
        <v>47</v>
      </c>
      <c r="F563" s="17" t="s">
        <v>52</v>
      </c>
      <c r="G563" s="17" t="s">
        <v>38</v>
      </c>
      <c r="H563" s="17" t="s">
        <v>2589</v>
      </c>
      <c r="I563" s="17" t="s">
        <v>48</v>
      </c>
      <c r="J563" s="36">
        <v>5658.33</v>
      </c>
      <c r="K563" s="36">
        <v>4981.0200000000004</v>
      </c>
      <c r="L563" s="36">
        <f t="shared" si="40"/>
        <v>-677.30999999999949</v>
      </c>
      <c r="M563" s="37">
        <f t="shared" si="41"/>
        <v>-0.11970139599493128</v>
      </c>
      <c r="N563" s="17" t="str">
        <f t="shared" si="42"/>
        <v>Under Budget</v>
      </c>
      <c r="O563" s="38">
        <f t="shared" si="43"/>
        <v>-4981.0200000000004</v>
      </c>
      <c r="P563" s="39">
        <f t="shared" si="44"/>
        <v>46054</v>
      </c>
    </row>
    <row r="564" spans="1:16" ht="15.5" x14ac:dyDescent="0.35">
      <c r="A564" s="17" t="s">
        <v>612</v>
      </c>
      <c r="B564" s="35">
        <v>46202</v>
      </c>
      <c r="C564" s="17" t="s">
        <v>12</v>
      </c>
      <c r="D564" s="17" t="s">
        <v>19</v>
      </c>
      <c r="E564" s="17" t="s">
        <v>14</v>
      </c>
      <c r="F564" s="17" t="s">
        <v>28</v>
      </c>
      <c r="G564" s="17" t="s">
        <v>43</v>
      </c>
      <c r="H564" s="17" t="s">
        <v>2595</v>
      </c>
      <c r="I564" s="17" t="s">
        <v>48</v>
      </c>
      <c r="J564" s="36">
        <v>3555.56</v>
      </c>
      <c r="K564" s="36">
        <v>279.13</v>
      </c>
      <c r="L564" s="36">
        <f t="shared" si="40"/>
        <v>-3276.43</v>
      </c>
      <c r="M564" s="37">
        <f t="shared" si="41"/>
        <v>-0.92149478563151788</v>
      </c>
      <c r="N564" s="17" t="str">
        <f t="shared" si="42"/>
        <v>Under Budget</v>
      </c>
      <c r="O564" s="38">
        <f t="shared" si="43"/>
        <v>-279.13</v>
      </c>
      <c r="P564" s="39">
        <f t="shared" si="44"/>
        <v>46174</v>
      </c>
    </row>
    <row r="565" spans="1:16" ht="15.5" x14ac:dyDescent="0.35">
      <c r="A565" s="17" t="s">
        <v>613</v>
      </c>
      <c r="B565" s="35">
        <v>45662</v>
      </c>
      <c r="C565" s="17" t="s">
        <v>12</v>
      </c>
      <c r="D565" s="17" t="s">
        <v>36</v>
      </c>
      <c r="E565" s="17" t="s">
        <v>20</v>
      </c>
      <c r="F565" s="17" t="s">
        <v>28</v>
      </c>
      <c r="G565" s="17" t="s">
        <v>22</v>
      </c>
      <c r="H565" s="17" t="s">
        <v>2587</v>
      </c>
      <c r="I565" s="17" t="s">
        <v>48</v>
      </c>
      <c r="J565" s="36">
        <v>1746</v>
      </c>
      <c r="K565" s="36">
        <v>1373.54</v>
      </c>
      <c r="L565" s="36">
        <f t="shared" si="40"/>
        <v>-372.46000000000004</v>
      </c>
      <c r="M565" s="37">
        <f t="shared" si="41"/>
        <v>-0.21332187857961055</v>
      </c>
      <c r="N565" s="17" t="str">
        <f t="shared" si="42"/>
        <v>Under Budget</v>
      </c>
      <c r="O565" s="38">
        <f t="shared" si="43"/>
        <v>-1373.54</v>
      </c>
      <c r="P565" s="39">
        <f t="shared" si="44"/>
        <v>45658</v>
      </c>
    </row>
    <row r="566" spans="1:16" ht="15.5" x14ac:dyDescent="0.35">
      <c r="A566" s="17" t="s">
        <v>614</v>
      </c>
      <c r="B566" s="35">
        <v>46127</v>
      </c>
      <c r="C566" s="17" t="s">
        <v>25</v>
      </c>
      <c r="D566" s="17" t="s">
        <v>32</v>
      </c>
      <c r="E566" s="17" t="s">
        <v>33</v>
      </c>
      <c r="F566" s="17" t="s">
        <v>28</v>
      </c>
      <c r="G566" s="17" t="s">
        <v>16</v>
      </c>
      <c r="H566" s="17" t="s">
        <v>80</v>
      </c>
      <c r="I566" s="17" t="s">
        <v>23</v>
      </c>
      <c r="J566" s="36">
        <v>8333.33</v>
      </c>
      <c r="K566" s="36">
        <v>11007.89</v>
      </c>
      <c r="L566" s="36">
        <f t="shared" si="40"/>
        <v>2674.5599999999995</v>
      </c>
      <c r="M566" s="37">
        <f t="shared" si="41"/>
        <v>0.32094732837893131</v>
      </c>
      <c r="N566" s="17" t="str">
        <f t="shared" si="42"/>
        <v>Over Budget</v>
      </c>
      <c r="O566" s="38">
        <f t="shared" si="43"/>
        <v>11007.89</v>
      </c>
      <c r="P566" s="39">
        <f t="shared" si="44"/>
        <v>46113</v>
      </c>
    </row>
    <row r="567" spans="1:16" ht="15.5" x14ac:dyDescent="0.35">
      <c r="A567" s="17" t="s">
        <v>615</v>
      </c>
      <c r="B567" s="35">
        <v>46058</v>
      </c>
      <c r="C567" s="17" t="s">
        <v>12</v>
      </c>
      <c r="D567" s="17" t="s">
        <v>19</v>
      </c>
      <c r="E567" s="17" t="s">
        <v>51</v>
      </c>
      <c r="F567" s="17" t="s">
        <v>34</v>
      </c>
      <c r="G567" s="17" t="s">
        <v>43</v>
      </c>
      <c r="H567" s="17" t="s">
        <v>2587</v>
      </c>
      <c r="I567" s="17" t="s">
        <v>39</v>
      </c>
      <c r="J567" s="36">
        <v>2910</v>
      </c>
      <c r="K567" s="36">
        <v>6000.09</v>
      </c>
      <c r="L567" s="36">
        <f t="shared" si="40"/>
        <v>3090.09</v>
      </c>
      <c r="M567" s="37">
        <f t="shared" si="41"/>
        <v>1.0618865979381444</v>
      </c>
      <c r="N567" s="17" t="str">
        <f t="shared" si="42"/>
        <v>Over Budget</v>
      </c>
      <c r="O567" s="38">
        <f t="shared" si="43"/>
        <v>-6000.09</v>
      </c>
      <c r="P567" s="39">
        <f t="shared" si="44"/>
        <v>46054</v>
      </c>
    </row>
    <row r="568" spans="1:16" ht="15.5" x14ac:dyDescent="0.35">
      <c r="A568" s="17" t="s">
        <v>616</v>
      </c>
      <c r="B568" s="35">
        <v>46116</v>
      </c>
      <c r="C568" s="17" t="s">
        <v>12</v>
      </c>
      <c r="D568" s="17" t="s">
        <v>26</v>
      </c>
      <c r="E568" s="17" t="s">
        <v>51</v>
      </c>
      <c r="F568" s="17" t="s">
        <v>34</v>
      </c>
      <c r="G568" s="17" t="s">
        <v>22</v>
      </c>
      <c r="H568" s="17" t="s">
        <v>2598</v>
      </c>
      <c r="I568" s="17" t="s">
        <v>23</v>
      </c>
      <c r="J568" s="36">
        <v>10000</v>
      </c>
      <c r="K568" s="36">
        <v>5404.8</v>
      </c>
      <c r="L568" s="36">
        <f t="shared" si="40"/>
        <v>-4595.2</v>
      </c>
      <c r="M568" s="37">
        <f t="shared" si="41"/>
        <v>-0.45951999999999998</v>
      </c>
      <c r="N568" s="17" t="str">
        <f t="shared" si="42"/>
        <v>Under Budget</v>
      </c>
      <c r="O568" s="38">
        <f t="shared" si="43"/>
        <v>-5404.8</v>
      </c>
      <c r="P568" s="39">
        <f t="shared" si="44"/>
        <v>46113</v>
      </c>
    </row>
    <row r="569" spans="1:16" ht="15.5" x14ac:dyDescent="0.35">
      <c r="A569" s="17" t="s">
        <v>617</v>
      </c>
      <c r="B569" s="35">
        <v>45669</v>
      </c>
      <c r="C569" s="17" t="s">
        <v>12</v>
      </c>
      <c r="D569" s="17" t="s">
        <v>26</v>
      </c>
      <c r="E569" s="17" t="s">
        <v>45</v>
      </c>
      <c r="F569" s="17" t="s">
        <v>52</v>
      </c>
      <c r="G569" s="17" t="s">
        <v>29</v>
      </c>
      <c r="H569" s="17" t="s">
        <v>2592</v>
      </c>
      <c r="I569" s="17" t="s">
        <v>48</v>
      </c>
      <c r="J569" s="36">
        <v>7591.3</v>
      </c>
      <c r="K569" s="36">
        <v>1637.08</v>
      </c>
      <c r="L569" s="36">
        <f t="shared" si="40"/>
        <v>-5954.22</v>
      </c>
      <c r="M569" s="37">
        <f t="shared" si="41"/>
        <v>-0.78434787190599764</v>
      </c>
      <c r="N569" s="17" t="str">
        <f t="shared" si="42"/>
        <v>Under Budget</v>
      </c>
      <c r="O569" s="38">
        <f t="shared" si="43"/>
        <v>-1637.08</v>
      </c>
      <c r="P569" s="39">
        <f t="shared" si="44"/>
        <v>45658</v>
      </c>
    </row>
    <row r="570" spans="1:16" ht="15.5" x14ac:dyDescent="0.35">
      <c r="A570" s="17" t="s">
        <v>618</v>
      </c>
      <c r="B570" s="35">
        <v>45736</v>
      </c>
      <c r="C570" s="17" t="s">
        <v>25</v>
      </c>
      <c r="D570" s="17" t="s">
        <v>32</v>
      </c>
      <c r="E570" s="17" t="s">
        <v>169</v>
      </c>
      <c r="F570" s="17" t="s">
        <v>28</v>
      </c>
      <c r="G570" s="17" t="s">
        <v>38</v>
      </c>
      <c r="H570" s="17" t="s">
        <v>2594</v>
      </c>
      <c r="I570" s="17" t="s">
        <v>39</v>
      </c>
      <c r="J570" s="36">
        <v>2857.14</v>
      </c>
      <c r="K570" s="36">
        <v>3655.97</v>
      </c>
      <c r="L570" s="36">
        <f t="shared" si="40"/>
        <v>798.82999999999993</v>
      </c>
      <c r="M570" s="37">
        <f t="shared" si="41"/>
        <v>0.2795907795907796</v>
      </c>
      <c r="N570" s="17" t="str">
        <f t="shared" si="42"/>
        <v>Over Budget</v>
      </c>
      <c r="O570" s="38">
        <f t="shared" si="43"/>
        <v>3655.97</v>
      </c>
      <c r="P570" s="39">
        <f t="shared" si="44"/>
        <v>45717</v>
      </c>
    </row>
    <row r="571" spans="1:16" ht="15.5" x14ac:dyDescent="0.35">
      <c r="A571" s="17" t="s">
        <v>619</v>
      </c>
      <c r="B571" s="35">
        <v>45786</v>
      </c>
      <c r="C571" s="17" t="s">
        <v>12</v>
      </c>
      <c r="D571" s="17" t="s">
        <v>13</v>
      </c>
      <c r="E571" s="17" t="s">
        <v>65</v>
      </c>
      <c r="F571" s="17" t="s">
        <v>21</v>
      </c>
      <c r="G571" s="17" t="s">
        <v>38</v>
      </c>
      <c r="H571" s="17" t="s">
        <v>2597</v>
      </c>
      <c r="I571" s="17" t="s">
        <v>39</v>
      </c>
      <c r="J571" s="36">
        <v>5500</v>
      </c>
      <c r="K571" s="36">
        <v>6996.83</v>
      </c>
      <c r="L571" s="36">
        <f t="shared" si="40"/>
        <v>1496.83</v>
      </c>
      <c r="M571" s="37">
        <f t="shared" si="41"/>
        <v>0.27215090909090905</v>
      </c>
      <c r="N571" s="17" t="str">
        <f t="shared" si="42"/>
        <v>Over Budget</v>
      </c>
      <c r="O571" s="38">
        <f t="shared" si="43"/>
        <v>-6996.83</v>
      </c>
      <c r="P571" s="39">
        <f t="shared" si="44"/>
        <v>45778</v>
      </c>
    </row>
    <row r="572" spans="1:16" ht="15.5" x14ac:dyDescent="0.35">
      <c r="A572" s="17" t="s">
        <v>620</v>
      </c>
      <c r="B572" s="35">
        <v>46011</v>
      </c>
      <c r="C572" s="17" t="s">
        <v>25</v>
      </c>
      <c r="D572" s="17" t="s">
        <v>13</v>
      </c>
      <c r="E572" s="17" t="s">
        <v>33</v>
      </c>
      <c r="F572" s="17" t="s">
        <v>34</v>
      </c>
      <c r="G572" s="17" t="s">
        <v>16</v>
      </c>
      <c r="H572" s="17" t="s">
        <v>60</v>
      </c>
      <c r="I572" s="17" t="s">
        <v>23</v>
      </c>
      <c r="J572" s="36">
        <v>15441.18</v>
      </c>
      <c r="K572" s="36">
        <v>4345.76</v>
      </c>
      <c r="L572" s="36">
        <f t="shared" si="40"/>
        <v>-11095.42</v>
      </c>
      <c r="M572" s="37">
        <f t="shared" si="41"/>
        <v>-0.71856036909096321</v>
      </c>
      <c r="N572" s="17" t="str">
        <f t="shared" si="42"/>
        <v>Under Budget</v>
      </c>
      <c r="O572" s="38">
        <f t="shared" si="43"/>
        <v>4345.76</v>
      </c>
      <c r="P572" s="39">
        <f t="shared" si="44"/>
        <v>45992</v>
      </c>
    </row>
    <row r="573" spans="1:16" ht="15.5" x14ac:dyDescent="0.35">
      <c r="A573" s="17" t="s">
        <v>621</v>
      </c>
      <c r="B573" s="35">
        <v>46003</v>
      </c>
      <c r="C573" s="17" t="s">
        <v>12</v>
      </c>
      <c r="D573" s="17" t="s">
        <v>19</v>
      </c>
      <c r="E573" s="17" t="s">
        <v>65</v>
      </c>
      <c r="F573" s="17" t="s">
        <v>28</v>
      </c>
      <c r="G573" s="17" t="s">
        <v>82</v>
      </c>
      <c r="H573" s="17" t="s">
        <v>2588</v>
      </c>
      <c r="I573" s="17" t="s">
        <v>23</v>
      </c>
      <c r="J573" s="36">
        <v>4125</v>
      </c>
      <c r="K573" s="36">
        <v>1715.92</v>
      </c>
      <c r="L573" s="36">
        <f t="shared" si="40"/>
        <v>-2409.08</v>
      </c>
      <c r="M573" s="37">
        <f t="shared" si="41"/>
        <v>-0.58401939393939395</v>
      </c>
      <c r="N573" s="17" t="str">
        <f t="shared" si="42"/>
        <v>Under Budget</v>
      </c>
      <c r="O573" s="38">
        <f t="shared" si="43"/>
        <v>-1715.92</v>
      </c>
      <c r="P573" s="39">
        <f t="shared" si="44"/>
        <v>45992</v>
      </c>
    </row>
    <row r="574" spans="1:16" ht="15.5" x14ac:dyDescent="0.35">
      <c r="A574" s="17" t="s">
        <v>622</v>
      </c>
      <c r="B574" s="35">
        <v>45825</v>
      </c>
      <c r="C574" s="17" t="s">
        <v>25</v>
      </c>
      <c r="D574" s="17" t="s">
        <v>32</v>
      </c>
      <c r="E574" s="17" t="s">
        <v>109</v>
      </c>
      <c r="F574" s="17" t="s">
        <v>21</v>
      </c>
      <c r="G574" s="17" t="s">
        <v>82</v>
      </c>
      <c r="H574" s="17" t="s">
        <v>2596</v>
      </c>
      <c r="I574" s="17" t="s">
        <v>30</v>
      </c>
      <c r="J574" s="36">
        <v>6250</v>
      </c>
      <c r="K574" s="36">
        <v>12363.31</v>
      </c>
      <c r="L574" s="36">
        <f t="shared" si="40"/>
        <v>6113.3099999999995</v>
      </c>
      <c r="M574" s="37">
        <f t="shared" si="41"/>
        <v>0.97812959999999993</v>
      </c>
      <c r="N574" s="17" t="str">
        <f t="shared" si="42"/>
        <v>Over Budget</v>
      </c>
      <c r="O574" s="38">
        <f t="shared" si="43"/>
        <v>12363.31</v>
      </c>
      <c r="P574" s="39">
        <f t="shared" si="44"/>
        <v>45809</v>
      </c>
    </row>
    <row r="575" spans="1:16" ht="15.5" x14ac:dyDescent="0.35">
      <c r="A575" s="17" t="s">
        <v>623</v>
      </c>
      <c r="B575" s="35">
        <v>46026</v>
      </c>
      <c r="C575" s="17" t="s">
        <v>12</v>
      </c>
      <c r="D575" s="17" t="s">
        <v>19</v>
      </c>
      <c r="E575" s="17" t="s">
        <v>47</v>
      </c>
      <c r="F575" s="17" t="s">
        <v>15</v>
      </c>
      <c r="G575" s="17" t="s">
        <v>38</v>
      </c>
      <c r="H575" s="17" t="s">
        <v>2591</v>
      </c>
      <c r="I575" s="17" t="s">
        <v>48</v>
      </c>
      <c r="J575" s="36">
        <v>3395</v>
      </c>
      <c r="K575" s="36">
        <v>3254.42</v>
      </c>
      <c r="L575" s="36">
        <f t="shared" si="40"/>
        <v>-140.57999999999993</v>
      </c>
      <c r="M575" s="37">
        <f t="shared" si="41"/>
        <v>-4.1407952871870379E-2</v>
      </c>
      <c r="N575" s="17" t="str">
        <f t="shared" si="42"/>
        <v>Under Budget</v>
      </c>
      <c r="O575" s="38">
        <f t="shared" si="43"/>
        <v>-3254.42</v>
      </c>
      <c r="P575" s="39">
        <f t="shared" si="44"/>
        <v>46023</v>
      </c>
    </row>
    <row r="576" spans="1:16" ht="15.5" x14ac:dyDescent="0.35">
      <c r="A576" s="17" t="s">
        <v>624</v>
      </c>
      <c r="B576" s="35">
        <v>46188</v>
      </c>
      <c r="C576" s="17" t="s">
        <v>25</v>
      </c>
      <c r="D576" s="17" t="s">
        <v>19</v>
      </c>
      <c r="E576" s="17" t="s">
        <v>33</v>
      </c>
      <c r="F576" s="17" t="s">
        <v>52</v>
      </c>
      <c r="G576" s="17" t="s">
        <v>38</v>
      </c>
      <c r="H576" s="17" t="s">
        <v>2591</v>
      </c>
      <c r="I576" s="17" t="s">
        <v>48</v>
      </c>
      <c r="J576" s="36">
        <v>10000</v>
      </c>
      <c r="K576" s="36">
        <v>11091.41</v>
      </c>
      <c r="L576" s="36">
        <f t="shared" si="40"/>
        <v>1091.4099999999999</v>
      </c>
      <c r="M576" s="37">
        <f t="shared" si="41"/>
        <v>0.10914099999999999</v>
      </c>
      <c r="N576" s="17" t="str">
        <f t="shared" si="42"/>
        <v>Over Budget</v>
      </c>
      <c r="O576" s="38">
        <f t="shared" si="43"/>
        <v>11091.41</v>
      </c>
      <c r="P576" s="39">
        <f t="shared" si="44"/>
        <v>46174</v>
      </c>
    </row>
    <row r="577" spans="1:16" ht="15.5" x14ac:dyDescent="0.35">
      <c r="A577" s="17" t="s">
        <v>625</v>
      </c>
      <c r="B577" s="35">
        <v>45906</v>
      </c>
      <c r="C577" s="17" t="s">
        <v>12</v>
      </c>
      <c r="D577" s="17" t="s">
        <v>13</v>
      </c>
      <c r="E577" s="17" t="s">
        <v>74</v>
      </c>
      <c r="F577" s="17" t="s">
        <v>28</v>
      </c>
      <c r="G577" s="17" t="s">
        <v>82</v>
      </c>
      <c r="H577" s="17" t="s">
        <v>2592</v>
      </c>
      <c r="I577" s="17" t="s">
        <v>23</v>
      </c>
      <c r="J577" s="36">
        <v>5000</v>
      </c>
      <c r="K577" s="36">
        <v>4244.55</v>
      </c>
      <c r="L577" s="36">
        <f t="shared" si="40"/>
        <v>-755.44999999999982</v>
      </c>
      <c r="M577" s="37">
        <f t="shared" si="41"/>
        <v>-0.15108999999999997</v>
      </c>
      <c r="N577" s="17" t="str">
        <f t="shared" si="42"/>
        <v>Under Budget</v>
      </c>
      <c r="O577" s="38">
        <f t="shared" si="43"/>
        <v>-4244.55</v>
      </c>
      <c r="P577" s="39">
        <f t="shared" si="44"/>
        <v>45901</v>
      </c>
    </row>
    <row r="578" spans="1:16" ht="15.5" x14ac:dyDescent="0.35">
      <c r="A578" s="17" t="s">
        <v>626</v>
      </c>
      <c r="B578" s="35">
        <v>46049</v>
      </c>
      <c r="C578" s="17" t="s">
        <v>12</v>
      </c>
      <c r="D578" s="17" t="s">
        <v>26</v>
      </c>
      <c r="E578" s="17" t="s">
        <v>14</v>
      </c>
      <c r="F578" s="17" t="s">
        <v>34</v>
      </c>
      <c r="G578" s="17" t="s">
        <v>38</v>
      </c>
      <c r="H578" s="17" t="s">
        <v>2587</v>
      </c>
      <c r="I578" s="17" t="s">
        <v>23</v>
      </c>
      <c r="J578" s="36">
        <v>3104</v>
      </c>
      <c r="K578" s="36">
        <v>4774.92</v>
      </c>
      <c r="L578" s="36">
        <f t="shared" si="40"/>
        <v>1670.92</v>
      </c>
      <c r="M578" s="37">
        <f t="shared" si="41"/>
        <v>0.53831185567010309</v>
      </c>
      <c r="N578" s="17" t="str">
        <f t="shared" si="42"/>
        <v>Over Budget</v>
      </c>
      <c r="O578" s="38">
        <f t="shared" si="43"/>
        <v>-4774.92</v>
      </c>
      <c r="P578" s="39">
        <f t="shared" si="44"/>
        <v>46023</v>
      </c>
    </row>
    <row r="579" spans="1:16" ht="15.5" x14ac:dyDescent="0.35">
      <c r="A579" s="17" t="s">
        <v>627</v>
      </c>
      <c r="B579" s="35">
        <v>45975</v>
      </c>
      <c r="C579" s="17" t="s">
        <v>12</v>
      </c>
      <c r="D579" s="17" t="s">
        <v>2584</v>
      </c>
      <c r="E579" s="17" t="s">
        <v>37</v>
      </c>
      <c r="F579" s="17" t="s">
        <v>15</v>
      </c>
      <c r="G579" s="17" t="s">
        <v>43</v>
      </c>
      <c r="H579" s="17" t="s">
        <v>2593</v>
      </c>
      <c r="I579" s="17" t="s">
        <v>30</v>
      </c>
      <c r="J579" s="36">
        <v>4900</v>
      </c>
      <c r="K579" s="36">
        <v>816.52</v>
      </c>
      <c r="L579" s="36">
        <f t="shared" ref="L579:L642" si="45">K579-J579</f>
        <v>-4083.48</v>
      </c>
      <c r="M579" s="37">
        <f t="shared" ref="M579:M642" si="46">IF(J579=0,0,L579/J579)</f>
        <v>-0.83336326530612248</v>
      </c>
      <c r="N579" s="17" t="str">
        <f t="shared" ref="N579:N642" si="47">IF(J579=0,"No Budget",IF(K579&gt;J579,"Over Budget",IF(K579&lt;J579,"Under Budget","On Budget")))</f>
        <v>Under Budget</v>
      </c>
      <c r="O579" s="38">
        <f t="shared" ref="O579:O642" si="48">IF(C579="Revenue",K579,-K579)</f>
        <v>-816.52</v>
      </c>
      <c r="P579" s="39">
        <f t="shared" ref="P579:P642" si="49">DATE(YEAR(B579),MONTH(B579),1)</f>
        <v>45962</v>
      </c>
    </row>
    <row r="580" spans="1:16" ht="15.5" x14ac:dyDescent="0.35">
      <c r="A580" s="17" t="s">
        <v>628</v>
      </c>
      <c r="B580" s="35">
        <v>45934</v>
      </c>
      <c r="C580" s="17" t="s">
        <v>12</v>
      </c>
      <c r="D580" s="17" t="s">
        <v>26</v>
      </c>
      <c r="E580" s="17" t="s">
        <v>14</v>
      </c>
      <c r="F580" s="17" t="s">
        <v>52</v>
      </c>
      <c r="G580" s="17" t="s">
        <v>38</v>
      </c>
      <c r="H580" s="17" t="s">
        <v>2587</v>
      </c>
      <c r="I580" s="17" t="s">
        <v>48</v>
      </c>
      <c r="J580" s="36">
        <v>2666.67</v>
      </c>
      <c r="K580" s="36">
        <v>1486.73</v>
      </c>
      <c r="L580" s="36">
        <f t="shared" si="45"/>
        <v>-1179.94</v>
      </c>
      <c r="M580" s="37">
        <f t="shared" si="46"/>
        <v>-0.44247694690381639</v>
      </c>
      <c r="N580" s="17" t="str">
        <f t="shared" si="47"/>
        <v>Under Budget</v>
      </c>
      <c r="O580" s="38">
        <f t="shared" si="48"/>
        <v>-1486.73</v>
      </c>
      <c r="P580" s="39">
        <f t="shared" si="49"/>
        <v>45931</v>
      </c>
    </row>
    <row r="581" spans="1:16" ht="15.5" x14ac:dyDescent="0.35">
      <c r="A581" s="17" t="s">
        <v>629</v>
      </c>
      <c r="B581" s="35">
        <v>45998</v>
      </c>
      <c r="C581" s="17" t="s">
        <v>25</v>
      </c>
      <c r="D581" s="17" t="s">
        <v>32</v>
      </c>
      <c r="E581" s="17" t="s">
        <v>109</v>
      </c>
      <c r="F581" s="17" t="s">
        <v>34</v>
      </c>
      <c r="G581" s="17" t="s">
        <v>38</v>
      </c>
      <c r="H581" s="17" t="s">
        <v>2589</v>
      </c>
      <c r="I581" s="17" t="s">
        <v>23</v>
      </c>
      <c r="J581" s="36">
        <v>9545.4500000000007</v>
      </c>
      <c r="K581" s="36">
        <v>6456.37</v>
      </c>
      <c r="L581" s="36">
        <f t="shared" si="45"/>
        <v>-3089.0800000000008</v>
      </c>
      <c r="M581" s="37">
        <f t="shared" si="46"/>
        <v>-0.32361805886574235</v>
      </c>
      <c r="N581" s="17" t="str">
        <f t="shared" si="47"/>
        <v>Under Budget</v>
      </c>
      <c r="O581" s="38">
        <f t="shared" si="48"/>
        <v>6456.37</v>
      </c>
      <c r="P581" s="39">
        <f t="shared" si="49"/>
        <v>45992</v>
      </c>
    </row>
    <row r="582" spans="1:16" ht="15.5" x14ac:dyDescent="0.35">
      <c r="A582" s="17" t="s">
        <v>630</v>
      </c>
      <c r="B582" s="35">
        <v>45956</v>
      </c>
      <c r="C582" s="17" t="s">
        <v>25</v>
      </c>
      <c r="D582" s="17" t="s">
        <v>32</v>
      </c>
      <c r="E582" s="17" t="s">
        <v>33</v>
      </c>
      <c r="F582" s="17" t="s">
        <v>15</v>
      </c>
      <c r="G582" s="17" t="s">
        <v>82</v>
      </c>
      <c r="H582" s="17" t="s">
        <v>2598</v>
      </c>
      <c r="I582" s="17" t="s">
        <v>23</v>
      </c>
      <c r="J582" s="36">
        <v>8928.57</v>
      </c>
      <c r="K582" s="36">
        <v>7114.32</v>
      </c>
      <c r="L582" s="36">
        <f t="shared" si="45"/>
        <v>-1814.25</v>
      </c>
      <c r="M582" s="37">
        <f t="shared" si="46"/>
        <v>-0.2031960325113652</v>
      </c>
      <c r="N582" s="17" t="str">
        <f t="shared" si="47"/>
        <v>Under Budget</v>
      </c>
      <c r="O582" s="38">
        <f t="shared" si="48"/>
        <v>7114.32</v>
      </c>
      <c r="P582" s="39">
        <f t="shared" si="49"/>
        <v>45931</v>
      </c>
    </row>
    <row r="583" spans="1:16" ht="15.5" x14ac:dyDescent="0.35">
      <c r="A583" s="17" t="s">
        <v>631</v>
      </c>
      <c r="B583" s="35">
        <v>46067</v>
      </c>
      <c r="C583" s="17" t="s">
        <v>12</v>
      </c>
      <c r="D583" s="17" t="s">
        <v>19</v>
      </c>
      <c r="E583" s="17" t="s">
        <v>14</v>
      </c>
      <c r="F583" s="17" t="s">
        <v>52</v>
      </c>
      <c r="G583" s="17" t="s">
        <v>38</v>
      </c>
      <c r="H583" s="17" t="s">
        <v>2589</v>
      </c>
      <c r="I583" s="17" t="s">
        <v>30</v>
      </c>
      <c r="J583" s="36">
        <v>5173.33</v>
      </c>
      <c r="K583" s="36">
        <v>1014.75</v>
      </c>
      <c r="L583" s="36">
        <f t="shared" si="45"/>
        <v>-4158.58</v>
      </c>
      <c r="M583" s="37">
        <f t="shared" si="46"/>
        <v>-0.80384974474854687</v>
      </c>
      <c r="N583" s="17" t="str">
        <f t="shared" si="47"/>
        <v>Under Budget</v>
      </c>
      <c r="O583" s="38">
        <f t="shared" si="48"/>
        <v>-1014.75</v>
      </c>
      <c r="P583" s="39">
        <f t="shared" si="49"/>
        <v>46054</v>
      </c>
    </row>
    <row r="584" spans="1:16" ht="15.5" x14ac:dyDescent="0.35">
      <c r="A584" s="17" t="s">
        <v>632</v>
      </c>
      <c r="B584" s="35">
        <v>45880</v>
      </c>
      <c r="C584" s="17" t="s">
        <v>25</v>
      </c>
      <c r="D584" s="17" t="s">
        <v>32</v>
      </c>
      <c r="E584" s="17" t="s">
        <v>109</v>
      </c>
      <c r="F584" s="17" t="s">
        <v>15</v>
      </c>
      <c r="G584" s="17" t="s">
        <v>22</v>
      </c>
      <c r="H584" s="17" t="s">
        <v>80</v>
      </c>
      <c r="I584" s="17" t="s">
        <v>23</v>
      </c>
      <c r="J584" s="36">
        <v>7142.86</v>
      </c>
      <c r="K584" s="36">
        <v>12507.26</v>
      </c>
      <c r="L584" s="36">
        <f t="shared" si="45"/>
        <v>5364.4000000000005</v>
      </c>
      <c r="M584" s="37">
        <f t="shared" si="46"/>
        <v>0.75101569959372028</v>
      </c>
      <c r="N584" s="17" t="str">
        <f t="shared" si="47"/>
        <v>Over Budget</v>
      </c>
      <c r="O584" s="38">
        <f t="shared" si="48"/>
        <v>12507.26</v>
      </c>
      <c r="P584" s="39">
        <f t="shared" si="49"/>
        <v>45870</v>
      </c>
    </row>
    <row r="585" spans="1:16" ht="15.5" x14ac:dyDescent="0.35">
      <c r="A585" s="17" t="s">
        <v>633</v>
      </c>
      <c r="B585" s="35">
        <v>45897</v>
      </c>
      <c r="C585" s="17" t="s">
        <v>12</v>
      </c>
      <c r="D585" s="17" t="s">
        <v>26</v>
      </c>
      <c r="E585" s="17" t="s">
        <v>51</v>
      </c>
      <c r="F585" s="17" t="s">
        <v>52</v>
      </c>
      <c r="G585" s="17" t="s">
        <v>38</v>
      </c>
      <c r="H585" s="17" t="s">
        <v>2588</v>
      </c>
      <c r="I585" s="17" t="s">
        <v>48</v>
      </c>
      <c r="J585" s="36">
        <v>15000</v>
      </c>
      <c r="K585" s="36">
        <v>7061.73</v>
      </c>
      <c r="L585" s="36">
        <f t="shared" si="45"/>
        <v>-7938.27</v>
      </c>
      <c r="M585" s="37">
        <f t="shared" si="46"/>
        <v>-0.52921800000000008</v>
      </c>
      <c r="N585" s="17" t="str">
        <f t="shared" si="47"/>
        <v>Under Budget</v>
      </c>
      <c r="O585" s="38">
        <f t="shared" si="48"/>
        <v>-7061.73</v>
      </c>
      <c r="P585" s="39">
        <f t="shared" si="49"/>
        <v>45870</v>
      </c>
    </row>
    <row r="586" spans="1:16" ht="15.5" x14ac:dyDescent="0.35">
      <c r="A586" s="17" t="s">
        <v>634</v>
      </c>
      <c r="B586" s="35">
        <v>46199</v>
      </c>
      <c r="C586" s="17" t="s">
        <v>25</v>
      </c>
      <c r="D586" s="17" t="s">
        <v>32</v>
      </c>
      <c r="E586" s="17" t="s">
        <v>109</v>
      </c>
      <c r="F586" s="17" t="s">
        <v>52</v>
      </c>
      <c r="G586" s="17" t="s">
        <v>38</v>
      </c>
      <c r="H586" s="17" t="s">
        <v>2597</v>
      </c>
      <c r="I586" s="17" t="s">
        <v>30</v>
      </c>
      <c r="J586" s="36">
        <v>4761.8999999999996</v>
      </c>
      <c r="K586" s="36">
        <v>2448.89</v>
      </c>
      <c r="L586" s="36">
        <f t="shared" si="45"/>
        <v>-2313.0099999999998</v>
      </c>
      <c r="M586" s="37">
        <f t="shared" si="46"/>
        <v>-0.48573258573258571</v>
      </c>
      <c r="N586" s="17" t="str">
        <f t="shared" si="47"/>
        <v>Under Budget</v>
      </c>
      <c r="O586" s="38">
        <f t="shared" si="48"/>
        <v>2448.89</v>
      </c>
      <c r="P586" s="39">
        <f t="shared" si="49"/>
        <v>46174</v>
      </c>
    </row>
    <row r="587" spans="1:16" ht="15.5" x14ac:dyDescent="0.35">
      <c r="A587" s="17" t="s">
        <v>635</v>
      </c>
      <c r="B587" s="35">
        <v>46049</v>
      </c>
      <c r="C587" s="17" t="s">
        <v>25</v>
      </c>
      <c r="D587" s="17" t="s">
        <v>2585</v>
      </c>
      <c r="E587" s="17" t="s">
        <v>27</v>
      </c>
      <c r="F587" s="17" t="s">
        <v>28</v>
      </c>
      <c r="G587" s="17" t="s">
        <v>38</v>
      </c>
      <c r="H587" s="17" t="s">
        <v>60</v>
      </c>
      <c r="I587" s="17" t="s">
        <v>48</v>
      </c>
      <c r="J587" s="36">
        <v>8622.2199999999993</v>
      </c>
      <c r="K587" s="36">
        <v>7975.58</v>
      </c>
      <c r="L587" s="36">
        <f t="shared" si="45"/>
        <v>-646.63999999999942</v>
      </c>
      <c r="M587" s="37">
        <f t="shared" si="46"/>
        <v>-7.4996926545599557E-2</v>
      </c>
      <c r="N587" s="17" t="str">
        <f t="shared" si="47"/>
        <v>Under Budget</v>
      </c>
      <c r="O587" s="38">
        <f t="shared" si="48"/>
        <v>7975.58</v>
      </c>
      <c r="P587" s="39">
        <f t="shared" si="49"/>
        <v>46023</v>
      </c>
    </row>
    <row r="588" spans="1:16" ht="15.5" x14ac:dyDescent="0.35">
      <c r="A588" s="17" t="s">
        <v>636</v>
      </c>
      <c r="B588" s="35">
        <v>45887</v>
      </c>
      <c r="C588" s="17" t="s">
        <v>12</v>
      </c>
      <c r="D588" s="17" t="s">
        <v>26</v>
      </c>
      <c r="E588" s="17" t="s">
        <v>37</v>
      </c>
      <c r="F588" s="17" t="s">
        <v>21</v>
      </c>
      <c r="G588" s="17" t="s">
        <v>38</v>
      </c>
      <c r="H588" s="17" t="s">
        <v>2596</v>
      </c>
      <c r="I588" s="17" t="s">
        <v>39</v>
      </c>
      <c r="J588" s="36">
        <v>4666.67</v>
      </c>
      <c r="K588" s="36">
        <v>2566.39</v>
      </c>
      <c r="L588" s="36">
        <f t="shared" si="45"/>
        <v>-2100.2800000000002</v>
      </c>
      <c r="M588" s="37">
        <f t="shared" si="46"/>
        <v>-0.45005967852880108</v>
      </c>
      <c r="N588" s="17" t="str">
        <f t="shared" si="47"/>
        <v>Under Budget</v>
      </c>
      <c r="O588" s="38">
        <f t="shared" si="48"/>
        <v>-2566.39</v>
      </c>
      <c r="P588" s="39">
        <f t="shared" si="49"/>
        <v>45870</v>
      </c>
    </row>
    <row r="589" spans="1:16" ht="15.5" x14ac:dyDescent="0.35">
      <c r="A589" s="17" t="s">
        <v>637</v>
      </c>
      <c r="B589" s="35">
        <v>45887</v>
      </c>
      <c r="C589" s="17" t="s">
        <v>12</v>
      </c>
      <c r="D589" s="17" t="s">
        <v>19</v>
      </c>
      <c r="E589" s="17" t="s">
        <v>47</v>
      </c>
      <c r="F589" s="17" t="s">
        <v>28</v>
      </c>
      <c r="G589" s="17" t="s">
        <v>38</v>
      </c>
      <c r="H589" s="17" t="s">
        <v>2590</v>
      </c>
      <c r="I589" s="17" t="s">
        <v>48</v>
      </c>
      <c r="J589" s="36">
        <v>17500</v>
      </c>
      <c r="K589" s="36">
        <v>4889.78</v>
      </c>
      <c r="L589" s="36">
        <f t="shared" si="45"/>
        <v>-12610.220000000001</v>
      </c>
      <c r="M589" s="37">
        <f t="shared" si="46"/>
        <v>-0.72058400000000011</v>
      </c>
      <c r="N589" s="17" t="str">
        <f t="shared" si="47"/>
        <v>Under Budget</v>
      </c>
      <c r="O589" s="38">
        <f t="shared" si="48"/>
        <v>-4889.78</v>
      </c>
      <c r="P589" s="39">
        <f t="shared" si="49"/>
        <v>45870</v>
      </c>
    </row>
    <row r="590" spans="1:16" ht="15.5" x14ac:dyDescent="0.35">
      <c r="A590" s="17" t="s">
        <v>638</v>
      </c>
      <c r="B590" s="35">
        <v>45799</v>
      </c>
      <c r="C590" s="17" t="s">
        <v>25</v>
      </c>
      <c r="D590" s="17" t="s">
        <v>32</v>
      </c>
      <c r="E590" s="17" t="s">
        <v>33</v>
      </c>
      <c r="F590" s="17" t="s">
        <v>28</v>
      </c>
      <c r="G590" s="17" t="s">
        <v>16</v>
      </c>
      <c r="H590" s="17" t="s">
        <v>2593</v>
      </c>
      <c r="I590" s="17" t="s">
        <v>23</v>
      </c>
      <c r="J590" s="36">
        <v>9615.3799999999992</v>
      </c>
      <c r="K590" s="36">
        <v>4516.99</v>
      </c>
      <c r="L590" s="36">
        <f t="shared" si="45"/>
        <v>-5098.3899999999994</v>
      </c>
      <c r="M590" s="37">
        <f t="shared" si="46"/>
        <v>-0.53023281451175097</v>
      </c>
      <c r="N590" s="17" t="str">
        <f t="shared" si="47"/>
        <v>Under Budget</v>
      </c>
      <c r="O590" s="38">
        <f t="shared" si="48"/>
        <v>4516.99</v>
      </c>
      <c r="P590" s="39">
        <f t="shared" si="49"/>
        <v>45778</v>
      </c>
    </row>
    <row r="591" spans="1:16" ht="15.5" x14ac:dyDescent="0.35">
      <c r="A591" s="17" t="s">
        <v>639</v>
      </c>
      <c r="B591" s="35">
        <v>45801</v>
      </c>
      <c r="C591" s="17" t="s">
        <v>12</v>
      </c>
      <c r="D591" s="17" t="s">
        <v>36</v>
      </c>
      <c r="E591" s="17" t="s">
        <v>47</v>
      </c>
      <c r="F591" s="17" t="s">
        <v>34</v>
      </c>
      <c r="G591" s="17" t="s">
        <v>22</v>
      </c>
      <c r="H591" s="17" t="s">
        <v>2592</v>
      </c>
      <c r="I591" s="17" t="s">
        <v>23</v>
      </c>
      <c r="J591" s="36">
        <v>3888.89</v>
      </c>
      <c r="K591" s="36">
        <v>1789.35</v>
      </c>
      <c r="L591" s="36">
        <f t="shared" si="45"/>
        <v>-2099.54</v>
      </c>
      <c r="M591" s="37">
        <f t="shared" si="46"/>
        <v>-0.53988156003384002</v>
      </c>
      <c r="N591" s="17" t="str">
        <f t="shared" si="47"/>
        <v>Under Budget</v>
      </c>
      <c r="O591" s="38">
        <f t="shared" si="48"/>
        <v>-1789.35</v>
      </c>
      <c r="P591" s="39">
        <f t="shared" si="49"/>
        <v>45778</v>
      </c>
    </row>
    <row r="592" spans="1:16" ht="15.5" x14ac:dyDescent="0.35">
      <c r="A592" s="17" t="s">
        <v>640</v>
      </c>
      <c r="B592" s="35">
        <v>45886</v>
      </c>
      <c r="C592" s="17" t="s">
        <v>12</v>
      </c>
      <c r="D592" s="17" t="s">
        <v>2585</v>
      </c>
      <c r="E592" s="17" t="s">
        <v>65</v>
      </c>
      <c r="F592" s="17" t="s">
        <v>28</v>
      </c>
      <c r="G592" s="17" t="s">
        <v>16</v>
      </c>
      <c r="H592" s="17" t="s">
        <v>2590</v>
      </c>
      <c r="I592" s="17" t="s">
        <v>23</v>
      </c>
      <c r="J592" s="36">
        <v>3928.57</v>
      </c>
      <c r="K592" s="36">
        <v>910.39</v>
      </c>
      <c r="L592" s="36">
        <f t="shared" si="45"/>
        <v>-3018.1800000000003</v>
      </c>
      <c r="M592" s="37">
        <f t="shared" si="46"/>
        <v>-0.76826427936882891</v>
      </c>
      <c r="N592" s="17" t="str">
        <f t="shared" si="47"/>
        <v>Under Budget</v>
      </c>
      <c r="O592" s="38">
        <f t="shared" si="48"/>
        <v>-910.39</v>
      </c>
      <c r="P592" s="39">
        <f t="shared" si="49"/>
        <v>45870</v>
      </c>
    </row>
    <row r="593" spans="1:16" ht="15.5" x14ac:dyDescent="0.35">
      <c r="A593" s="17" t="s">
        <v>641</v>
      </c>
      <c r="B593" s="35">
        <v>45690</v>
      </c>
      <c r="C593" s="17" t="s">
        <v>12</v>
      </c>
      <c r="D593" s="17" t="s">
        <v>19</v>
      </c>
      <c r="E593" s="17" t="s">
        <v>65</v>
      </c>
      <c r="F593" s="17" t="s">
        <v>52</v>
      </c>
      <c r="G593" s="17" t="s">
        <v>82</v>
      </c>
      <c r="H593" s="17" t="s">
        <v>2592</v>
      </c>
      <c r="I593" s="17" t="s">
        <v>17</v>
      </c>
      <c r="J593" s="36">
        <v>7621.43</v>
      </c>
      <c r="K593" s="36">
        <v>3286.38</v>
      </c>
      <c r="L593" s="36">
        <f t="shared" si="45"/>
        <v>-4335.05</v>
      </c>
      <c r="M593" s="37">
        <f t="shared" si="46"/>
        <v>-0.56879745664527526</v>
      </c>
      <c r="N593" s="17" t="str">
        <f t="shared" si="47"/>
        <v>Under Budget</v>
      </c>
      <c r="O593" s="38">
        <f t="shared" si="48"/>
        <v>-3286.38</v>
      </c>
      <c r="P593" s="39">
        <f t="shared" si="49"/>
        <v>45689</v>
      </c>
    </row>
    <row r="594" spans="1:16" ht="15.5" x14ac:dyDescent="0.35">
      <c r="A594" s="17" t="s">
        <v>642</v>
      </c>
      <c r="B594" s="35">
        <v>46070</v>
      </c>
      <c r="C594" s="17" t="s">
        <v>25</v>
      </c>
      <c r="D594" s="17" t="s">
        <v>26</v>
      </c>
      <c r="E594" s="17" t="s">
        <v>33</v>
      </c>
      <c r="F594" s="17" t="s">
        <v>52</v>
      </c>
      <c r="G594" s="17" t="s">
        <v>16</v>
      </c>
      <c r="H594" s="17" t="s">
        <v>2591</v>
      </c>
      <c r="I594" s="17" t="s">
        <v>23</v>
      </c>
      <c r="J594" s="36">
        <v>12125</v>
      </c>
      <c r="K594" s="36">
        <v>5552.05</v>
      </c>
      <c r="L594" s="36">
        <f t="shared" si="45"/>
        <v>-6572.95</v>
      </c>
      <c r="M594" s="37">
        <f t="shared" si="46"/>
        <v>-0.54209896907216493</v>
      </c>
      <c r="N594" s="17" t="str">
        <f t="shared" si="47"/>
        <v>Under Budget</v>
      </c>
      <c r="O594" s="38">
        <f t="shared" si="48"/>
        <v>5552.05</v>
      </c>
      <c r="P594" s="39">
        <f t="shared" si="49"/>
        <v>46054</v>
      </c>
    </row>
    <row r="595" spans="1:16" ht="15.5" x14ac:dyDescent="0.35">
      <c r="A595" s="17" t="s">
        <v>643</v>
      </c>
      <c r="B595" s="35">
        <v>45959</v>
      </c>
      <c r="C595" s="17" t="s">
        <v>25</v>
      </c>
      <c r="D595" s="17" t="s">
        <v>26</v>
      </c>
      <c r="E595" s="17" t="s">
        <v>33</v>
      </c>
      <c r="F595" s="17" t="s">
        <v>52</v>
      </c>
      <c r="G595" s="17" t="s">
        <v>38</v>
      </c>
      <c r="H595" s="17" t="s">
        <v>2587</v>
      </c>
      <c r="I595" s="17" t="s">
        <v>48</v>
      </c>
      <c r="J595" s="36">
        <v>8928.57</v>
      </c>
      <c r="K595" s="36">
        <v>21774.58</v>
      </c>
      <c r="L595" s="36">
        <f t="shared" si="45"/>
        <v>12846.010000000002</v>
      </c>
      <c r="M595" s="37">
        <f t="shared" si="46"/>
        <v>1.4387533502005363</v>
      </c>
      <c r="N595" s="17" t="str">
        <f t="shared" si="47"/>
        <v>Over Budget</v>
      </c>
      <c r="O595" s="38">
        <f t="shared" si="48"/>
        <v>21774.58</v>
      </c>
      <c r="P595" s="39">
        <f t="shared" si="49"/>
        <v>45931</v>
      </c>
    </row>
    <row r="596" spans="1:16" ht="15.5" x14ac:dyDescent="0.35">
      <c r="A596" s="17" t="s">
        <v>644</v>
      </c>
      <c r="B596" s="35">
        <v>45674</v>
      </c>
      <c r="C596" s="17" t="s">
        <v>12</v>
      </c>
      <c r="D596" s="17" t="s">
        <v>2585</v>
      </c>
      <c r="E596" s="17" t="s">
        <v>74</v>
      </c>
      <c r="F596" s="17" t="s">
        <v>15</v>
      </c>
      <c r="G596" s="17" t="s">
        <v>38</v>
      </c>
      <c r="H596" s="17" t="s">
        <v>2594</v>
      </c>
      <c r="I596" s="17" t="s">
        <v>30</v>
      </c>
      <c r="J596" s="36">
        <v>5542.86</v>
      </c>
      <c r="K596" s="36">
        <v>2578.46</v>
      </c>
      <c r="L596" s="36">
        <f t="shared" si="45"/>
        <v>-2964.3999999999996</v>
      </c>
      <c r="M596" s="37">
        <f t="shared" si="46"/>
        <v>-0.53481415731228998</v>
      </c>
      <c r="N596" s="17" t="str">
        <f t="shared" si="47"/>
        <v>Under Budget</v>
      </c>
      <c r="O596" s="38">
        <f t="shared" si="48"/>
        <v>-2578.46</v>
      </c>
      <c r="P596" s="39">
        <f t="shared" si="49"/>
        <v>45658</v>
      </c>
    </row>
    <row r="597" spans="1:16" ht="15.5" x14ac:dyDescent="0.35">
      <c r="A597" s="17" t="s">
        <v>645</v>
      </c>
      <c r="B597" s="35">
        <v>45834</v>
      </c>
      <c r="C597" s="17" t="s">
        <v>12</v>
      </c>
      <c r="D597" s="17" t="s">
        <v>2584</v>
      </c>
      <c r="E597" s="17" t="s">
        <v>74</v>
      </c>
      <c r="F597" s="17" t="s">
        <v>52</v>
      </c>
      <c r="G597" s="17" t="s">
        <v>43</v>
      </c>
      <c r="H597" s="17" t="s">
        <v>2595</v>
      </c>
      <c r="I597" s="17" t="s">
        <v>39</v>
      </c>
      <c r="J597" s="36">
        <v>6666.67</v>
      </c>
      <c r="K597" s="36">
        <v>2714.68</v>
      </c>
      <c r="L597" s="36">
        <f t="shared" si="45"/>
        <v>-3951.9900000000002</v>
      </c>
      <c r="M597" s="37">
        <f t="shared" si="46"/>
        <v>-0.59279820360089819</v>
      </c>
      <c r="N597" s="17" t="str">
        <f t="shared" si="47"/>
        <v>Under Budget</v>
      </c>
      <c r="O597" s="38">
        <f t="shared" si="48"/>
        <v>-2714.68</v>
      </c>
      <c r="P597" s="39">
        <f t="shared" si="49"/>
        <v>45809</v>
      </c>
    </row>
    <row r="598" spans="1:16" ht="15.5" x14ac:dyDescent="0.35">
      <c r="A598" s="17" t="s">
        <v>646</v>
      </c>
      <c r="B598" s="35">
        <v>46060</v>
      </c>
      <c r="C598" s="17" t="s">
        <v>12</v>
      </c>
      <c r="D598" s="17" t="s">
        <v>26</v>
      </c>
      <c r="E598" s="17" t="s">
        <v>77</v>
      </c>
      <c r="F598" s="17" t="s">
        <v>28</v>
      </c>
      <c r="G598" s="17" t="s">
        <v>38</v>
      </c>
      <c r="H598" s="17" t="s">
        <v>2598</v>
      </c>
      <c r="I598" s="17" t="s">
        <v>23</v>
      </c>
      <c r="J598" s="36">
        <v>2667.5</v>
      </c>
      <c r="K598" s="36">
        <v>216.72</v>
      </c>
      <c r="L598" s="36">
        <f t="shared" si="45"/>
        <v>-2450.7800000000002</v>
      </c>
      <c r="M598" s="37">
        <f t="shared" si="46"/>
        <v>-0.91875538894095599</v>
      </c>
      <c r="N598" s="17" t="str">
        <f t="shared" si="47"/>
        <v>Under Budget</v>
      </c>
      <c r="O598" s="38">
        <f t="shared" si="48"/>
        <v>-216.72</v>
      </c>
      <c r="P598" s="39">
        <f t="shared" si="49"/>
        <v>46054</v>
      </c>
    </row>
    <row r="599" spans="1:16" ht="15.5" x14ac:dyDescent="0.35">
      <c r="A599" s="17" t="s">
        <v>647</v>
      </c>
      <c r="B599" s="35">
        <v>45924</v>
      </c>
      <c r="C599" s="17" t="s">
        <v>25</v>
      </c>
      <c r="D599" s="17" t="s">
        <v>26</v>
      </c>
      <c r="E599" s="17" t="s">
        <v>33</v>
      </c>
      <c r="F599" s="17" t="s">
        <v>15</v>
      </c>
      <c r="G599" s="17" t="s">
        <v>82</v>
      </c>
      <c r="H599" s="17" t="s">
        <v>2590</v>
      </c>
      <c r="I599" s="17" t="s">
        <v>39</v>
      </c>
      <c r="J599" s="36">
        <v>11904.76</v>
      </c>
      <c r="K599" s="36">
        <v>7991.94</v>
      </c>
      <c r="L599" s="36">
        <f t="shared" si="45"/>
        <v>-3912.8200000000006</v>
      </c>
      <c r="M599" s="37">
        <f t="shared" si="46"/>
        <v>-0.32867693258830927</v>
      </c>
      <c r="N599" s="17" t="str">
        <f t="shared" si="47"/>
        <v>Under Budget</v>
      </c>
      <c r="O599" s="38">
        <f t="shared" si="48"/>
        <v>7991.94</v>
      </c>
      <c r="P599" s="39">
        <f t="shared" si="49"/>
        <v>45901</v>
      </c>
    </row>
    <row r="600" spans="1:16" ht="15.5" x14ac:dyDescent="0.35">
      <c r="A600" s="17" t="s">
        <v>648</v>
      </c>
      <c r="B600" s="35">
        <v>45875</v>
      </c>
      <c r="C600" s="17" t="s">
        <v>12</v>
      </c>
      <c r="D600" s="17" t="s">
        <v>13</v>
      </c>
      <c r="E600" s="17" t="s">
        <v>65</v>
      </c>
      <c r="F600" s="17" t="s">
        <v>34</v>
      </c>
      <c r="G600" s="17" t="s">
        <v>22</v>
      </c>
      <c r="H600" s="17" t="s">
        <v>60</v>
      </c>
      <c r="I600" s="17" t="s">
        <v>23</v>
      </c>
      <c r="J600" s="36">
        <v>3928.57</v>
      </c>
      <c r="K600" s="36">
        <v>1490.44</v>
      </c>
      <c r="L600" s="36">
        <f t="shared" si="45"/>
        <v>-2438.13</v>
      </c>
      <c r="M600" s="37">
        <f t="shared" si="46"/>
        <v>-0.62061513476913988</v>
      </c>
      <c r="N600" s="17" t="str">
        <f t="shared" si="47"/>
        <v>Under Budget</v>
      </c>
      <c r="O600" s="38">
        <f t="shared" si="48"/>
        <v>-1490.44</v>
      </c>
      <c r="P600" s="39">
        <f t="shared" si="49"/>
        <v>45870</v>
      </c>
    </row>
    <row r="601" spans="1:16" ht="15.5" x14ac:dyDescent="0.35">
      <c r="A601" s="17" t="s">
        <v>649</v>
      </c>
      <c r="B601" s="35">
        <v>46069</v>
      </c>
      <c r="C601" s="17" t="s">
        <v>12</v>
      </c>
      <c r="D601" s="17" t="s">
        <v>36</v>
      </c>
      <c r="E601" s="17" t="s">
        <v>65</v>
      </c>
      <c r="F601" s="17" t="s">
        <v>34</v>
      </c>
      <c r="G601" s="17" t="s">
        <v>82</v>
      </c>
      <c r="H601" s="17" t="s">
        <v>2589</v>
      </c>
      <c r="I601" s="17" t="s">
        <v>17</v>
      </c>
      <c r="J601" s="36">
        <v>4850</v>
      </c>
      <c r="K601" s="36">
        <v>1931.52</v>
      </c>
      <c r="L601" s="36">
        <f t="shared" si="45"/>
        <v>-2918.48</v>
      </c>
      <c r="M601" s="37">
        <f t="shared" si="46"/>
        <v>-0.60174845360824747</v>
      </c>
      <c r="N601" s="17" t="str">
        <f t="shared" si="47"/>
        <v>Under Budget</v>
      </c>
      <c r="O601" s="38">
        <f t="shared" si="48"/>
        <v>-1931.52</v>
      </c>
      <c r="P601" s="39">
        <f t="shared" si="49"/>
        <v>46054</v>
      </c>
    </row>
    <row r="602" spans="1:16" ht="15.5" x14ac:dyDescent="0.35">
      <c r="A602" s="17" t="s">
        <v>650</v>
      </c>
      <c r="B602" s="35">
        <v>45967</v>
      </c>
      <c r="C602" s="17" t="s">
        <v>25</v>
      </c>
      <c r="D602" s="17" t="s">
        <v>32</v>
      </c>
      <c r="E602" s="17" t="s">
        <v>33</v>
      </c>
      <c r="F602" s="17" t="s">
        <v>21</v>
      </c>
      <c r="G602" s="17" t="s">
        <v>38</v>
      </c>
      <c r="H602" s="17" t="s">
        <v>2590</v>
      </c>
      <c r="I602" s="17" t="s">
        <v>39</v>
      </c>
      <c r="J602" s="36">
        <v>13125</v>
      </c>
      <c r="K602" s="36">
        <v>20443.47</v>
      </c>
      <c r="L602" s="36">
        <f t="shared" si="45"/>
        <v>7318.4700000000012</v>
      </c>
      <c r="M602" s="37">
        <f t="shared" si="46"/>
        <v>0.55759771428571436</v>
      </c>
      <c r="N602" s="17" t="str">
        <f t="shared" si="47"/>
        <v>Over Budget</v>
      </c>
      <c r="O602" s="38">
        <f t="shared" si="48"/>
        <v>20443.47</v>
      </c>
      <c r="P602" s="39">
        <f t="shared" si="49"/>
        <v>45962</v>
      </c>
    </row>
    <row r="603" spans="1:16" ht="15.5" x14ac:dyDescent="0.35">
      <c r="A603" s="17" t="s">
        <v>651</v>
      </c>
      <c r="B603" s="35">
        <v>45907</v>
      </c>
      <c r="C603" s="17" t="s">
        <v>12</v>
      </c>
      <c r="D603" s="17" t="s">
        <v>13</v>
      </c>
      <c r="E603" s="17" t="s">
        <v>47</v>
      </c>
      <c r="F603" s="17" t="s">
        <v>15</v>
      </c>
      <c r="G603" s="17" t="s">
        <v>22</v>
      </c>
      <c r="H603" s="17" t="s">
        <v>2590</v>
      </c>
      <c r="I603" s="17" t="s">
        <v>23</v>
      </c>
      <c r="J603" s="36">
        <v>3500</v>
      </c>
      <c r="K603" s="36">
        <v>2587.77</v>
      </c>
      <c r="L603" s="36">
        <f t="shared" si="45"/>
        <v>-912.23</v>
      </c>
      <c r="M603" s="37">
        <f t="shared" si="46"/>
        <v>-0.26063714285714285</v>
      </c>
      <c r="N603" s="17" t="str">
        <f t="shared" si="47"/>
        <v>Under Budget</v>
      </c>
      <c r="O603" s="38">
        <f t="shared" si="48"/>
        <v>-2587.77</v>
      </c>
      <c r="P603" s="39">
        <f t="shared" si="49"/>
        <v>45901</v>
      </c>
    </row>
    <row r="604" spans="1:16" ht="15.5" x14ac:dyDescent="0.35">
      <c r="A604" s="17" t="s">
        <v>652</v>
      </c>
      <c r="B604" s="35">
        <v>45778</v>
      </c>
      <c r="C604" s="17" t="s">
        <v>12</v>
      </c>
      <c r="D604" s="17" t="s">
        <v>2585</v>
      </c>
      <c r="E604" s="17" t="s">
        <v>47</v>
      </c>
      <c r="F604" s="17" t="s">
        <v>52</v>
      </c>
      <c r="G604" s="17" t="s">
        <v>43</v>
      </c>
      <c r="H604" s="17" t="s">
        <v>2598</v>
      </c>
      <c r="I604" s="17" t="s">
        <v>39</v>
      </c>
      <c r="J604" s="36">
        <v>3888.89</v>
      </c>
      <c r="K604" s="36">
        <v>3601.31</v>
      </c>
      <c r="L604" s="36">
        <f t="shared" si="45"/>
        <v>-287.57999999999993</v>
      </c>
      <c r="M604" s="37">
        <f t="shared" si="46"/>
        <v>-7.3949121728822342E-2</v>
      </c>
      <c r="N604" s="17" t="str">
        <f t="shared" si="47"/>
        <v>Under Budget</v>
      </c>
      <c r="O604" s="38">
        <f t="shared" si="48"/>
        <v>-3601.31</v>
      </c>
      <c r="P604" s="39">
        <f t="shared" si="49"/>
        <v>45778</v>
      </c>
    </row>
    <row r="605" spans="1:16" ht="15.5" x14ac:dyDescent="0.35">
      <c r="A605" s="17" t="s">
        <v>653</v>
      </c>
      <c r="B605" s="35">
        <v>46193</v>
      </c>
      <c r="C605" s="17" t="s">
        <v>12</v>
      </c>
      <c r="D605" s="17" t="s">
        <v>2584</v>
      </c>
      <c r="E605" s="17" t="s">
        <v>45</v>
      </c>
      <c r="F605" s="17" t="s">
        <v>15</v>
      </c>
      <c r="G605" s="17" t="s">
        <v>22</v>
      </c>
      <c r="H605" s="17" t="s">
        <v>2590</v>
      </c>
      <c r="I605" s="17" t="s">
        <v>23</v>
      </c>
      <c r="J605" s="36">
        <v>8571.43</v>
      </c>
      <c r="K605" s="36">
        <v>14333.24</v>
      </c>
      <c r="L605" s="36">
        <f t="shared" si="45"/>
        <v>5761.8099999999995</v>
      </c>
      <c r="M605" s="37">
        <f t="shared" si="46"/>
        <v>0.67221105463149078</v>
      </c>
      <c r="N605" s="17" t="str">
        <f t="shared" si="47"/>
        <v>Over Budget</v>
      </c>
      <c r="O605" s="38">
        <f t="shared" si="48"/>
        <v>-14333.24</v>
      </c>
      <c r="P605" s="39">
        <f t="shared" si="49"/>
        <v>46174</v>
      </c>
    </row>
    <row r="606" spans="1:16" ht="15.5" x14ac:dyDescent="0.35">
      <c r="A606" s="17" t="s">
        <v>654</v>
      </c>
      <c r="B606" s="35">
        <v>45680</v>
      </c>
      <c r="C606" s="17" t="s">
        <v>12</v>
      </c>
      <c r="D606" s="17" t="s">
        <v>19</v>
      </c>
      <c r="E606" s="17" t="s">
        <v>65</v>
      </c>
      <c r="F606" s="17" t="s">
        <v>52</v>
      </c>
      <c r="G606" s="17" t="s">
        <v>38</v>
      </c>
      <c r="H606" s="17" t="s">
        <v>2591</v>
      </c>
      <c r="I606" s="17" t="s">
        <v>23</v>
      </c>
      <c r="J606" s="36">
        <v>3810.71</v>
      </c>
      <c r="K606" s="36">
        <v>941.15</v>
      </c>
      <c r="L606" s="36">
        <f t="shared" si="45"/>
        <v>-2869.56</v>
      </c>
      <c r="M606" s="37">
        <f t="shared" si="46"/>
        <v>-0.75302502683227013</v>
      </c>
      <c r="N606" s="17" t="str">
        <f t="shared" si="47"/>
        <v>Under Budget</v>
      </c>
      <c r="O606" s="38">
        <f t="shared" si="48"/>
        <v>-941.15</v>
      </c>
      <c r="P606" s="39">
        <f t="shared" si="49"/>
        <v>45658</v>
      </c>
    </row>
    <row r="607" spans="1:16" ht="15.5" x14ac:dyDescent="0.35">
      <c r="A607" s="17" t="s">
        <v>655</v>
      </c>
      <c r="B607" s="35">
        <v>45666</v>
      </c>
      <c r="C607" s="17" t="s">
        <v>12</v>
      </c>
      <c r="D607" s="17" t="s">
        <v>2584</v>
      </c>
      <c r="E607" s="17" t="s">
        <v>65</v>
      </c>
      <c r="F607" s="17" t="s">
        <v>28</v>
      </c>
      <c r="G607" s="17" t="s">
        <v>38</v>
      </c>
      <c r="H607" s="17" t="s">
        <v>80</v>
      </c>
      <c r="I607" s="17" t="s">
        <v>39</v>
      </c>
      <c r="J607" s="36">
        <v>3810.71</v>
      </c>
      <c r="K607" s="36">
        <v>3735.12</v>
      </c>
      <c r="L607" s="36">
        <f t="shared" si="45"/>
        <v>-75.590000000000146</v>
      </c>
      <c r="M607" s="37">
        <f t="shared" si="46"/>
        <v>-1.9836198503690953E-2</v>
      </c>
      <c r="N607" s="17" t="str">
        <f t="shared" si="47"/>
        <v>Under Budget</v>
      </c>
      <c r="O607" s="38">
        <f t="shared" si="48"/>
        <v>-3735.12</v>
      </c>
      <c r="P607" s="39">
        <f t="shared" si="49"/>
        <v>45658</v>
      </c>
    </row>
    <row r="608" spans="1:16" ht="15.5" x14ac:dyDescent="0.35">
      <c r="A608" s="17" t="s">
        <v>656</v>
      </c>
      <c r="B608" s="35">
        <v>45891</v>
      </c>
      <c r="C608" s="17" t="s">
        <v>12</v>
      </c>
      <c r="D608" s="17" t="s">
        <v>13</v>
      </c>
      <c r="E608" s="17" t="s">
        <v>45</v>
      </c>
      <c r="F608" s="17" t="s">
        <v>52</v>
      </c>
      <c r="G608" s="17" t="s">
        <v>38</v>
      </c>
      <c r="H608" s="17" t="s">
        <v>2593</v>
      </c>
      <c r="I608" s="17" t="s">
        <v>30</v>
      </c>
      <c r="J608" s="36">
        <v>8181.82</v>
      </c>
      <c r="K608" s="36">
        <v>14656.08</v>
      </c>
      <c r="L608" s="36">
        <f t="shared" si="45"/>
        <v>6474.26</v>
      </c>
      <c r="M608" s="37">
        <f t="shared" si="46"/>
        <v>0.79129826860038477</v>
      </c>
      <c r="N608" s="17" t="str">
        <f t="shared" si="47"/>
        <v>Over Budget</v>
      </c>
      <c r="O608" s="38">
        <f t="shared" si="48"/>
        <v>-14656.08</v>
      </c>
      <c r="P608" s="39">
        <f t="shared" si="49"/>
        <v>45870</v>
      </c>
    </row>
    <row r="609" spans="1:16" ht="15.5" x14ac:dyDescent="0.35">
      <c r="A609" s="17" t="s">
        <v>657</v>
      </c>
      <c r="B609" s="35">
        <v>45941</v>
      </c>
      <c r="C609" s="17" t="s">
        <v>12</v>
      </c>
      <c r="D609" s="17" t="s">
        <v>26</v>
      </c>
      <c r="E609" s="17" t="s">
        <v>45</v>
      </c>
      <c r="F609" s="17" t="s">
        <v>15</v>
      </c>
      <c r="G609" s="17" t="s">
        <v>38</v>
      </c>
      <c r="H609" s="17" t="s">
        <v>2590</v>
      </c>
      <c r="I609" s="17" t="s">
        <v>17</v>
      </c>
      <c r="J609" s="36">
        <v>7826.09</v>
      </c>
      <c r="K609" s="36">
        <v>9492.84</v>
      </c>
      <c r="L609" s="36">
        <f t="shared" si="45"/>
        <v>1666.75</v>
      </c>
      <c r="M609" s="37">
        <f t="shared" si="46"/>
        <v>0.21297352828807234</v>
      </c>
      <c r="N609" s="17" t="str">
        <f t="shared" si="47"/>
        <v>Over Budget</v>
      </c>
      <c r="O609" s="38">
        <f t="shared" si="48"/>
        <v>-9492.84</v>
      </c>
      <c r="P609" s="39">
        <f t="shared" si="49"/>
        <v>45931</v>
      </c>
    </row>
    <row r="610" spans="1:16" ht="15.5" x14ac:dyDescent="0.35">
      <c r="A610" s="17" t="s">
        <v>658</v>
      </c>
      <c r="B610" s="35">
        <v>46127</v>
      </c>
      <c r="C610" s="17" t="s">
        <v>25</v>
      </c>
      <c r="D610" s="17" t="s">
        <v>32</v>
      </c>
      <c r="E610" s="17" t="s">
        <v>33</v>
      </c>
      <c r="F610" s="17" t="s">
        <v>34</v>
      </c>
      <c r="G610" s="17" t="s">
        <v>22</v>
      </c>
      <c r="H610" s="17" t="s">
        <v>2592</v>
      </c>
      <c r="I610" s="17" t="s">
        <v>23</v>
      </c>
      <c r="J610" s="36">
        <v>8333.33</v>
      </c>
      <c r="K610" s="36">
        <v>11286.18</v>
      </c>
      <c r="L610" s="36">
        <f t="shared" si="45"/>
        <v>2952.8500000000004</v>
      </c>
      <c r="M610" s="37">
        <f t="shared" si="46"/>
        <v>0.35434214173685674</v>
      </c>
      <c r="N610" s="17" t="str">
        <f t="shared" si="47"/>
        <v>Over Budget</v>
      </c>
      <c r="O610" s="38">
        <f t="shared" si="48"/>
        <v>11286.18</v>
      </c>
      <c r="P610" s="39">
        <f t="shared" si="49"/>
        <v>46113</v>
      </c>
    </row>
    <row r="611" spans="1:16" ht="15.5" x14ac:dyDescent="0.35">
      <c r="A611" s="17" t="s">
        <v>659</v>
      </c>
      <c r="B611" s="35">
        <v>45942</v>
      </c>
      <c r="C611" s="17" t="s">
        <v>12</v>
      </c>
      <c r="D611" s="17" t="s">
        <v>2585</v>
      </c>
      <c r="E611" s="17" t="s">
        <v>47</v>
      </c>
      <c r="F611" s="17" t="s">
        <v>34</v>
      </c>
      <c r="G611" s="17" t="s">
        <v>38</v>
      </c>
      <c r="H611" s="17" t="s">
        <v>2591</v>
      </c>
      <c r="I611" s="17" t="s">
        <v>48</v>
      </c>
      <c r="J611" s="36">
        <v>3500</v>
      </c>
      <c r="K611" s="36">
        <v>1187.31</v>
      </c>
      <c r="L611" s="36">
        <f t="shared" si="45"/>
        <v>-2312.69</v>
      </c>
      <c r="M611" s="37">
        <f t="shared" si="46"/>
        <v>-0.66076857142857148</v>
      </c>
      <c r="N611" s="17" t="str">
        <f t="shared" si="47"/>
        <v>Under Budget</v>
      </c>
      <c r="O611" s="38">
        <f t="shared" si="48"/>
        <v>-1187.31</v>
      </c>
      <c r="P611" s="39">
        <f t="shared" si="49"/>
        <v>45931</v>
      </c>
    </row>
    <row r="612" spans="1:16" ht="15.5" x14ac:dyDescent="0.35">
      <c r="A612" s="17" t="s">
        <v>660</v>
      </c>
      <c r="B612" s="35">
        <v>45984</v>
      </c>
      <c r="C612" s="17" t="s">
        <v>12</v>
      </c>
      <c r="D612" s="17" t="s">
        <v>2583</v>
      </c>
      <c r="E612" s="17" t="s">
        <v>77</v>
      </c>
      <c r="F612" s="17" t="s">
        <v>21</v>
      </c>
      <c r="G612" s="17" t="s">
        <v>38</v>
      </c>
      <c r="H612" s="17" t="s">
        <v>2593</v>
      </c>
      <c r="I612" s="17" t="s">
        <v>39</v>
      </c>
      <c r="J612" s="36">
        <v>2310</v>
      </c>
      <c r="K612" s="36">
        <v>3467.43</v>
      </c>
      <c r="L612" s="36">
        <f t="shared" si="45"/>
        <v>1157.4299999999998</v>
      </c>
      <c r="M612" s="37">
        <f t="shared" si="46"/>
        <v>0.50105194805194797</v>
      </c>
      <c r="N612" s="17" t="str">
        <f t="shared" si="47"/>
        <v>Over Budget</v>
      </c>
      <c r="O612" s="38">
        <f t="shared" si="48"/>
        <v>-3467.43</v>
      </c>
      <c r="P612" s="39">
        <f t="shared" si="49"/>
        <v>45962</v>
      </c>
    </row>
    <row r="613" spans="1:16" ht="15.5" x14ac:dyDescent="0.35">
      <c r="A613" s="17" t="s">
        <v>661</v>
      </c>
      <c r="B613" s="35">
        <v>46118</v>
      </c>
      <c r="C613" s="17" t="s">
        <v>12</v>
      </c>
      <c r="D613" s="17" t="s">
        <v>26</v>
      </c>
      <c r="E613" s="17" t="s">
        <v>45</v>
      </c>
      <c r="F613" s="17" t="s">
        <v>52</v>
      </c>
      <c r="G613" s="17" t="s">
        <v>43</v>
      </c>
      <c r="H613" s="17" t="s">
        <v>2594</v>
      </c>
      <c r="I613" s="17" t="s">
        <v>48</v>
      </c>
      <c r="J613" s="36">
        <v>8571.43</v>
      </c>
      <c r="K613" s="36">
        <v>8404.23</v>
      </c>
      <c r="L613" s="36">
        <f t="shared" si="45"/>
        <v>-167.20000000000073</v>
      </c>
      <c r="M613" s="37">
        <f t="shared" si="46"/>
        <v>-1.950666341555618E-2</v>
      </c>
      <c r="N613" s="17" t="str">
        <f t="shared" si="47"/>
        <v>Under Budget</v>
      </c>
      <c r="O613" s="38">
        <f t="shared" si="48"/>
        <v>-8404.23</v>
      </c>
      <c r="P613" s="39">
        <f t="shared" si="49"/>
        <v>46113</v>
      </c>
    </row>
    <row r="614" spans="1:16" ht="15.5" x14ac:dyDescent="0.35">
      <c r="A614" s="17" t="s">
        <v>662</v>
      </c>
      <c r="B614" s="35">
        <v>45689</v>
      </c>
      <c r="C614" s="17" t="s">
        <v>12</v>
      </c>
      <c r="D614" s="17" t="s">
        <v>19</v>
      </c>
      <c r="E614" s="17" t="s">
        <v>14</v>
      </c>
      <c r="F614" s="17" t="s">
        <v>28</v>
      </c>
      <c r="G614" s="17" t="s">
        <v>38</v>
      </c>
      <c r="H614" s="17" t="s">
        <v>2598</v>
      </c>
      <c r="I614" s="17" t="s">
        <v>30</v>
      </c>
      <c r="J614" s="36">
        <v>6208</v>
      </c>
      <c r="K614" s="36">
        <v>3566.98</v>
      </c>
      <c r="L614" s="36">
        <f t="shared" si="45"/>
        <v>-2641.02</v>
      </c>
      <c r="M614" s="37">
        <f t="shared" si="46"/>
        <v>-0.4254220360824742</v>
      </c>
      <c r="N614" s="17" t="str">
        <f t="shared" si="47"/>
        <v>Under Budget</v>
      </c>
      <c r="O614" s="38">
        <f t="shared" si="48"/>
        <v>-3566.98</v>
      </c>
      <c r="P614" s="39">
        <f t="shared" si="49"/>
        <v>45689</v>
      </c>
    </row>
    <row r="615" spans="1:16" ht="15.5" x14ac:dyDescent="0.35">
      <c r="A615" s="17" t="s">
        <v>663</v>
      </c>
      <c r="B615" s="35">
        <v>45735</v>
      </c>
      <c r="C615" s="17" t="s">
        <v>12</v>
      </c>
      <c r="D615" s="17" t="s">
        <v>36</v>
      </c>
      <c r="E615" s="17" t="s">
        <v>14</v>
      </c>
      <c r="F615" s="17" t="s">
        <v>52</v>
      </c>
      <c r="G615" s="17" t="s">
        <v>38</v>
      </c>
      <c r="H615" s="17" t="s">
        <v>2591</v>
      </c>
      <c r="I615" s="17" t="s">
        <v>48</v>
      </c>
      <c r="J615" s="36">
        <v>4571.43</v>
      </c>
      <c r="K615" s="36">
        <v>4825.05</v>
      </c>
      <c r="L615" s="36">
        <f t="shared" si="45"/>
        <v>253.61999999999989</v>
      </c>
      <c r="M615" s="37">
        <f t="shared" si="46"/>
        <v>5.54793576627007E-2</v>
      </c>
      <c r="N615" s="17" t="str">
        <f t="shared" si="47"/>
        <v>Over Budget</v>
      </c>
      <c r="O615" s="38">
        <f t="shared" si="48"/>
        <v>-4825.05</v>
      </c>
      <c r="P615" s="39">
        <f t="shared" si="49"/>
        <v>45717</v>
      </c>
    </row>
    <row r="616" spans="1:16" ht="15.5" x14ac:dyDescent="0.35">
      <c r="A616" s="17" t="s">
        <v>664</v>
      </c>
      <c r="B616" s="35">
        <v>45679</v>
      </c>
      <c r="C616" s="17" t="s">
        <v>12</v>
      </c>
      <c r="D616" s="17" t="s">
        <v>19</v>
      </c>
      <c r="E616" s="17" t="s">
        <v>65</v>
      </c>
      <c r="F616" s="17" t="s">
        <v>34</v>
      </c>
      <c r="G616" s="17" t="s">
        <v>29</v>
      </c>
      <c r="H616" s="17" t="s">
        <v>2594</v>
      </c>
      <c r="I616" s="17" t="s">
        <v>48</v>
      </c>
      <c r="J616" s="36">
        <v>3810.71</v>
      </c>
      <c r="K616" s="36">
        <v>6814.79</v>
      </c>
      <c r="L616" s="36">
        <f t="shared" si="45"/>
        <v>3004.08</v>
      </c>
      <c r="M616" s="37">
        <f t="shared" si="46"/>
        <v>0.78832553513649684</v>
      </c>
      <c r="N616" s="17" t="str">
        <f t="shared" si="47"/>
        <v>Over Budget</v>
      </c>
      <c r="O616" s="38">
        <f t="shared" si="48"/>
        <v>-6814.79</v>
      </c>
      <c r="P616" s="39">
        <f t="shared" si="49"/>
        <v>45658</v>
      </c>
    </row>
    <row r="617" spans="1:16" ht="15.5" x14ac:dyDescent="0.35">
      <c r="A617" s="17" t="s">
        <v>665</v>
      </c>
      <c r="B617" s="35">
        <v>46198</v>
      </c>
      <c r="C617" s="17" t="s">
        <v>25</v>
      </c>
      <c r="D617" s="17" t="s">
        <v>13</v>
      </c>
      <c r="E617" s="17" t="s">
        <v>33</v>
      </c>
      <c r="F617" s="17" t="s">
        <v>28</v>
      </c>
      <c r="G617" s="17" t="s">
        <v>38</v>
      </c>
      <c r="H617" s="17" t="s">
        <v>2594</v>
      </c>
      <c r="I617" s="17" t="s">
        <v>48</v>
      </c>
      <c r="J617" s="36">
        <v>10000</v>
      </c>
      <c r="K617" s="36">
        <v>12069.8</v>
      </c>
      <c r="L617" s="36">
        <f t="shared" si="45"/>
        <v>2069.7999999999993</v>
      </c>
      <c r="M617" s="37">
        <f t="shared" si="46"/>
        <v>0.20697999999999991</v>
      </c>
      <c r="N617" s="17" t="str">
        <f t="shared" si="47"/>
        <v>Over Budget</v>
      </c>
      <c r="O617" s="38">
        <f t="shared" si="48"/>
        <v>12069.8</v>
      </c>
      <c r="P617" s="39">
        <f t="shared" si="49"/>
        <v>46174</v>
      </c>
    </row>
    <row r="618" spans="1:16" ht="15.5" x14ac:dyDescent="0.35">
      <c r="A618" s="17" t="s">
        <v>666</v>
      </c>
      <c r="B618" s="35">
        <v>45833</v>
      </c>
      <c r="C618" s="17" t="s">
        <v>25</v>
      </c>
      <c r="D618" s="17" t="s">
        <v>26</v>
      </c>
      <c r="E618" s="17" t="s">
        <v>27</v>
      </c>
      <c r="F618" s="17" t="s">
        <v>52</v>
      </c>
      <c r="G618" s="17" t="s">
        <v>43</v>
      </c>
      <c r="H618" s="17" t="s">
        <v>2591</v>
      </c>
      <c r="I618" s="17" t="s">
        <v>23</v>
      </c>
      <c r="J618" s="36">
        <v>5333.33</v>
      </c>
      <c r="K618" s="36">
        <v>6321.74</v>
      </c>
      <c r="L618" s="36">
        <f t="shared" si="45"/>
        <v>988.40999999999985</v>
      </c>
      <c r="M618" s="37">
        <f t="shared" si="46"/>
        <v>0.18532699082936924</v>
      </c>
      <c r="N618" s="17" t="str">
        <f t="shared" si="47"/>
        <v>Over Budget</v>
      </c>
      <c r="O618" s="38">
        <f t="shared" si="48"/>
        <v>6321.74</v>
      </c>
      <c r="P618" s="39">
        <f t="shared" si="49"/>
        <v>45809</v>
      </c>
    </row>
    <row r="619" spans="1:16" ht="15.5" x14ac:dyDescent="0.35">
      <c r="A619" s="17" t="s">
        <v>667</v>
      </c>
      <c r="B619" s="35">
        <v>46084</v>
      </c>
      <c r="C619" s="17" t="s">
        <v>12</v>
      </c>
      <c r="D619" s="17" t="s">
        <v>36</v>
      </c>
      <c r="E619" s="17" t="s">
        <v>77</v>
      </c>
      <c r="F619" s="17" t="s">
        <v>52</v>
      </c>
      <c r="G619" s="17" t="s">
        <v>22</v>
      </c>
      <c r="H619" s="17" t="s">
        <v>2594</v>
      </c>
      <c r="I619" s="17" t="s">
        <v>30</v>
      </c>
      <c r="J619" s="36">
        <v>1833.33</v>
      </c>
      <c r="K619" s="36">
        <v>3461.7</v>
      </c>
      <c r="L619" s="36">
        <f t="shared" si="45"/>
        <v>1628.37</v>
      </c>
      <c r="M619" s="37">
        <f t="shared" si="46"/>
        <v>0.88820343309715111</v>
      </c>
      <c r="N619" s="17" t="str">
        <f t="shared" si="47"/>
        <v>Over Budget</v>
      </c>
      <c r="O619" s="38">
        <f t="shared" si="48"/>
        <v>-3461.7</v>
      </c>
      <c r="P619" s="39">
        <f t="shared" si="49"/>
        <v>46082</v>
      </c>
    </row>
    <row r="620" spans="1:16" ht="15.5" x14ac:dyDescent="0.35">
      <c r="A620" s="17" t="s">
        <v>668</v>
      </c>
      <c r="B620" s="35">
        <v>46167</v>
      </c>
      <c r="C620" s="17" t="s">
        <v>12</v>
      </c>
      <c r="D620" s="17" t="s">
        <v>19</v>
      </c>
      <c r="E620" s="17" t="s">
        <v>77</v>
      </c>
      <c r="F620" s="17" t="s">
        <v>34</v>
      </c>
      <c r="G620" s="17" t="s">
        <v>38</v>
      </c>
      <c r="H620" s="17" t="s">
        <v>2595</v>
      </c>
      <c r="I620" s="17" t="s">
        <v>17</v>
      </c>
      <c r="J620" s="36">
        <v>4400</v>
      </c>
      <c r="K620" s="36">
        <v>2691.26</v>
      </c>
      <c r="L620" s="36">
        <f t="shared" si="45"/>
        <v>-1708.7399999999998</v>
      </c>
      <c r="M620" s="37">
        <f t="shared" si="46"/>
        <v>-0.38834999999999997</v>
      </c>
      <c r="N620" s="17" t="str">
        <f t="shared" si="47"/>
        <v>Under Budget</v>
      </c>
      <c r="O620" s="38">
        <f t="shared" si="48"/>
        <v>-2691.26</v>
      </c>
      <c r="P620" s="39">
        <f t="shared" si="49"/>
        <v>46143</v>
      </c>
    </row>
    <row r="621" spans="1:16" ht="15.5" x14ac:dyDescent="0.35">
      <c r="A621" s="17" t="s">
        <v>669</v>
      </c>
      <c r="B621" s="35">
        <v>45995</v>
      </c>
      <c r="C621" s="17" t="s">
        <v>12</v>
      </c>
      <c r="D621" s="17" t="s">
        <v>26</v>
      </c>
      <c r="E621" s="17" t="s">
        <v>45</v>
      </c>
      <c r="F621" s="17" t="s">
        <v>52</v>
      </c>
      <c r="G621" s="17" t="s">
        <v>38</v>
      </c>
      <c r="H621" s="17" t="s">
        <v>2598</v>
      </c>
      <c r="I621" s="17" t="s">
        <v>17</v>
      </c>
      <c r="J621" s="36">
        <v>7875</v>
      </c>
      <c r="K621" s="36">
        <v>15569.18</v>
      </c>
      <c r="L621" s="36">
        <f t="shared" si="45"/>
        <v>7694.18</v>
      </c>
      <c r="M621" s="37">
        <f t="shared" si="46"/>
        <v>0.97703873015873022</v>
      </c>
      <c r="N621" s="17" t="str">
        <f t="shared" si="47"/>
        <v>Over Budget</v>
      </c>
      <c r="O621" s="38">
        <f t="shared" si="48"/>
        <v>-15569.18</v>
      </c>
      <c r="P621" s="39">
        <f t="shared" si="49"/>
        <v>45992</v>
      </c>
    </row>
    <row r="622" spans="1:16" ht="15.5" x14ac:dyDescent="0.35">
      <c r="A622" s="17" t="s">
        <v>670</v>
      </c>
      <c r="B622" s="35">
        <v>45779</v>
      </c>
      <c r="C622" s="17" t="s">
        <v>25</v>
      </c>
      <c r="D622" s="17" t="s">
        <v>32</v>
      </c>
      <c r="E622" s="17" t="s">
        <v>109</v>
      </c>
      <c r="F622" s="17" t="s">
        <v>52</v>
      </c>
      <c r="G622" s="17" t="s">
        <v>38</v>
      </c>
      <c r="H622" s="17" t="s">
        <v>2593</v>
      </c>
      <c r="I622" s="17" t="s">
        <v>48</v>
      </c>
      <c r="J622" s="36">
        <v>9090.91</v>
      </c>
      <c r="K622" s="36">
        <v>4624.01</v>
      </c>
      <c r="L622" s="36">
        <f t="shared" si="45"/>
        <v>-4466.8999999999996</v>
      </c>
      <c r="M622" s="37">
        <f t="shared" si="46"/>
        <v>-0.49135895086410486</v>
      </c>
      <c r="N622" s="17" t="str">
        <f t="shared" si="47"/>
        <v>Under Budget</v>
      </c>
      <c r="O622" s="38">
        <f t="shared" si="48"/>
        <v>4624.01</v>
      </c>
      <c r="P622" s="39">
        <f t="shared" si="49"/>
        <v>45778</v>
      </c>
    </row>
    <row r="623" spans="1:16" ht="15.5" x14ac:dyDescent="0.35">
      <c r="A623" s="17" t="s">
        <v>671</v>
      </c>
      <c r="B623" s="35">
        <v>45975</v>
      </c>
      <c r="C623" s="17" t="s">
        <v>12</v>
      </c>
      <c r="D623" s="17" t="s">
        <v>36</v>
      </c>
      <c r="E623" s="17" t="s">
        <v>77</v>
      </c>
      <c r="F623" s="17" t="s">
        <v>15</v>
      </c>
      <c r="G623" s="17" t="s">
        <v>22</v>
      </c>
      <c r="H623" s="17" t="s">
        <v>2597</v>
      </c>
      <c r="I623" s="17" t="s">
        <v>48</v>
      </c>
      <c r="J623" s="36">
        <v>2310</v>
      </c>
      <c r="K623" s="36">
        <v>1404.76</v>
      </c>
      <c r="L623" s="36">
        <f t="shared" si="45"/>
        <v>-905.24</v>
      </c>
      <c r="M623" s="37">
        <f t="shared" si="46"/>
        <v>-0.39187878787878788</v>
      </c>
      <c r="N623" s="17" t="str">
        <f t="shared" si="47"/>
        <v>Under Budget</v>
      </c>
      <c r="O623" s="38">
        <f t="shared" si="48"/>
        <v>-1404.76</v>
      </c>
      <c r="P623" s="39">
        <f t="shared" si="49"/>
        <v>45962</v>
      </c>
    </row>
    <row r="624" spans="1:16" ht="15.5" x14ac:dyDescent="0.35">
      <c r="A624" s="17" t="s">
        <v>672</v>
      </c>
      <c r="B624" s="35">
        <v>45690</v>
      </c>
      <c r="C624" s="17" t="s">
        <v>25</v>
      </c>
      <c r="D624" s="17" t="s">
        <v>19</v>
      </c>
      <c r="E624" s="17" t="s">
        <v>27</v>
      </c>
      <c r="F624" s="17" t="s">
        <v>52</v>
      </c>
      <c r="G624" s="17" t="s">
        <v>38</v>
      </c>
      <c r="H624" s="17" t="s">
        <v>2590</v>
      </c>
      <c r="I624" s="17" t="s">
        <v>23</v>
      </c>
      <c r="J624" s="36">
        <v>4850</v>
      </c>
      <c r="K624" s="36">
        <v>7294.25</v>
      </c>
      <c r="L624" s="36">
        <f t="shared" si="45"/>
        <v>2444.25</v>
      </c>
      <c r="M624" s="37">
        <f t="shared" si="46"/>
        <v>0.50396907216494846</v>
      </c>
      <c r="N624" s="17" t="str">
        <f t="shared" si="47"/>
        <v>Over Budget</v>
      </c>
      <c r="O624" s="38">
        <f t="shared" si="48"/>
        <v>7294.25</v>
      </c>
      <c r="P624" s="39">
        <f t="shared" si="49"/>
        <v>45689</v>
      </c>
    </row>
    <row r="625" spans="1:16" ht="15.5" x14ac:dyDescent="0.35">
      <c r="A625" s="17" t="s">
        <v>673</v>
      </c>
      <c r="B625" s="35">
        <v>45791</v>
      </c>
      <c r="C625" s="17" t="s">
        <v>25</v>
      </c>
      <c r="D625" s="17" t="s">
        <v>32</v>
      </c>
      <c r="E625" s="17" t="s">
        <v>109</v>
      </c>
      <c r="F625" s="17" t="s">
        <v>52</v>
      </c>
      <c r="G625" s="17" t="s">
        <v>38</v>
      </c>
      <c r="H625" s="17" t="s">
        <v>2589</v>
      </c>
      <c r="I625" s="17" t="s">
        <v>30</v>
      </c>
      <c r="J625" s="36">
        <v>9090.91</v>
      </c>
      <c r="K625" s="36">
        <v>16589.45</v>
      </c>
      <c r="L625" s="36">
        <f t="shared" si="45"/>
        <v>7498.5400000000009</v>
      </c>
      <c r="M625" s="37">
        <f t="shared" si="46"/>
        <v>0.82483931751606832</v>
      </c>
      <c r="N625" s="17" t="str">
        <f t="shared" si="47"/>
        <v>Over Budget</v>
      </c>
      <c r="O625" s="38">
        <f t="shared" si="48"/>
        <v>16589.45</v>
      </c>
      <c r="P625" s="39">
        <f t="shared" si="49"/>
        <v>45778</v>
      </c>
    </row>
    <row r="626" spans="1:16" ht="15.5" x14ac:dyDescent="0.35">
      <c r="A626" s="17" t="s">
        <v>674</v>
      </c>
      <c r="B626" s="35">
        <v>45803</v>
      </c>
      <c r="C626" s="17" t="s">
        <v>25</v>
      </c>
      <c r="D626" s="17" t="s">
        <v>32</v>
      </c>
      <c r="E626" s="17" t="s">
        <v>109</v>
      </c>
      <c r="F626" s="17" t="s">
        <v>34</v>
      </c>
      <c r="G626" s="17" t="s">
        <v>38</v>
      </c>
      <c r="H626" s="17" t="s">
        <v>2591</v>
      </c>
      <c r="I626" s="17" t="s">
        <v>39</v>
      </c>
      <c r="J626" s="36">
        <v>9090.91</v>
      </c>
      <c r="K626" s="36">
        <v>3446.82</v>
      </c>
      <c r="L626" s="36">
        <f t="shared" si="45"/>
        <v>-5644.09</v>
      </c>
      <c r="M626" s="37">
        <f t="shared" si="46"/>
        <v>-0.62084983791501624</v>
      </c>
      <c r="N626" s="17" t="str">
        <f t="shared" si="47"/>
        <v>Under Budget</v>
      </c>
      <c r="O626" s="38">
        <f t="shared" si="48"/>
        <v>3446.82</v>
      </c>
      <c r="P626" s="39">
        <f t="shared" si="49"/>
        <v>45778</v>
      </c>
    </row>
    <row r="627" spans="1:16" ht="15.5" x14ac:dyDescent="0.35">
      <c r="A627" s="17" t="s">
        <v>675</v>
      </c>
      <c r="B627" s="35">
        <v>45842</v>
      </c>
      <c r="C627" s="17" t="s">
        <v>12</v>
      </c>
      <c r="D627" s="17" t="s">
        <v>36</v>
      </c>
      <c r="E627" s="17" t="s">
        <v>51</v>
      </c>
      <c r="F627" s="17" t="s">
        <v>28</v>
      </c>
      <c r="G627" s="17" t="s">
        <v>16</v>
      </c>
      <c r="H627" s="17" t="s">
        <v>2598</v>
      </c>
      <c r="I627" s="17" t="s">
        <v>39</v>
      </c>
      <c r="J627" s="36">
        <v>6000</v>
      </c>
      <c r="K627" s="36">
        <v>828.94</v>
      </c>
      <c r="L627" s="36">
        <f t="shared" si="45"/>
        <v>-5171.0599999999995</v>
      </c>
      <c r="M627" s="37">
        <f t="shared" si="46"/>
        <v>-0.86184333333333329</v>
      </c>
      <c r="N627" s="17" t="str">
        <f t="shared" si="47"/>
        <v>Under Budget</v>
      </c>
      <c r="O627" s="38">
        <f t="shared" si="48"/>
        <v>-828.94</v>
      </c>
      <c r="P627" s="39">
        <f t="shared" si="49"/>
        <v>45839</v>
      </c>
    </row>
    <row r="628" spans="1:16" ht="15.5" x14ac:dyDescent="0.35">
      <c r="A628" s="17" t="s">
        <v>676</v>
      </c>
      <c r="B628" s="35">
        <v>46117</v>
      </c>
      <c r="C628" s="17" t="s">
        <v>12</v>
      </c>
      <c r="D628" s="17" t="s">
        <v>2585</v>
      </c>
      <c r="E628" s="17" t="s">
        <v>45</v>
      </c>
      <c r="F628" s="17" t="s">
        <v>21</v>
      </c>
      <c r="G628" s="17" t="s">
        <v>38</v>
      </c>
      <c r="H628" s="17" t="s">
        <v>2591</v>
      </c>
      <c r="I628" s="17" t="s">
        <v>23</v>
      </c>
      <c r="J628" s="36">
        <v>8571.43</v>
      </c>
      <c r="K628" s="36">
        <v>4315.09</v>
      </c>
      <c r="L628" s="36">
        <f t="shared" si="45"/>
        <v>-4256.34</v>
      </c>
      <c r="M628" s="37">
        <f t="shared" si="46"/>
        <v>-0.49657291723784713</v>
      </c>
      <c r="N628" s="17" t="str">
        <f t="shared" si="47"/>
        <v>Under Budget</v>
      </c>
      <c r="O628" s="38">
        <f t="shared" si="48"/>
        <v>-4315.09</v>
      </c>
      <c r="P628" s="39">
        <f t="shared" si="49"/>
        <v>46113</v>
      </c>
    </row>
    <row r="629" spans="1:16" ht="15.5" x14ac:dyDescent="0.35">
      <c r="A629" s="17" t="s">
        <v>677</v>
      </c>
      <c r="B629" s="35">
        <v>46125</v>
      </c>
      <c r="C629" s="17" t="s">
        <v>12</v>
      </c>
      <c r="D629" s="17" t="s">
        <v>2584</v>
      </c>
      <c r="E629" s="17" t="s">
        <v>77</v>
      </c>
      <c r="F629" s="17" t="s">
        <v>21</v>
      </c>
      <c r="G629" s="17" t="s">
        <v>82</v>
      </c>
      <c r="H629" s="17" t="s">
        <v>2595</v>
      </c>
      <c r="I629" s="17" t="s">
        <v>39</v>
      </c>
      <c r="J629" s="36">
        <v>2750</v>
      </c>
      <c r="K629" s="36">
        <v>3694</v>
      </c>
      <c r="L629" s="36">
        <f t="shared" si="45"/>
        <v>944</v>
      </c>
      <c r="M629" s="37">
        <f t="shared" si="46"/>
        <v>0.34327272727272728</v>
      </c>
      <c r="N629" s="17" t="str">
        <f t="shared" si="47"/>
        <v>Over Budget</v>
      </c>
      <c r="O629" s="38">
        <f t="shared" si="48"/>
        <v>-3694</v>
      </c>
      <c r="P629" s="39">
        <f t="shared" si="49"/>
        <v>46113</v>
      </c>
    </row>
    <row r="630" spans="1:16" ht="15.5" x14ac:dyDescent="0.35">
      <c r="A630" s="17" t="s">
        <v>678</v>
      </c>
      <c r="B630" s="35">
        <v>45834</v>
      </c>
      <c r="C630" s="17" t="s">
        <v>12</v>
      </c>
      <c r="D630" s="17" t="s">
        <v>26</v>
      </c>
      <c r="E630" s="17" t="s">
        <v>37</v>
      </c>
      <c r="F630" s="17" t="s">
        <v>52</v>
      </c>
      <c r="G630" s="17" t="s">
        <v>38</v>
      </c>
      <c r="H630" s="17" t="s">
        <v>2592</v>
      </c>
      <c r="I630" s="17" t="s">
        <v>30</v>
      </c>
      <c r="J630" s="36">
        <v>7000</v>
      </c>
      <c r="K630" s="36">
        <v>2104.65</v>
      </c>
      <c r="L630" s="36">
        <f t="shared" si="45"/>
        <v>-4895.3500000000004</v>
      </c>
      <c r="M630" s="37">
        <f t="shared" si="46"/>
        <v>-0.69933571428571428</v>
      </c>
      <c r="N630" s="17" t="str">
        <f t="shared" si="47"/>
        <v>Under Budget</v>
      </c>
      <c r="O630" s="38">
        <f t="shared" si="48"/>
        <v>-2104.65</v>
      </c>
      <c r="P630" s="39">
        <f t="shared" si="49"/>
        <v>45809</v>
      </c>
    </row>
    <row r="631" spans="1:16" ht="15.5" x14ac:dyDescent="0.35">
      <c r="A631" s="17" t="s">
        <v>679</v>
      </c>
      <c r="B631" s="35">
        <v>45695</v>
      </c>
      <c r="C631" s="17" t="s">
        <v>12</v>
      </c>
      <c r="D631" s="17" t="s">
        <v>36</v>
      </c>
      <c r="E631" s="17" t="s">
        <v>77</v>
      </c>
      <c r="F631" s="17" t="s">
        <v>52</v>
      </c>
      <c r="G631" s="17" t="s">
        <v>82</v>
      </c>
      <c r="H631" s="17" t="s">
        <v>2597</v>
      </c>
      <c r="I631" s="17" t="s">
        <v>17</v>
      </c>
      <c r="J631" s="36">
        <v>5335</v>
      </c>
      <c r="K631" s="36">
        <v>3603.78</v>
      </c>
      <c r="L631" s="36">
        <f t="shared" si="45"/>
        <v>-1731.2199999999998</v>
      </c>
      <c r="M631" s="37">
        <f t="shared" si="46"/>
        <v>-0.32450234301780689</v>
      </c>
      <c r="N631" s="17" t="str">
        <f t="shared" si="47"/>
        <v>Under Budget</v>
      </c>
      <c r="O631" s="38">
        <f t="shared" si="48"/>
        <v>-3603.78</v>
      </c>
      <c r="P631" s="39">
        <f t="shared" si="49"/>
        <v>45689</v>
      </c>
    </row>
    <row r="632" spans="1:16" ht="15.5" x14ac:dyDescent="0.35">
      <c r="A632" s="17" t="s">
        <v>680</v>
      </c>
      <c r="B632" s="35">
        <v>45728</v>
      </c>
      <c r="C632" s="17" t="s">
        <v>25</v>
      </c>
      <c r="D632" s="17" t="s">
        <v>32</v>
      </c>
      <c r="E632" s="17" t="s">
        <v>33</v>
      </c>
      <c r="F632" s="17" t="s">
        <v>15</v>
      </c>
      <c r="G632" s="17" t="s">
        <v>38</v>
      </c>
      <c r="H632" s="17" t="s">
        <v>2598</v>
      </c>
      <c r="I632" s="17" t="s">
        <v>30</v>
      </c>
      <c r="J632" s="36">
        <v>8064.52</v>
      </c>
      <c r="K632" s="36">
        <v>6446.3</v>
      </c>
      <c r="L632" s="36">
        <f t="shared" si="45"/>
        <v>-1618.2200000000003</v>
      </c>
      <c r="M632" s="37">
        <f t="shared" si="46"/>
        <v>-0.20065918368359184</v>
      </c>
      <c r="N632" s="17" t="str">
        <f t="shared" si="47"/>
        <v>Under Budget</v>
      </c>
      <c r="O632" s="38">
        <f t="shared" si="48"/>
        <v>6446.3</v>
      </c>
      <c r="P632" s="39">
        <f t="shared" si="49"/>
        <v>45717</v>
      </c>
    </row>
    <row r="633" spans="1:16" ht="15.5" x14ac:dyDescent="0.35">
      <c r="A633" s="17" t="s">
        <v>681</v>
      </c>
      <c r="B633" s="35">
        <v>46185</v>
      </c>
      <c r="C633" s="17" t="s">
        <v>12</v>
      </c>
      <c r="D633" s="17" t="s">
        <v>2584</v>
      </c>
      <c r="E633" s="17" t="s">
        <v>45</v>
      </c>
      <c r="F633" s="17" t="s">
        <v>52</v>
      </c>
      <c r="G633" s="17" t="s">
        <v>16</v>
      </c>
      <c r="H633" s="17" t="s">
        <v>2593</v>
      </c>
      <c r="I633" s="17" t="s">
        <v>23</v>
      </c>
      <c r="J633" s="36">
        <v>8571.43</v>
      </c>
      <c r="K633" s="36">
        <v>10407.299999999999</v>
      </c>
      <c r="L633" s="36">
        <f t="shared" si="45"/>
        <v>1835.869999999999</v>
      </c>
      <c r="M633" s="37">
        <f t="shared" si="46"/>
        <v>0.21418479763586692</v>
      </c>
      <c r="N633" s="17" t="str">
        <f t="shared" si="47"/>
        <v>Over Budget</v>
      </c>
      <c r="O633" s="38">
        <f t="shared" si="48"/>
        <v>-10407.299999999999</v>
      </c>
      <c r="P633" s="39">
        <f t="shared" si="49"/>
        <v>46174</v>
      </c>
    </row>
    <row r="634" spans="1:16" ht="15.5" x14ac:dyDescent="0.35">
      <c r="A634" s="17" t="s">
        <v>682</v>
      </c>
      <c r="B634" s="35">
        <v>45688</v>
      </c>
      <c r="C634" s="17" t="s">
        <v>12</v>
      </c>
      <c r="D634" s="17" t="s">
        <v>32</v>
      </c>
      <c r="E634" s="17" t="s">
        <v>77</v>
      </c>
      <c r="F634" s="17" t="s">
        <v>52</v>
      </c>
      <c r="G634" s="17" t="s">
        <v>38</v>
      </c>
      <c r="H634" s="17" t="s">
        <v>2588</v>
      </c>
      <c r="I634" s="17" t="s">
        <v>23</v>
      </c>
      <c r="J634" s="36">
        <v>3556.67</v>
      </c>
      <c r="K634" s="36">
        <v>840.75</v>
      </c>
      <c r="L634" s="36">
        <f t="shared" si="45"/>
        <v>-2715.92</v>
      </c>
      <c r="M634" s="37">
        <f t="shared" si="46"/>
        <v>-0.7636131550017291</v>
      </c>
      <c r="N634" s="17" t="str">
        <f t="shared" si="47"/>
        <v>Under Budget</v>
      </c>
      <c r="O634" s="38">
        <f t="shared" si="48"/>
        <v>-840.75</v>
      </c>
      <c r="P634" s="39">
        <f t="shared" si="49"/>
        <v>45658</v>
      </c>
    </row>
    <row r="635" spans="1:16" ht="15.5" x14ac:dyDescent="0.35">
      <c r="A635" s="17" t="s">
        <v>683</v>
      </c>
      <c r="B635" s="35">
        <v>45773</v>
      </c>
      <c r="C635" s="17" t="s">
        <v>12</v>
      </c>
      <c r="D635" s="17" t="s">
        <v>26</v>
      </c>
      <c r="E635" s="17" t="s">
        <v>77</v>
      </c>
      <c r="F635" s="17" t="s">
        <v>34</v>
      </c>
      <c r="G635" s="17" t="s">
        <v>38</v>
      </c>
      <c r="H635" s="17" t="s">
        <v>80</v>
      </c>
      <c r="I635" s="17" t="s">
        <v>48</v>
      </c>
      <c r="J635" s="36">
        <v>2750</v>
      </c>
      <c r="K635" s="36">
        <v>1249.74</v>
      </c>
      <c r="L635" s="36">
        <f t="shared" si="45"/>
        <v>-1500.26</v>
      </c>
      <c r="M635" s="37">
        <f t="shared" si="46"/>
        <v>-0.54554909090909087</v>
      </c>
      <c r="N635" s="17" t="str">
        <f t="shared" si="47"/>
        <v>Under Budget</v>
      </c>
      <c r="O635" s="38">
        <f t="shared" si="48"/>
        <v>-1249.74</v>
      </c>
      <c r="P635" s="39">
        <f t="shared" si="49"/>
        <v>45748</v>
      </c>
    </row>
    <row r="636" spans="1:16" ht="15.5" x14ac:dyDescent="0.35">
      <c r="A636" s="17" t="s">
        <v>684</v>
      </c>
      <c r="B636" s="35">
        <v>45782</v>
      </c>
      <c r="C636" s="17" t="s">
        <v>12</v>
      </c>
      <c r="D636" s="17" t="s">
        <v>26</v>
      </c>
      <c r="E636" s="17" t="s">
        <v>74</v>
      </c>
      <c r="F636" s="17" t="s">
        <v>52</v>
      </c>
      <c r="G636" s="17" t="s">
        <v>38</v>
      </c>
      <c r="H636" s="17" t="s">
        <v>2590</v>
      </c>
      <c r="I636" s="17" t="s">
        <v>17</v>
      </c>
      <c r="J636" s="36">
        <v>5000</v>
      </c>
      <c r="K636" s="36">
        <v>3004.66</v>
      </c>
      <c r="L636" s="36">
        <f t="shared" si="45"/>
        <v>-1995.3400000000001</v>
      </c>
      <c r="M636" s="37">
        <f t="shared" si="46"/>
        <v>-0.39906800000000003</v>
      </c>
      <c r="N636" s="17" t="str">
        <f t="shared" si="47"/>
        <v>Under Budget</v>
      </c>
      <c r="O636" s="38">
        <f t="shared" si="48"/>
        <v>-3004.66</v>
      </c>
      <c r="P636" s="39">
        <f t="shared" si="49"/>
        <v>45778</v>
      </c>
    </row>
    <row r="637" spans="1:16" ht="15.5" x14ac:dyDescent="0.35">
      <c r="A637" s="17" t="s">
        <v>685</v>
      </c>
      <c r="B637" s="35">
        <v>46117</v>
      </c>
      <c r="C637" s="17" t="s">
        <v>12</v>
      </c>
      <c r="D637" s="17" t="s">
        <v>32</v>
      </c>
      <c r="E637" s="17" t="s">
        <v>20</v>
      </c>
      <c r="F637" s="17" t="s">
        <v>28</v>
      </c>
      <c r="G637" s="17" t="s">
        <v>16</v>
      </c>
      <c r="H637" s="17" t="s">
        <v>2593</v>
      </c>
      <c r="I637" s="17" t="s">
        <v>48</v>
      </c>
      <c r="J637" s="36">
        <v>2250</v>
      </c>
      <c r="K637" s="36">
        <v>1682.88</v>
      </c>
      <c r="L637" s="36">
        <f t="shared" si="45"/>
        <v>-567.11999999999989</v>
      </c>
      <c r="M637" s="37">
        <f t="shared" si="46"/>
        <v>-0.2520533333333333</v>
      </c>
      <c r="N637" s="17" t="str">
        <f t="shared" si="47"/>
        <v>Under Budget</v>
      </c>
      <c r="O637" s="38">
        <f t="shared" si="48"/>
        <v>-1682.88</v>
      </c>
      <c r="P637" s="39">
        <f t="shared" si="49"/>
        <v>46113</v>
      </c>
    </row>
    <row r="638" spans="1:16" ht="15.5" x14ac:dyDescent="0.35">
      <c r="A638" s="17" t="s">
        <v>686</v>
      </c>
      <c r="B638" s="35">
        <v>46066</v>
      </c>
      <c r="C638" s="17" t="s">
        <v>25</v>
      </c>
      <c r="D638" s="17" t="s">
        <v>2585</v>
      </c>
      <c r="E638" s="17" t="s">
        <v>33</v>
      </c>
      <c r="F638" s="17" t="s">
        <v>28</v>
      </c>
      <c r="G638" s="17" t="s">
        <v>29</v>
      </c>
      <c r="H638" s="17" t="s">
        <v>60</v>
      </c>
      <c r="I638" s="17" t="s">
        <v>39</v>
      </c>
      <c r="J638" s="36">
        <v>12125</v>
      </c>
      <c r="K638" s="36">
        <v>8854.2199999999993</v>
      </c>
      <c r="L638" s="36">
        <f t="shared" si="45"/>
        <v>-3270.7800000000007</v>
      </c>
      <c r="M638" s="37">
        <f t="shared" si="46"/>
        <v>-0.26975505154639179</v>
      </c>
      <c r="N638" s="17" t="str">
        <f t="shared" si="47"/>
        <v>Under Budget</v>
      </c>
      <c r="O638" s="38">
        <f t="shared" si="48"/>
        <v>8854.2199999999993</v>
      </c>
      <c r="P638" s="39">
        <f t="shared" si="49"/>
        <v>46054</v>
      </c>
    </row>
    <row r="639" spans="1:16" ht="15.5" x14ac:dyDescent="0.35">
      <c r="A639" s="17" t="s">
        <v>687</v>
      </c>
      <c r="B639" s="35">
        <v>45666</v>
      </c>
      <c r="C639" s="17" t="s">
        <v>12</v>
      </c>
      <c r="D639" s="17" t="s">
        <v>19</v>
      </c>
      <c r="E639" s="17" t="s">
        <v>51</v>
      </c>
      <c r="F639" s="17" t="s">
        <v>28</v>
      </c>
      <c r="G639" s="17" t="s">
        <v>38</v>
      </c>
      <c r="H639" s="17" t="s">
        <v>2591</v>
      </c>
      <c r="I639" s="17" t="s">
        <v>39</v>
      </c>
      <c r="J639" s="36">
        <v>3637.5</v>
      </c>
      <c r="K639" s="36">
        <v>4724.42</v>
      </c>
      <c r="L639" s="36">
        <f t="shared" si="45"/>
        <v>1086.92</v>
      </c>
      <c r="M639" s="37">
        <f t="shared" si="46"/>
        <v>0.29880962199312716</v>
      </c>
      <c r="N639" s="17" t="str">
        <f t="shared" si="47"/>
        <v>Over Budget</v>
      </c>
      <c r="O639" s="38">
        <f t="shared" si="48"/>
        <v>-4724.42</v>
      </c>
      <c r="P639" s="39">
        <f t="shared" si="49"/>
        <v>45658</v>
      </c>
    </row>
    <row r="640" spans="1:16" ht="15.5" x14ac:dyDescent="0.35">
      <c r="A640" s="17" t="s">
        <v>688</v>
      </c>
      <c r="B640" s="35">
        <v>46063</v>
      </c>
      <c r="C640" s="17" t="s">
        <v>12</v>
      </c>
      <c r="D640" s="17" t="s">
        <v>26</v>
      </c>
      <c r="E640" s="17" t="s">
        <v>45</v>
      </c>
      <c r="F640" s="17" t="s">
        <v>21</v>
      </c>
      <c r="G640" s="17" t="s">
        <v>38</v>
      </c>
      <c r="H640" s="17" t="s">
        <v>2596</v>
      </c>
      <c r="I640" s="17" t="s">
        <v>39</v>
      </c>
      <c r="J640" s="36">
        <v>9189.4699999999993</v>
      </c>
      <c r="K640" s="36">
        <v>9571.81</v>
      </c>
      <c r="L640" s="36">
        <f t="shared" si="45"/>
        <v>382.34000000000015</v>
      </c>
      <c r="M640" s="37">
        <f t="shared" si="46"/>
        <v>4.1606316795201485E-2</v>
      </c>
      <c r="N640" s="17" t="str">
        <f t="shared" si="47"/>
        <v>Over Budget</v>
      </c>
      <c r="O640" s="38">
        <f t="shared" si="48"/>
        <v>-9571.81</v>
      </c>
      <c r="P640" s="39">
        <f t="shared" si="49"/>
        <v>46054</v>
      </c>
    </row>
    <row r="641" spans="1:16" ht="15.5" x14ac:dyDescent="0.35">
      <c r="A641" s="17" t="s">
        <v>689</v>
      </c>
      <c r="B641" s="35">
        <v>46067</v>
      </c>
      <c r="C641" s="17" t="s">
        <v>12</v>
      </c>
      <c r="D641" s="17" t="s">
        <v>19</v>
      </c>
      <c r="E641" s="17" t="s">
        <v>45</v>
      </c>
      <c r="F641" s="17" t="s">
        <v>21</v>
      </c>
      <c r="G641" s="17" t="s">
        <v>38</v>
      </c>
      <c r="H641" s="17" t="s">
        <v>2586</v>
      </c>
      <c r="I641" s="17" t="s">
        <v>48</v>
      </c>
      <c r="J641" s="36">
        <v>9189.4699999999993</v>
      </c>
      <c r="K641" s="36">
        <v>11145.24</v>
      </c>
      <c r="L641" s="36">
        <f t="shared" si="45"/>
        <v>1955.7700000000004</v>
      </c>
      <c r="M641" s="37">
        <f t="shared" si="46"/>
        <v>0.21282729036603859</v>
      </c>
      <c r="N641" s="17" t="str">
        <f t="shared" si="47"/>
        <v>Over Budget</v>
      </c>
      <c r="O641" s="38">
        <f t="shared" si="48"/>
        <v>-11145.24</v>
      </c>
      <c r="P641" s="39">
        <f t="shared" si="49"/>
        <v>46054</v>
      </c>
    </row>
    <row r="642" spans="1:16" ht="15.5" x14ac:dyDescent="0.35">
      <c r="A642" s="17" t="s">
        <v>690</v>
      </c>
      <c r="B642" s="35">
        <v>46038</v>
      </c>
      <c r="C642" s="17" t="s">
        <v>25</v>
      </c>
      <c r="D642" s="17" t="s">
        <v>36</v>
      </c>
      <c r="E642" s="17" t="s">
        <v>33</v>
      </c>
      <c r="F642" s="17" t="s">
        <v>52</v>
      </c>
      <c r="G642" s="17" t="s">
        <v>22</v>
      </c>
      <c r="H642" s="17" t="s">
        <v>2583</v>
      </c>
      <c r="I642" s="17" t="s">
        <v>23</v>
      </c>
      <c r="J642" s="36">
        <v>11547.62</v>
      </c>
      <c r="K642" s="36">
        <v>13992.68</v>
      </c>
      <c r="L642" s="36">
        <f t="shared" si="45"/>
        <v>2445.0599999999995</v>
      </c>
      <c r="M642" s="37">
        <f t="shared" si="46"/>
        <v>0.21173713717631854</v>
      </c>
      <c r="N642" s="17" t="str">
        <f t="shared" si="47"/>
        <v>Over Budget</v>
      </c>
      <c r="O642" s="38">
        <f t="shared" si="48"/>
        <v>13992.68</v>
      </c>
      <c r="P642" s="39">
        <f t="shared" si="49"/>
        <v>46023</v>
      </c>
    </row>
    <row r="643" spans="1:16" ht="15.5" x14ac:dyDescent="0.35">
      <c r="A643" s="17" t="s">
        <v>691</v>
      </c>
      <c r="B643" s="35">
        <v>46084</v>
      </c>
      <c r="C643" s="17" t="s">
        <v>12</v>
      </c>
      <c r="D643" s="17" t="s">
        <v>36</v>
      </c>
      <c r="E643" s="17" t="s">
        <v>65</v>
      </c>
      <c r="F643" s="17" t="s">
        <v>34</v>
      </c>
      <c r="G643" s="17" t="s">
        <v>82</v>
      </c>
      <c r="H643" s="17" t="s">
        <v>80</v>
      </c>
      <c r="I643" s="17" t="s">
        <v>48</v>
      </c>
      <c r="J643" s="36">
        <v>5000</v>
      </c>
      <c r="K643" s="36">
        <v>2209.69</v>
      </c>
      <c r="L643" s="36">
        <f t="shared" ref="L643:L706" si="50">K643-J643</f>
        <v>-2790.31</v>
      </c>
      <c r="M643" s="37">
        <f t="shared" ref="M643:M706" si="51">IF(J643=0,0,L643/J643)</f>
        <v>-0.55806199999999995</v>
      </c>
      <c r="N643" s="17" t="str">
        <f t="shared" ref="N643:N706" si="52">IF(J643=0,"No Budget",IF(K643&gt;J643,"Over Budget",IF(K643&lt;J643,"Under Budget","On Budget")))</f>
        <v>Under Budget</v>
      </c>
      <c r="O643" s="38">
        <f t="shared" ref="O643:O706" si="53">IF(C643="Revenue",K643,-K643)</f>
        <v>-2209.69</v>
      </c>
      <c r="P643" s="39">
        <f t="shared" ref="P643:P706" si="54">DATE(YEAR(B643),MONTH(B643),1)</f>
        <v>46082</v>
      </c>
    </row>
    <row r="644" spans="1:16" ht="15.5" x14ac:dyDescent="0.35">
      <c r="A644" s="17" t="s">
        <v>692</v>
      </c>
      <c r="B644" s="35">
        <v>45944</v>
      </c>
      <c r="C644" s="17" t="s">
        <v>25</v>
      </c>
      <c r="D644" s="17" t="s">
        <v>13</v>
      </c>
      <c r="E644" s="17" t="s">
        <v>33</v>
      </c>
      <c r="F644" s="17" t="s">
        <v>34</v>
      </c>
      <c r="G644" s="17" t="s">
        <v>38</v>
      </c>
      <c r="H644" s="17" t="s">
        <v>2597</v>
      </c>
      <c r="I644" s="17" t="s">
        <v>30</v>
      </c>
      <c r="J644" s="36">
        <v>8928.57</v>
      </c>
      <c r="K644" s="36">
        <v>15688.42</v>
      </c>
      <c r="L644" s="36">
        <f t="shared" si="50"/>
        <v>6759.85</v>
      </c>
      <c r="M644" s="37">
        <f t="shared" si="51"/>
        <v>0.75710332113653145</v>
      </c>
      <c r="N644" s="17" t="str">
        <f t="shared" si="52"/>
        <v>Over Budget</v>
      </c>
      <c r="O644" s="38">
        <f t="shared" si="53"/>
        <v>15688.42</v>
      </c>
      <c r="P644" s="39">
        <f t="shared" si="54"/>
        <v>45931</v>
      </c>
    </row>
    <row r="645" spans="1:16" ht="15.5" x14ac:dyDescent="0.35">
      <c r="A645" s="17" t="s">
        <v>693</v>
      </c>
      <c r="B645" s="35">
        <v>45799</v>
      </c>
      <c r="C645" s="17" t="s">
        <v>12</v>
      </c>
      <c r="D645" s="17" t="s">
        <v>2584</v>
      </c>
      <c r="E645" s="17" t="s">
        <v>14</v>
      </c>
      <c r="F645" s="17" t="s">
        <v>52</v>
      </c>
      <c r="G645" s="17" t="s">
        <v>43</v>
      </c>
      <c r="H645" s="17" t="s">
        <v>2589</v>
      </c>
      <c r="I645" s="17" t="s">
        <v>23</v>
      </c>
      <c r="J645" s="36">
        <v>2909.09</v>
      </c>
      <c r="K645" s="36">
        <v>6275.88</v>
      </c>
      <c r="L645" s="36">
        <f t="shared" si="50"/>
        <v>3366.79</v>
      </c>
      <c r="M645" s="37">
        <f t="shared" si="51"/>
        <v>1.1573344241670074</v>
      </c>
      <c r="N645" s="17" t="str">
        <f t="shared" si="52"/>
        <v>Over Budget</v>
      </c>
      <c r="O645" s="38">
        <f t="shared" si="53"/>
        <v>-6275.88</v>
      </c>
      <c r="P645" s="39">
        <f t="shared" si="54"/>
        <v>45778</v>
      </c>
    </row>
    <row r="646" spans="1:16" ht="15.5" x14ac:dyDescent="0.35">
      <c r="A646" s="17" t="s">
        <v>694</v>
      </c>
      <c r="B646" s="35">
        <v>46194</v>
      </c>
      <c r="C646" s="17" t="s">
        <v>25</v>
      </c>
      <c r="D646" s="17" t="s">
        <v>32</v>
      </c>
      <c r="E646" s="17" t="s">
        <v>33</v>
      </c>
      <c r="F646" s="17" t="s">
        <v>34</v>
      </c>
      <c r="G646" s="17" t="s">
        <v>22</v>
      </c>
      <c r="H646" s="17" t="s">
        <v>2595</v>
      </c>
      <c r="I646" s="17" t="s">
        <v>48</v>
      </c>
      <c r="J646" s="36">
        <v>10000</v>
      </c>
      <c r="K646" s="36">
        <v>8388.9</v>
      </c>
      <c r="L646" s="36">
        <f t="shared" si="50"/>
        <v>-1611.1000000000004</v>
      </c>
      <c r="M646" s="37">
        <f t="shared" si="51"/>
        <v>-0.16111000000000003</v>
      </c>
      <c r="N646" s="17" t="str">
        <f t="shared" si="52"/>
        <v>Under Budget</v>
      </c>
      <c r="O646" s="38">
        <f t="shared" si="53"/>
        <v>8388.9</v>
      </c>
      <c r="P646" s="39">
        <f t="shared" si="54"/>
        <v>46174</v>
      </c>
    </row>
    <row r="647" spans="1:16" ht="15.5" x14ac:dyDescent="0.35">
      <c r="A647" s="17" t="s">
        <v>695</v>
      </c>
      <c r="B647" s="35">
        <v>46192</v>
      </c>
      <c r="C647" s="17" t="s">
        <v>12</v>
      </c>
      <c r="D647" s="17" t="s">
        <v>2584</v>
      </c>
      <c r="E647" s="17" t="s">
        <v>45</v>
      </c>
      <c r="F647" s="17" t="s">
        <v>21</v>
      </c>
      <c r="G647" s="17" t="s">
        <v>38</v>
      </c>
      <c r="H647" s="17" t="s">
        <v>60</v>
      </c>
      <c r="I647" s="17" t="s">
        <v>17</v>
      </c>
      <c r="J647" s="36">
        <v>8571.43</v>
      </c>
      <c r="K647" s="36">
        <v>11960.17</v>
      </c>
      <c r="L647" s="36">
        <f t="shared" si="50"/>
        <v>3388.74</v>
      </c>
      <c r="M647" s="37">
        <f t="shared" si="51"/>
        <v>0.39535293410784428</v>
      </c>
      <c r="N647" s="17" t="str">
        <f t="shared" si="52"/>
        <v>Over Budget</v>
      </c>
      <c r="O647" s="38">
        <f t="shared" si="53"/>
        <v>-11960.17</v>
      </c>
      <c r="P647" s="39">
        <f t="shared" si="54"/>
        <v>46174</v>
      </c>
    </row>
    <row r="648" spans="1:16" ht="15.5" x14ac:dyDescent="0.35">
      <c r="A648" s="17" t="s">
        <v>696</v>
      </c>
      <c r="B648" s="35">
        <v>45794</v>
      </c>
      <c r="C648" s="17" t="s">
        <v>25</v>
      </c>
      <c r="D648" s="17" t="s">
        <v>26</v>
      </c>
      <c r="E648" s="17" t="s">
        <v>109</v>
      </c>
      <c r="F648" s="17" t="s">
        <v>52</v>
      </c>
      <c r="G648" s="17" t="s">
        <v>38</v>
      </c>
      <c r="H648" s="17" t="s">
        <v>2587</v>
      </c>
      <c r="I648" s="17" t="s">
        <v>23</v>
      </c>
      <c r="J648" s="36">
        <v>9090.91</v>
      </c>
      <c r="K648" s="36">
        <v>15151.18</v>
      </c>
      <c r="L648" s="36">
        <f t="shared" si="50"/>
        <v>6060.27</v>
      </c>
      <c r="M648" s="37">
        <f t="shared" si="51"/>
        <v>0.66662963333703673</v>
      </c>
      <c r="N648" s="17" t="str">
        <f t="shared" si="52"/>
        <v>Over Budget</v>
      </c>
      <c r="O648" s="38">
        <f t="shared" si="53"/>
        <v>15151.18</v>
      </c>
      <c r="P648" s="39">
        <f t="shared" si="54"/>
        <v>45778</v>
      </c>
    </row>
    <row r="649" spans="1:16" ht="15.5" x14ac:dyDescent="0.35">
      <c r="A649" s="17" t="s">
        <v>697</v>
      </c>
      <c r="B649" s="35">
        <v>45792</v>
      </c>
      <c r="C649" s="17" t="s">
        <v>25</v>
      </c>
      <c r="D649" s="17" t="s">
        <v>36</v>
      </c>
      <c r="E649" s="17" t="s">
        <v>109</v>
      </c>
      <c r="F649" s="17" t="s">
        <v>28</v>
      </c>
      <c r="G649" s="17" t="s">
        <v>38</v>
      </c>
      <c r="H649" s="17" t="s">
        <v>2593</v>
      </c>
      <c r="I649" s="17" t="s">
        <v>39</v>
      </c>
      <c r="J649" s="36">
        <v>9090.91</v>
      </c>
      <c r="K649" s="36">
        <v>12013.11</v>
      </c>
      <c r="L649" s="36">
        <f t="shared" si="50"/>
        <v>2922.2000000000007</v>
      </c>
      <c r="M649" s="37">
        <f t="shared" si="51"/>
        <v>0.32144196785580331</v>
      </c>
      <c r="N649" s="17" t="str">
        <f t="shared" si="52"/>
        <v>Over Budget</v>
      </c>
      <c r="O649" s="38">
        <f t="shared" si="53"/>
        <v>12013.11</v>
      </c>
      <c r="P649" s="39">
        <f t="shared" si="54"/>
        <v>45778</v>
      </c>
    </row>
    <row r="650" spans="1:16" ht="15.5" x14ac:dyDescent="0.35">
      <c r="A650" s="17" t="s">
        <v>698</v>
      </c>
      <c r="B650" s="35">
        <v>45844</v>
      </c>
      <c r="C650" s="17" t="s">
        <v>12</v>
      </c>
      <c r="D650" s="17" t="s">
        <v>2585</v>
      </c>
      <c r="E650" s="17" t="s">
        <v>45</v>
      </c>
      <c r="F650" s="17" t="s">
        <v>34</v>
      </c>
      <c r="G650" s="17" t="s">
        <v>43</v>
      </c>
      <c r="H650" s="17" t="s">
        <v>2597</v>
      </c>
      <c r="I650" s="17" t="s">
        <v>39</v>
      </c>
      <c r="J650" s="36">
        <v>6923.08</v>
      </c>
      <c r="K650" s="36">
        <v>16192.59</v>
      </c>
      <c r="L650" s="36">
        <f t="shared" si="50"/>
        <v>9269.51</v>
      </c>
      <c r="M650" s="37">
        <f t="shared" si="51"/>
        <v>1.3389286271428325</v>
      </c>
      <c r="N650" s="17" t="str">
        <f t="shared" si="52"/>
        <v>Over Budget</v>
      </c>
      <c r="O650" s="38">
        <f t="shared" si="53"/>
        <v>-16192.59</v>
      </c>
      <c r="P650" s="39">
        <f t="shared" si="54"/>
        <v>45839</v>
      </c>
    </row>
    <row r="651" spans="1:16" ht="15.5" x14ac:dyDescent="0.35">
      <c r="A651" s="17" t="s">
        <v>699</v>
      </c>
      <c r="B651" s="35">
        <v>46063</v>
      </c>
      <c r="C651" s="17" t="s">
        <v>12</v>
      </c>
      <c r="D651" s="17" t="s">
        <v>19</v>
      </c>
      <c r="E651" s="17" t="s">
        <v>14</v>
      </c>
      <c r="F651" s="17" t="s">
        <v>28</v>
      </c>
      <c r="G651" s="17" t="s">
        <v>16</v>
      </c>
      <c r="H651" s="17" t="s">
        <v>2587</v>
      </c>
      <c r="I651" s="17" t="s">
        <v>39</v>
      </c>
      <c r="J651" s="36">
        <v>5173.33</v>
      </c>
      <c r="K651" s="36">
        <v>3184.91</v>
      </c>
      <c r="L651" s="36">
        <f t="shared" si="50"/>
        <v>-1988.42</v>
      </c>
      <c r="M651" s="37">
        <f t="shared" si="51"/>
        <v>-0.3843597837369741</v>
      </c>
      <c r="N651" s="17" t="str">
        <f t="shared" si="52"/>
        <v>Under Budget</v>
      </c>
      <c r="O651" s="38">
        <f t="shared" si="53"/>
        <v>-3184.91</v>
      </c>
      <c r="P651" s="39">
        <f t="shared" si="54"/>
        <v>46054</v>
      </c>
    </row>
    <row r="652" spans="1:16" ht="15.5" x14ac:dyDescent="0.35">
      <c r="A652" s="17" t="s">
        <v>700</v>
      </c>
      <c r="B652" s="35">
        <v>46200</v>
      </c>
      <c r="C652" s="17" t="s">
        <v>25</v>
      </c>
      <c r="D652" s="17" t="s">
        <v>32</v>
      </c>
      <c r="E652" s="17" t="s">
        <v>33</v>
      </c>
      <c r="F652" s="17" t="s">
        <v>52</v>
      </c>
      <c r="G652" s="17" t="s">
        <v>38</v>
      </c>
      <c r="H652" s="17" t="s">
        <v>2598</v>
      </c>
      <c r="I652" s="17" t="s">
        <v>30</v>
      </c>
      <c r="J652" s="36">
        <v>10000</v>
      </c>
      <c r="K652" s="36">
        <v>4585.0600000000004</v>
      </c>
      <c r="L652" s="36">
        <f t="shared" si="50"/>
        <v>-5414.94</v>
      </c>
      <c r="M652" s="37">
        <f t="shared" si="51"/>
        <v>-0.54149399999999992</v>
      </c>
      <c r="N652" s="17" t="str">
        <f t="shared" si="52"/>
        <v>Under Budget</v>
      </c>
      <c r="O652" s="38">
        <f t="shared" si="53"/>
        <v>4585.0600000000004</v>
      </c>
      <c r="P652" s="39">
        <f t="shared" si="54"/>
        <v>46174</v>
      </c>
    </row>
    <row r="653" spans="1:16" ht="15.5" x14ac:dyDescent="0.35">
      <c r="A653" s="17" t="s">
        <v>701</v>
      </c>
      <c r="B653" s="35">
        <v>45742</v>
      </c>
      <c r="C653" s="17" t="s">
        <v>25</v>
      </c>
      <c r="D653" s="17" t="s">
        <v>32</v>
      </c>
      <c r="E653" s="17" t="s">
        <v>33</v>
      </c>
      <c r="F653" s="17" t="s">
        <v>15</v>
      </c>
      <c r="G653" s="17" t="s">
        <v>38</v>
      </c>
      <c r="H653" s="17" t="s">
        <v>2587</v>
      </c>
      <c r="I653" s="17" t="s">
        <v>48</v>
      </c>
      <c r="J653" s="36">
        <v>8064.52</v>
      </c>
      <c r="K653" s="36">
        <v>24082.27</v>
      </c>
      <c r="L653" s="36">
        <f t="shared" si="50"/>
        <v>16017.75</v>
      </c>
      <c r="M653" s="37">
        <f t="shared" si="51"/>
        <v>1.9862000466239775</v>
      </c>
      <c r="N653" s="17" t="str">
        <f t="shared" si="52"/>
        <v>Over Budget</v>
      </c>
      <c r="O653" s="38">
        <f t="shared" si="53"/>
        <v>24082.27</v>
      </c>
      <c r="P653" s="39">
        <f t="shared" si="54"/>
        <v>45717</v>
      </c>
    </row>
    <row r="654" spans="1:16" ht="15.5" x14ac:dyDescent="0.35">
      <c r="A654" s="17" t="s">
        <v>702</v>
      </c>
      <c r="B654" s="35">
        <v>45790</v>
      </c>
      <c r="C654" s="17" t="s">
        <v>25</v>
      </c>
      <c r="D654" s="17" t="s">
        <v>32</v>
      </c>
      <c r="E654" s="17" t="s">
        <v>33</v>
      </c>
      <c r="F654" s="17" t="s">
        <v>34</v>
      </c>
      <c r="G654" s="17" t="s">
        <v>38</v>
      </c>
      <c r="H654" s="17" t="s">
        <v>2594</v>
      </c>
      <c r="I654" s="17" t="s">
        <v>23</v>
      </c>
      <c r="J654" s="36">
        <v>9615.3799999999992</v>
      </c>
      <c r="K654" s="36">
        <v>2918.31</v>
      </c>
      <c r="L654" s="36">
        <f t="shared" si="50"/>
        <v>-6697.07</v>
      </c>
      <c r="M654" s="37">
        <f t="shared" si="51"/>
        <v>-0.69649561431789486</v>
      </c>
      <c r="N654" s="17" t="str">
        <f t="shared" si="52"/>
        <v>Under Budget</v>
      </c>
      <c r="O654" s="38">
        <f t="shared" si="53"/>
        <v>2918.31</v>
      </c>
      <c r="P654" s="39">
        <f t="shared" si="54"/>
        <v>45778</v>
      </c>
    </row>
    <row r="655" spans="1:16" ht="15.5" x14ac:dyDescent="0.35">
      <c r="A655" s="17" t="s">
        <v>703</v>
      </c>
      <c r="B655" s="35">
        <v>45892</v>
      </c>
      <c r="C655" s="17" t="s">
        <v>12</v>
      </c>
      <c r="D655" s="17" t="s">
        <v>32</v>
      </c>
      <c r="E655" s="17" t="s">
        <v>45</v>
      </c>
      <c r="F655" s="17" t="s">
        <v>52</v>
      </c>
      <c r="G655" s="17" t="s">
        <v>16</v>
      </c>
      <c r="H655" s="17" t="s">
        <v>2595</v>
      </c>
      <c r="I655" s="17" t="s">
        <v>30</v>
      </c>
      <c r="J655" s="36">
        <v>8181.82</v>
      </c>
      <c r="K655" s="36">
        <v>4119.16</v>
      </c>
      <c r="L655" s="36">
        <f t="shared" si="50"/>
        <v>-4062.66</v>
      </c>
      <c r="M655" s="37">
        <f t="shared" si="51"/>
        <v>-0.49654722298950599</v>
      </c>
      <c r="N655" s="17" t="str">
        <f t="shared" si="52"/>
        <v>Under Budget</v>
      </c>
      <c r="O655" s="38">
        <f t="shared" si="53"/>
        <v>-4119.16</v>
      </c>
      <c r="P655" s="39">
        <f t="shared" si="54"/>
        <v>45870</v>
      </c>
    </row>
    <row r="656" spans="1:16" ht="15.5" x14ac:dyDescent="0.35">
      <c r="A656" s="17" t="s">
        <v>704</v>
      </c>
      <c r="B656" s="35">
        <v>45770</v>
      </c>
      <c r="C656" s="17" t="s">
        <v>12</v>
      </c>
      <c r="D656" s="17" t="s">
        <v>2585</v>
      </c>
      <c r="E656" s="17" t="s">
        <v>41</v>
      </c>
      <c r="F656" s="17" t="s">
        <v>52</v>
      </c>
      <c r="G656" s="17" t="s">
        <v>22</v>
      </c>
      <c r="H656" s="17" t="s">
        <v>2590</v>
      </c>
      <c r="I656" s="17" t="s">
        <v>39</v>
      </c>
      <c r="J656" s="36">
        <v>5416.67</v>
      </c>
      <c r="K656" s="36">
        <v>4249.33</v>
      </c>
      <c r="L656" s="36">
        <f t="shared" si="50"/>
        <v>-1167.3400000000001</v>
      </c>
      <c r="M656" s="37">
        <f t="shared" si="51"/>
        <v>-0.21550879045612897</v>
      </c>
      <c r="N656" s="17" t="str">
        <f t="shared" si="52"/>
        <v>Under Budget</v>
      </c>
      <c r="O656" s="38">
        <f t="shared" si="53"/>
        <v>-4249.33</v>
      </c>
      <c r="P656" s="39">
        <f t="shared" si="54"/>
        <v>45748</v>
      </c>
    </row>
    <row r="657" spans="1:16" ht="15.5" x14ac:dyDescent="0.35">
      <c r="A657" s="17" t="s">
        <v>705</v>
      </c>
      <c r="B657" s="35">
        <v>45807</v>
      </c>
      <c r="C657" s="17" t="s">
        <v>25</v>
      </c>
      <c r="D657" s="17" t="s">
        <v>32</v>
      </c>
      <c r="E657" s="17" t="s">
        <v>33</v>
      </c>
      <c r="F657" s="17" t="s">
        <v>34</v>
      </c>
      <c r="G657" s="17" t="s">
        <v>22</v>
      </c>
      <c r="H657" s="17" t="s">
        <v>2593</v>
      </c>
      <c r="I657" s="17" t="s">
        <v>23</v>
      </c>
      <c r="J657" s="36">
        <v>9615.3799999999992</v>
      </c>
      <c r="K657" s="36">
        <v>11734.73</v>
      </c>
      <c r="L657" s="36">
        <f t="shared" si="50"/>
        <v>2119.3500000000004</v>
      </c>
      <c r="M657" s="37">
        <f t="shared" si="51"/>
        <v>0.22041250579800284</v>
      </c>
      <c r="N657" s="17" t="str">
        <f t="shared" si="52"/>
        <v>Over Budget</v>
      </c>
      <c r="O657" s="38">
        <f t="shared" si="53"/>
        <v>11734.73</v>
      </c>
      <c r="P657" s="39">
        <f t="shared" si="54"/>
        <v>45778</v>
      </c>
    </row>
    <row r="658" spans="1:16" ht="15.5" x14ac:dyDescent="0.35">
      <c r="A658" s="17" t="s">
        <v>706</v>
      </c>
      <c r="B658" s="35">
        <v>45958</v>
      </c>
      <c r="C658" s="17" t="s">
        <v>12</v>
      </c>
      <c r="D658" s="17" t="s">
        <v>36</v>
      </c>
      <c r="E658" s="17" t="s">
        <v>37</v>
      </c>
      <c r="F658" s="17" t="s">
        <v>21</v>
      </c>
      <c r="G658" s="17" t="s">
        <v>16</v>
      </c>
      <c r="H658" s="17" t="s">
        <v>2587</v>
      </c>
      <c r="I658" s="17" t="s">
        <v>30</v>
      </c>
      <c r="J658" s="36">
        <v>3500</v>
      </c>
      <c r="K658" s="36">
        <v>962.78</v>
      </c>
      <c r="L658" s="36">
        <f t="shared" si="50"/>
        <v>-2537.2200000000003</v>
      </c>
      <c r="M658" s="37">
        <f t="shared" si="51"/>
        <v>-0.72492000000000012</v>
      </c>
      <c r="N658" s="17" t="str">
        <f t="shared" si="52"/>
        <v>Under Budget</v>
      </c>
      <c r="O658" s="38">
        <f t="shared" si="53"/>
        <v>-962.78</v>
      </c>
      <c r="P658" s="39">
        <f t="shared" si="54"/>
        <v>45931</v>
      </c>
    </row>
    <row r="659" spans="1:16" ht="15.5" x14ac:dyDescent="0.35">
      <c r="A659" s="17" t="s">
        <v>707</v>
      </c>
      <c r="B659" s="35">
        <v>46202</v>
      </c>
      <c r="C659" s="17" t="s">
        <v>12</v>
      </c>
      <c r="D659" s="17" t="s">
        <v>36</v>
      </c>
      <c r="E659" s="17" t="s">
        <v>20</v>
      </c>
      <c r="F659" s="17" t="s">
        <v>34</v>
      </c>
      <c r="G659" s="17" t="s">
        <v>38</v>
      </c>
      <c r="H659" s="17" t="s">
        <v>2592</v>
      </c>
      <c r="I659" s="17" t="s">
        <v>30</v>
      </c>
      <c r="J659" s="36">
        <v>3000</v>
      </c>
      <c r="K659" s="36">
        <v>1188.9000000000001</v>
      </c>
      <c r="L659" s="36">
        <f t="shared" si="50"/>
        <v>-1811.1</v>
      </c>
      <c r="M659" s="37">
        <f t="shared" si="51"/>
        <v>-0.60370000000000001</v>
      </c>
      <c r="N659" s="17" t="str">
        <f t="shared" si="52"/>
        <v>Under Budget</v>
      </c>
      <c r="O659" s="38">
        <f t="shared" si="53"/>
        <v>-1188.9000000000001</v>
      </c>
      <c r="P659" s="39">
        <f t="shared" si="54"/>
        <v>46174</v>
      </c>
    </row>
    <row r="660" spans="1:16" ht="15.5" x14ac:dyDescent="0.35">
      <c r="A660" s="17" t="s">
        <v>708</v>
      </c>
      <c r="B660" s="35">
        <v>46113</v>
      </c>
      <c r="C660" s="17" t="s">
        <v>25</v>
      </c>
      <c r="D660" s="17" t="s">
        <v>13</v>
      </c>
      <c r="E660" s="17" t="s">
        <v>33</v>
      </c>
      <c r="F660" s="17" t="s">
        <v>34</v>
      </c>
      <c r="G660" s="17" t="s">
        <v>29</v>
      </c>
      <c r="H660" s="17" t="s">
        <v>2594</v>
      </c>
      <c r="I660" s="17" t="s">
        <v>30</v>
      </c>
      <c r="J660" s="36">
        <v>8333.33</v>
      </c>
      <c r="K660" s="36">
        <v>22957.13</v>
      </c>
      <c r="L660" s="36">
        <f t="shared" si="50"/>
        <v>14623.800000000001</v>
      </c>
      <c r="M660" s="37">
        <f t="shared" si="51"/>
        <v>1.7548567019426808</v>
      </c>
      <c r="N660" s="17" t="str">
        <f t="shared" si="52"/>
        <v>Over Budget</v>
      </c>
      <c r="O660" s="38">
        <f t="shared" si="53"/>
        <v>22957.13</v>
      </c>
      <c r="P660" s="39">
        <f t="shared" si="54"/>
        <v>46113</v>
      </c>
    </row>
    <row r="661" spans="1:16" ht="15.5" x14ac:dyDescent="0.35">
      <c r="A661" s="17" t="s">
        <v>709</v>
      </c>
      <c r="B661" s="35">
        <v>45983</v>
      </c>
      <c r="C661" s="17" t="s">
        <v>12</v>
      </c>
      <c r="D661" s="17" t="s">
        <v>19</v>
      </c>
      <c r="E661" s="17" t="s">
        <v>20</v>
      </c>
      <c r="F661" s="17" t="s">
        <v>21</v>
      </c>
      <c r="G661" s="17" t="s">
        <v>38</v>
      </c>
      <c r="H661" s="17" t="s">
        <v>2596</v>
      </c>
      <c r="I661" s="17" t="s">
        <v>17</v>
      </c>
      <c r="J661" s="36">
        <v>1890</v>
      </c>
      <c r="K661" s="36">
        <v>1060.3399999999999</v>
      </c>
      <c r="L661" s="36">
        <f t="shared" si="50"/>
        <v>-829.66000000000008</v>
      </c>
      <c r="M661" s="37">
        <f t="shared" si="51"/>
        <v>-0.43897354497354502</v>
      </c>
      <c r="N661" s="17" t="str">
        <f t="shared" si="52"/>
        <v>Under Budget</v>
      </c>
      <c r="O661" s="38">
        <f t="shared" si="53"/>
        <v>-1060.3399999999999</v>
      </c>
      <c r="P661" s="39">
        <f t="shared" si="54"/>
        <v>45962</v>
      </c>
    </row>
    <row r="662" spans="1:16" ht="15.5" x14ac:dyDescent="0.35">
      <c r="A662" s="17" t="s">
        <v>710</v>
      </c>
      <c r="B662" s="35">
        <v>46073</v>
      </c>
      <c r="C662" s="17" t="s">
        <v>25</v>
      </c>
      <c r="D662" s="17" t="s">
        <v>32</v>
      </c>
      <c r="E662" s="17" t="s">
        <v>169</v>
      </c>
      <c r="F662" s="17" t="s">
        <v>52</v>
      </c>
      <c r="G662" s="17" t="s">
        <v>16</v>
      </c>
      <c r="H662" s="17" t="s">
        <v>60</v>
      </c>
      <c r="I662" s="17" t="s">
        <v>39</v>
      </c>
      <c r="J662" s="36">
        <v>3880</v>
      </c>
      <c r="K662" s="36">
        <v>1078.6500000000001</v>
      </c>
      <c r="L662" s="36">
        <f t="shared" si="50"/>
        <v>-2801.35</v>
      </c>
      <c r="M662" s="37">
        <f t="shared" si="51"/>
        <v>-0.72199742268041234</v>
      </c>
      <c r="N662" s="17" t="str">
        <f t="shared" si="52"/>
        <v>Under Budget</v>
      </c>
      <c r="O662" s="38">
        <f t="shared" si="53"/>
        <v>1078.6500000000001</v>
      </c>
      <c r="P662" s="39">
        <f t="shared" si="54"/>
        <v>46054</v>
      </c>
    </row>
    <row r="663" spans="1:16" ht="15.5" x14ac:dyDescent="0.35">
      <c r="A663" s="17" t="s">
        <v>711</v>
      </c>
      <c r="B663" s="35">
        <v>46125</v>
      </c>
      <c r="C663" s="17" t="s">
        <v>12</v>
      </c>
      <c r="D663" s="17" t="s">
        <v>2584</v>
      </c>
      <c r="E663" s="17" t="s">
        <v>65</v>
      </c>
      <c r="F663" s="17" t="s">
        <v>34</v>
      </c>
      <c r="G663" s="17" t="s">
        <v>16</v>
      </c>
      <c r="H663" s="17" t="s">
        <v>2589</v>
      </c>
      <c r="I663" s="17" t="s">
        <v>39</v>
      </c>
      <c r="J663" s="36">
        <v>9166.67</v>
      </c>
      <c r="K663" s="36">
        <v>7805.18</v>
      </c>
      <c r="L663" s="36">
        <f t="shared" si="50"/>
        <v>-1361.4899999999998</v>
      </c>
      <c r="M663" s="37">
        <f t="shared" si="51"/>
        <v>-0.14852612780868077</v>
      </c>
      <c r="N663" s="17" t="str">
        <f t="shared" si="52"/>
        <v>Under Budget</v>
      </c>
      <c r="O663" s="38">
        <f t="shared" si="53"/>
        <v>-7805.18</v>
      </c>
      <c r="P663" s="39">
        <f t="shared" si="54"/>
        <v>46113</v>
      </c>
    </row>
    <row r="664" spans="1:16" ht="15.5" x14ac:dyDescent="0.35">
      <c r="A664" s="17" t="s">
        <v>712</v>
      </c>
      <c r="B664" s="35">
        <v>45811</v>
      </c>
      <c r="C664" s="17" t="s">
        <v>25</v>
      </c>
      <c r="D664" s="17" t="s">
        <v>32</v>
      </c>
      <c r="E664" s="17" t="s">
        <v>33</v>
      </c>
      <c r="F664" s="17" t="s">
        <v>34</v>
      </c>
      <c r="G664" s="17" t="s">
        <v>43</v>
      </c>
      <c r="H664" s="17" t="s">
        <v>60</v>
      </c>
      <c r="I664" s="17" t="s">
        <v>48</v>
      </c>
      <c r="J664" s="36">
        <v>9615.3799999999992</v>
      </c>
      <c r="K664" s="36">
        <v>14028.88</v>
      </c>
      <c r="L664" s="36">
        <f t="shared" si="50"/>
        <v>4413.5</v>
      </c>
      <c r="M664" s="37">
        <f t="shared" si="51"/>
        <v>0.45900422032202581</v>
      </c>
      <c r="N664" s="17" t="str">
        <f t="shared" si="52"/>
        <v>Over Budget</v>
      </c>
      <c r="O664" s="38">
        <f t="shared" si="53"/>
        <v>14028.88</v>
      </c>
      <c r="P664" s="39">
        <f t="shared" si="54"/>
        <v>45809</v>
      </c>
    </row>
    <row r="665" spans="1:16" ht="15.5" x14ac:dyDescent="0.35">
      <c r="A665" s="17" t="s">
        <v>713</v>
      </c>
      <c r="B665" s="35">
        <v>45747</v>
      </c>
      <c r="C665" s="17" t="s">
        <v>12</v>
      </c>
      <c r="D665" s="17" t="s">
        <v>26</v>
      </c>
      <c r="E665" s="17" t="s">
        <v>74</v>
      </c>
      <c r="F665" s="17" t="s">
        <v>28</v>
      </c>
      <c r="G665" s="17" t="s">
        <v>22</v>
      </c>
      <c r="H665" s="17" t="s">
        <v>2597</v>
      </c>
      <c r="I665" s="17" t="s">
        <v>23</v>
      </c>
      <c r="J665" s="36">
        <v>8000</v>
      </c>
      <c r="K665" s="36">
        <v>1226.02</v>
      </c>
      <c r="L665" s="36">
        <f t="shared" si="50"/>
        <v>-6773.98</v>
      </c>
      <c r="M665" s="37">
        <f t="shared" si="51"/>
        <v>-0.84674749999999999</v>
      </c>
      <c r="N665" s="17" t="str">
        <f t="shared" si="52"/>
        <v>Under Budget</v>
      </c>
      <c r="O665" s="38">
        <f t="shared" si="53"/>
        <v>-1226.02</v>
      </c>
      <c r="P665" s="39">
        <f t="shared" si="54"/>
        <v>45717</v>
      </c>
    </row>
    <row r="666" spans="1:16" ht="15.5" x14ac:dyDescent="0.35">
      <c r="A666" s="17" t="s">
        <v>714</v>
      </c>
      <c r="B666" s="35">
        <v>46189</v>
      </c>
      <c r="C666" s="17" t="s">
        <v>12</v>
      </c>
      <c r="D666" s="17" t="s">
        <v>26</v>
      </c>
      <c r="E666" s="17" t="s">
        <v>65</v>
      </c>
      <c r="F666" s="17" t="s">
        <v>15</v>
      </c>
      <c r="G666" s="17" t="s">
        <v>38</v>
      </c>
      <c r="H666" s="17" t="s">
        <v>2594</v>
      </c>
      <c r="I666" s="17" t="s">
        <v>48</v>
      </c>
      <c r="J666" s="36">
        <v>3666.67</v>
      </c>
      <c r="K666" s="36">
        <v>648.27</v>
      </c>
      <c r="L666" s="36">
        <f t="shared" si="50"/>
        <v>-3018.4</v>
      </c>
      <c r="M666" s="37">
        <f t="shared" si="51"/>
        <v>-0.82319925163704399</v>
      </c>
      <c r="N666" s="17" t="str">
        <f t="shared" si="52"/>
        <v>Under Budget</v>
      </c>
      <c r="O666" s="38">
        <f t="shared" si="53"/>
        <v>-648.27</v>
      </c>
      <c r="P666" s="39">
        <f t="shared" si="54"/>
        <v>46174</v>
      </c>
    </row>
    <row r="667" spans="1:16" ht="15.5" x14ac:dyDescent="0.35">
      <c r="A667" s="17" t="s">
        <v>715</v>
      </c>
      <c r="B667" s="35">
        <v>45928</v>
      </c>
      <c r="C667" s="17" t="s">
        <v>12</v>
      </c>
      <c r="D667" s="17" t="s">
        <v>32</v>
      </c>
      <c r="E667" s="17" t="s">
        <v>14</v>
      </c>
      <c r="F667" s="17" t="s">
        <v>52</v>
      </c>
      <c r="G667" s="17" t="s">
        <v>43</v>
      </c>
      <c r="H667" s="17" t="s">
        <v>2587</v>
      </c>
      <c r="I667" s="17" t="s">
        <v>30</v>
      </c>
      <c r="J667" s="36">
        <v>5333.33</v>
      </c>
      <c r="K667" s="36">
        <v>1145.1199999999999</v>
      </c>
      <c r="L667" s="36">
        <f t="shared" si="50"/>
        <v>-4188.21</v>
      </c>
      <c r="M667" s="37">
        <f t="shared" si="51"/>
        <v>-0.78528986580616611</v>
      </c>
      <c r="N667" s="17" t="str">
        <f t="shared" si="52"/>
        <v>Under Budget</v>
      </c>
      <c r="O667" s="38">
        <f t="shared" si="53"/>
        <v>-1145.1199999999999</v>
      </c>
      <c r="P667" s="39">
        <f t="shared" si="54"/>
        <v>45901</v>
      </c>
    </row>
    <row r="668" spans="1:16" ht="15.5" x14ac:dyDescent="0.35">
      <c r="A668" s="17" t="s">
        <v>716</v>
      </c>
      <c r="B668" s="35">
        <v>46078</v>
      </c>
      <c r="C668" s="17" t="s">
        <v>25</v>
      </c>
      <c r="D668" s="17" t="s">
        <v>2585</v>
      </c>
      <c r="E668" s="17" t="s">
        <v>27</v>
      </c>
      <c r="F668" s="17" t="s">
        <v>52</v>
      </c>
      <c r="G668" s="17" t="s">
        <v>38</v>
      </c>
      <c r="H668" s="17" t="s">
        <v>2590</v>
      </c>
      <c r="I668" s="17" t="s">
        <v>17</v>
      </c>
      <c r="J668" s="36">
        <v>12933.33</v>
      </c>
      <c r="K668" s="36">
        <v>2049.37</v>
      </c>
      <c r="L668" s="36">
        <f t="shared" si="50"/>
        <v>-10883.96</v>
      </c>
      <c r="M668" s="37">
        <f t="shared" si="51"/>
        <v>-0.84154351586173082</v>
      </c>
      <c r="N668" s="17" t="str">
        <f t="shared" si="52"/>
        <v>Under Budget</v>
      </c>
      <c r="O668" s="38">
        <f t="shared" si="53"/>
        <v>2049.37</v>
      </c>
      <c r="P668" s="39">
        <f t="shared" si="54"/>
        <v>46054</v>
      </c>
    </row>
    <row r="669" spans="1:16" ht="15.5" x14ac:dyDescent="0.35">
      <c r="A669" s="17" t="s">
        <v>717</v>
      </c>
      <c r="B669" s="35">
        <v>45839</v>
      </c>
      <c r="C669" s="17" t="s">
        <v>12</v>
      </c>
      <c r="D669" s="17" t="s">
        <v>26</v>
      </c>
      <c r="E669" s="17" t="s">
        <v>51</v>
      </c>
      <c r="F669" s="17" t="s">
        <v>52</v>
      </c>
      <c r="G669" s="17" t="s">
        <v>82</v>
      </c>
      <c r="H669" s="17" t="s">
        <v>2591</v>
      </c>
      <c r="I669" s="17" t="s">
        <v>39</v>
      </c>
      <c r="J669" s="36">
        <v>6000</v>
      </c>
      <c r="K669" s="36">
        <v>3047.63</v>
      </c>
      <c r="L669" s="36">
        <f t="shared" si="50"/>
        <v>-2952.37</v>
      </c>
      <c r="M669" s="37">
        <f t="shared" si="51"/>
        <v>-0.49206166666666667</v>
      </c>
      <c r="N669" s="17" t="str">
        <f t="shared" si="52"/>
        <v>Under Budget</v>
      </c>
      <c r="O669" s="38">
        <f t="shared" si="53"/>
        <v>-3047.63</v>
      </c>
      <c r="P669" s="39">
        <f t="shared" si="54"/>
        <v>45839</v>
      </c>
    </row>
    <row r="670" spans="1:16" ht="15.5" x14ac:dyDescent="0.35">
      <c r="A670" s="17" t="s">
        <v>718</v>
      </c>
      <c r="B670" s="35">
        <v>46121</v>
      </c>
      <c r="C670" s="17" t="s">
        <v>25</v>
      </c>
      <c r="D670" s="17" t="s">
        <v>2585</v>
      </c>
      <c r="E670" s="17" t="s">
        <v>109</v>
      </c>
      <c r="F670" s="17" t="s">
        <v>52</v>
      </c>
      <c r="G670" s="17" t="s">
        <v>82</v>
      </c>
      <c r="H670" s="17" t="s">
        <v>2589</v>
      </c>
      <c r="I670" s="17" t="s">
        <v>17</v>
      </c>
      <c r="J670" s="36">
        <v>7142.86</v>
      </c>
      <c r="K670" s="36">
        <v>12158.13</v>
      </c>
      <c r="L670" s="36">
        <f t="shared" si="50"/>
        <v>5015.2699999999995</v>
      </c>
      <c r="M670" s="37">
        <f t="shared" si="51"/>
        <v>0.70213751914499234</v>
      </c>
      <c r="N670" s="17" t="str">
        <f t="shared" si="52"/>
        <v>Over Budget</v>
      </c>
      <c r="O670" s="38">
        <f t="shared" si="53"/>
        <v>12158.13</v>
      </c>
      <c r="P670" s="39">
        <f t="shared" si="54"/>
        <v>46113</v>
      </c>
    </row>
    <row r="671" spans="1:16" ht="15.5" x14ac:dyDescent="0.35">
      <c r="A671" s="17" t="s">
        <v>719</v>
      </c>
      <c r="B671" s="35">
        <v>45947</v>
      </c>
      <c r="C671" s="17" t="s">
        <v>12</v>
      </c>
      <c r="D671" s="17" t="s">
        <v>19</v>
      </c>
      <c r="E671" s="17" t="s">
        <v>14</v>
      </c>
      <c r="F671" s="17" t="s">
        <v>28</v>
      </c>
      <c r="G671" s="17" t="s">
        <v>38</v>
      </c>
      <c r="H671" s="17" t="s">
        <v>2592</v>
      </c>
      <c r="I671" s="17" t="s">
        <v>30</v>
      </c>
      <c r="J671" s="36">
        <v>2666.67</v>
      </c>
      <c r="K671" s="36">
        <v>4230.12</v>
      </c>
      <c r="L671" s="36">
        <f t="shared" si="50"/>
        <v>1563.4499999999998</v>
      </c>
      <c r="M671" s="37">
        <f t="shared" si="51"/>
        <v>0.5862930171337285</v>
      </c>
      <c r="N671" s="17" t="str">
        <f t="shared" si="52"/>
        <v>Over Budget</v>
      </c>
      <c r="O671" s="38">
        <f t="shared" si="53"/>
        <v>-4230.12</v>
      </c>
      <c r="P671" s="39">
        <f t="shared" si="54"/>
        <v>45931</v>
      </c>
    </row>
    <row r="672" spans="1:16" ht="15.5" x14ac:dyDescent="0.35">
      <c r="A672" s="17" t="s">
        <v>720</v>
      </c>
      <c r="B672" s="35">
        <v>45884</v>
      </c>
      <c r="C672" s="17" t="s">
        <v>25</v>
      </c>
      <c r="D672" s="17" t="s">
        <v>19</v>
      </c>
      <c r="E672" s="17" t="s">
        <v>33</v>
      </c>
      <c r="F672" s="17" t="s">
        <v>15</v>
      </c>
      <c r="G672" s="17" t="s">
        <v>22</v>
      </c>
      <c r="H672" s="17" t="s">
        <v>2592</v>
      </c>
      <c r="I672" s="17" t="s">
        <v>17</v>
      </c>
      <c r="J672" s="36">
        <v>10416.67</v>
      </c>
      <c r="K672" s="36">
        <v>22158.65</v>
      </c>
      <c r="L672" s="36">
        <f t="shared" si="50"/>
        <v>11741.980000000001</v>
      </c>
      <c r="M672" s="37">
        <f t="shared" si="51"/>
        <v>1.12722971928649</v>
      </c>
      <c r="N672" s="17" t="str">
        <f t="shared" si="52"/>
        <v>Over Budget</v>
      </c>
      <c r="O672" s="38">
        <f t="shared" si="53"/>
        <v>22158.65</v>
      </c>
      <c r="P672" s="39">
        <f t="shared" si="54"/>
        <v>45870</v>
      </c>
    </row>
    <row r="673" spans="1:16" ht="15.5" x14ac:dyDescent="0.35">
      <c r="A673" s="17" t="s">
        <v>721</v>
      </c>
      <c r="B673" s="35">
        <v>45681</v>
      </c>
      <c r="C673" s="17" t="s">
        <v>25</v>
      </c>
      <c r="D673" s="17" t="s">
        <v>19</v>
      </c>
      <c r="E673" s="17" t="s">
        <v>33</v>
      </c>
      <c r="F673" s="17" t="s">
        <v>34</v>
      </c>
      <c r="G673" s="17" t="s">
        <v>43</v>
      </c>
      <c r="H673" s="17" t="s">
        <v>2596</v>
      </c>
      <c r="I673" s="17" t="s">
        <v>39</v>
      </c>
      <c r="J673" s="36">
        <v>11022.73</v>
      </c>
      <c r="K673" s="36">
        <v>1143.3900000000001</v>
      </c>
      <c r="L673" s="36">
        <f t="shared" si="50"/>
        <v>-9879.34</v>
      </c>
      <c r="M673" s="37">
        <f t="shared" si="51"/>
        <v>-0.89626979886108071</v>
      </c>
      <c r="N673" s="17" t="str">
        <f t="shared" si="52"/>
        <v>Under Budget</v>
      </c>
      <c r="O673" s="38">
        <f t="shared" si="53"/>
        <v>1143.3900000000001</v>
      </c>
      <c r="P673" s="39">
        <f t="shared" si="54"/>
        <v>45658</v>
      </c>
    </row>
    <row r="674" spans="1:16" ht="15.5" x14ac:dyDescent="0.35">
      <c r="A674" s="17" t="s">
        <v>722</v>
      </c>
      <c r="B674" s="35">
        <v>45820</v>
      </c>
      <c r="C674" s="17" t="s">
        <v>12</v>
      </c>
      <c r="D674" s="17" t="s">
        <v>19</v>
      </c>
      <c r="E674" s="17" t="s">
        <v>45</v>
      </c>
      <c r="F674" s="17" t="s">
        <v>34</v>
      </c>
      <c r="G674" s="17" t="s">
        <v>16</v>
      </c>
      <c r="H674" s="17" t="s">
        <v>2598</v>
      </c>
      <c r="I674" s="17" t="s">
        <v>23</v>
      </c>
      <c r="J674" s="36">
        <v>6428.57</v>
      </c>
      <c r="K674" s="36">
        <v>4568.8100000000004</v>
      </c>
      <c r="L674" s="36">
        <f t="shared" si="50"/>
        <v>-1859.7599999999993</v>
      </c>
      <c r="M674" s="37">
        <f t="shared" si="51"/>
        <v>-0.28929606428801419</v>
      </c>
      <c r="N674" s="17" t="str">
        <f t="shared" si="52"/>
        <v>Under Budget</v>
      </c>
      <c r="O674" s="38">
        <f t="shared" si="53"/>
        <v>-4568.8100000000004</v>
      </c>
      <c r="P674" s="39">
        <f t="shared" si="54"/>
        <v>45809</v>
      </c>
    </row>
    <row r="675" spans="1:16" ht="15.5" x14ac:dyDescent="0.35">
      <c r="A675" s="17" t="s">
        <v>723</v>
      </c>
      <c r="B675" s="35">
        <v>45806</v>
      </c>
      <c r="C675" s="17" t="s">
        <v>12</v>
      </c>
      <c r="D675" s="17" t="s">
        <v>36</v>
      </c>
      <c r="E675" s="17" t="s">
        <v>45</v>
      </c>
      <c r="F675" s="17" t="s">
        <v>15</v>
      </c>
      <c r="G675" s="17" t="s">
        <v>22</v>
      </c>
      <c r="H675" s="17" t="s">
        <v>2598</v>
      </c>
      <c r="I675" s="17" t="s">
        <v>48</v>
      </c>
      <c r="J675" s="36">
        <v>7200</v>
      </c>
      <c r="K675" s="36">
        <v>8635.1299999999992</v>
      </c>
      <c r="L675" s="36">
        <f t="shared" si="50"/>
        <v>1435.1299999999992</v>
      </c>
      <c r="M675" s="37">
        <f t="shared" si="51"/>
        <v>0.19932361111111099</v>
      </c>
      <c r="N675" s="17" t="str">
        <f t="shared" si="52"/>
        <v>Over Budget</v>
      </c>
      <c r="O675" s="38">
        <f t="shared" si="53"/>
        <v>-8635.1299999999992</v>
      </c>
      <c r="P675" s="39">
        <f t="shared" si="54"/>
        <v>45778</v>
      </c>
    </row>
    <row r="676" spans="1:16" ht="15.5" x14ac:dyDescent="0.35">
      <c r="A676" s="17" t="s">
        <v>724</v>
      </c>
      <c r="B676" s="35">
        <v>46108</v>
      </c>
      <c r="C676" s="17" t="s">
        <v>12</v>
      </c>
      <c r="D676" s="17" t="s">
        <v>2584</v>
      </c>
      <c r="E676" s="17" t="s">
        <v>37</v>
      </c>
      <c r="F676" s="17" t="s">
        <v>28</v>
      </c>
      <c r="G676" s="17" t="s">
        <v>43</v>
      </c>
      <c r="H676" s="17" t="s">
        <v>60</v>
      </c>
      <c r="I676" s="17" t="s">
        <v>23</v>
      </c>
      <c r="J676" s="36">
        <v>4000</v>
      </c>
      <c r="K676" s="36">
        <v>1147.6600000000001</v>
      </c>
      <c r="L676" s="36">
        <f t="shared" si="50"/>
        <v>-2852.34</v>
      </c>
      <c r="M676" s="37">
        <f t="shared" si="51"/>
        <v>-0.71308500000000008</v>
      </c>
      <c r="N676" s="17" t="str">
        <f t="shared" si="52"/>
        <v>Under Budget</v>
      </c>
      <c r="O676" s="38">
        <f t="shared" si="53"/>
        <v>-1147.6600000000001</v>
      </c>
      <c r="P676" s="39">
        <f t="shared" si="54"/>
        <v>46082</v>
      </c>
    </row>
    <row r="677" spans="1:16" ht="15.5" x14ac:dyDescent="0.35">
      <c r="A677" s="17" t="s">
        <v>725</v>
      </c>
      <c r="B677" s="35">
        <v>45940</v>
      </c>
      <c r="C677" s="17" t="s">
        <v>25</v>
      </c>
      <c r="D677" s="17" t="s">
        <v>32</v>
      </c>
      <c r="E677" s="17" t="s">
        <v>33</v>
      </c>
      <c r="F677" s="17" t="s">
        <v>21</v>
      </c>
      <c r="G677" s="17" t="s">
        <v>38</v>
      </c>
      <c r="H677" s="17" t="s">
        <v>2591</v>
      </c>
      <c r="I677" s="17" t="s">
        <v>23</v>
      </c>
      <c r="J677" s="36">
        <v>8928.57</v>
      </c>
      <c r="K677" s="36">
        <v>13997.68</v>
      </c>
      <c r="L677" s="36">
        <f t="shared" si="50"/>
        <v>5069.1100000000006</v>
      </c>
      <c r="M677" s="37">
        <f t="shared" si="51"/>
        <v>0.56774041083846583</v>
      </c>
      <c r="N677" s="17" t="str">
        <f t="shared" si="52"/>
        <v>Over Budget</v>
      </c>
      <c r="O677" s="38">
        <f t="shared" si="53"/>
        <v>13997.68</v>
      </c>
      <c r="P677" s="39">
        <f t="shared" si="54"/>
        <v>45931</v>
      </c>
    </row>
    <row r="678" spans="1:16" ht="15.5" x14ac:dyDescent="0.35">
      <c r="A678" s="17" t="s">
        <v>726</v>
      </c>
      <c r="B678" s="35">
        <v>46070</v>
      </c>
      <c r="C678" s="17" t="s">
        <v>12</v>
      </c>
      <c r="D678" s="17" t="s">
        <v>19</v>
      </c>
      <c r="E678" s="17" t="s">
        <v>65</v>
      </c>
      <c r="F678" s="17" t="s">
        <v>52</v>
      </c>
      <c r="G678" s="17" t="s">
        <v>43</v>
      </c>
      <c r="H678" s="17" t="s">
        <v>2598</v>
      </c>
      <c r="I678" s="17" t="s">
        <v>2583</v>
      </c>
      <c r="J678" s="36">
        <v>4850</v>
      </c>
      <c r="K678" s="36">
        <v>3181.43</v>
      </c>
      <c r="L678" s="36">
        <f t="shared" si="50"/>
        <v>-1668.5700000000002</v>
      </c>
      <c r="M678" s="37">
        <f t="shared" si="51"/>
        <v>-0.3440350515463918</v>
      </c>
      <c r="N678" s="17" t="str">
        <f t="shared" si="52"/>
        <v>Under Budget</v>
      </c>
      <c r="O678" s="38">
        <f t="shared" si="53"/>
        <v>-3181.43</v>
      </c>
      <c r="P678" s="39">
        <f t="shared" si="54"/>
        <v>46054</v>
      </c>
    </row>
    <row r="679" spans="1:16" ht="15.5" x14ac:dyDescent="0.35">
      <c r="A679" s="17" t="s">
        <v>727</v>
      </c>
      <c r="B679" s="35">
        <v>45840</v>
      </c>
      <c r="C679" s="17" t="s">
        <v>12</v>
      </c>
      <c r="D679" s="17" t="s">
        <v>26</v>
      </c>
      <c r="E679" s="17" t="s">
        <v>45</v>
      </c>
      <c r="F679" s="17" t="s">
        <v>34</v>
      </c>
      <c r="G679" s="17" t="s">
        <v>16</v>
      </c>
      <c r="H679" s="17" t="s">
        <v>2597</v>
      </c>
      <c r="I679" s="17" t="s">
        <v>23</v>
      </c>
      <c r="J679" s="36">
        <v>6923.08</v>
      </c>
      <c r="K679" s="36">
        <v>7418.47</v>
      </c>
      <c r="L679" s="36">
        <f t="shared" si="50"/>
        <v>495.39000000000033</v>
      </c>
      <c r="M679" s="37">
        <f t="shared" si="51"/>
        <v>7.1556301530532704E-2</v>
      </c>
      <c r="N679" s="17" t="str">
        <f t="shared" si="52"/>
        <v>Over Budget</v>
      </c>
      <c r="O679" s="38">
        <f t="shared" si="53"/>
        <v>-7418.47</v>
      </c>
      <c r="P679" s="39">
        <f t="shared" si="54"/>
        <v>45839</v>
      </c>
    </row>
    <row r="680" spans="1:16" ht="15.5" x14ac:dyDescent="0.35">
      <c r="A680" s="17" t="s">
        <v>728</v>
      </c>
      <c r="B680" s="35">
        <v>46161</v>
      </c>
      <c r="C680" s="17" t="s">
        <v>12</v>
      </c>
      <c r="D680" s="17" t="s">
        <v>19</v>
      </c>
      <c r="E680" s="17" t="s">
        <v>74</v>
      </c>
      <c r="F680" s="17" t="s">
        <v>34</v>
      </c>
      <c r="G680" s="17" t="s">
        <v>38</v>
      </c>
      <c r="H680" s="17" t="s">
        <v>80</v>
      </c>
      <c r="I680" s="17" t="s">
        <v>48</v>
      </c>
      <c r="J680" s="36">
        <v>5714.29</v>
      </c>
      <c r="K680" s="36">
        <v>5577.85</v>
      </c>
      <c r="L680" s="36">
        <f t="shared" si="50"/>
        <v>-136.4399999999996</v>
      </c>
      <c r="M680" s="37">
        <f t="shared" si="51"/>
        <v>-2.3876982092263362E-2</v>
      </c>
      <c r="N680" s="17" t="str">
        <f t="shared" si="52"/>
        <v>Under Budget</v>
      </c>
      <c r="O680" s="38">
        <f t="shared" si="53"/>
        <v>-5577.85</v>
      </c>
      <c r="P680" s="39">
        <f t="shared" si="54"/>
        <v>46143</v>
      </c>
    </row>
    <row r="681" spans="1:16" ht="15.5" x14ac:dyDescent="0.35">
      <c r="A681" s="17" t="s">
        <v>729</v>
      </c>
      <c r="B681" s="35">
        <v>46100</v>
      </c>
      <c r="C681" s="17" t="s">
        <v>12</v>
      </c>
      <c r="D681" s="17" t="s">
        <v>36</v>
      </c>
      <c r="E681" s="17" t="s">
        <v>41</v>
      </c>
      <c r="F681" s="17" t="s">
        <v>52</v>
      </c>
      <c r="G681" s="17" t="s">
        <v>29</v>
      </c>
      <c r="H681" s="17" t="s">
        <v>2592</v>
      </c>
      <c r="I681" s="17" t="s">
        <v>23</v>
      </c>
      <c r="J681" s="36">
        <v>6500</v>
      </c>
      <c r="K681" s="36">
        <v>10384.870000000001</v>
      </c>
      <c r="L681" s="36">
        <f t="shared" si="50"/>
        <v>3884.8700000000008</v>
      </c>
      <c r="M681" s="37">
        <f t="shared" si="51"/>
        <v>0.59767230769230784</v>
      </c>
      <c r="N681" s="17" t="str">
        <f t="shared" si="52"/>
        <v>Over Budget</v>
      </c>
      <c r="O681" s="38">
        <f t="shared" si="53"/>
        <v>-10384.870000000001</v>
      </c>
      <c r="P681" s="39">
        <f t="shared" si="54"/>
        <v>46082</v>
      </c>
    </row>
    <row r="682" spans="1:16" ht="15.5" x14ac:dyDescent="0.35">
      <c r="A682" s="17" t="s">
        <v>730</v>
      </c>
      <c r="B682" s="35">
        <v>45698</v>
      </c>
      <c r="C682" s="17" t="s">
        <v>12</v>
      </c>
      <c r="D682" s="17" t="s">
        <v>13</v>
      </c>
      <c r="E682" s="17" t="s">
        <v>51</v>
      </c>
      <c r="F682" s="17" t="s">
        <v>52</v>
      </c>
      <c r="G682" s="17" t="s">
        <v>16</v>
      </c>
      <c r="H682" s="17" t="s">
        <v>2587</v>
      </c>
      <c r="I682" s="17" t="s">
        <v>48</v>
      </c>
      <c r="J682" s="36">
        <v>7275</v>
      </c>
      <c r="K682" s="36">
        <v>7703.98</v>
      </c>
      <c r="L682" s="36">
        <f t="shared" si="50"/>
        <v>428.97999999999956</v>
      </c>
      <c r="M682" s="37">
        <f t="shared" si="51"/>
        <v>5.8966323024054926E-2</v>
      </c>
      <c r="N682" s="17" t="str">
        <f t="shared" si="52"/>
        <v>Over Budget</v>
      </c>
      <c r="O682" s="38">
        <f t="shared" si="53"/>
        <v>-7703.98</v>
      </c>
      <c r="P682" s="39">
        <f t="shared" si="54"/>
        <v>45689</v>
      </c>
    </row>
    <row r="683" spans="1:16" ht="15.5" x14ac:dyDescent="0.35">
      <c r="A683" s="17" t="s">
        <v>731</v>
      </c>
      <c r="B683" s="35">
        <v>46059</v>
      </c>
      <c r="C683" s="17" t="s">
        <v>12</v>
      </c>
      <c r="D683" s="17" t="s">
        <v>2585</v>
      </c>
      <c r="E683" s="17" t="s">
        <v>45</v>
      </c>
      <c r="F683" s="17" t="s">
        <v>52</v>
      </c>
      <c r="G683" s="17" t="s">
        <v>29</v>
      </c>
      <c r="H683" s="17" t="s">
        <v>2588</v>
      </c>
      <c r="I683" s="17" t="s">
        <v>39</v>
      </c>
      <c r="J683" s="36">
        <v>9189.4699999999993</v>
      </c>
      <c r="K683" s="36">
        <v>13657.1</v>
      </c>
      <c r="L683" s="36">
        <f t="shared" si="50"/>
        <v>4467.630000000001</v>
      </c>
      <c r="M683" s="37">
        <f t="shared" si="51"/>
        <v>0.48616840797129773</v>
      </c>
      <c r="N683" s="17" t="str">
        <f t="shared" si="52"/>
        <v>Over Budget</v>
      </c>
      <c r="O683" s="38">
        <f t="shared" si="53"/>
        <v>-13657.1</v>
      </c>
      <c r="P683" s="39">
        <f t="shared" si="54"/>
        <v>46054</v>
      </c>
    </row>
    <row r="684" spans="1:16" ht="15.5" x14ac:dyDescent="0.35">
      <c r="A684" s="17" t="s">
        <v>732</v>
      </c>
      <c r="B684" s="35">
        <v>45754</v>
      </c>
      <c r="C684" s="17" t="s">
        <v>12</v>
      </c>
      <c r="D684" s="17" t="s">
        <v>36</v>
      </c>
      <c r="E684" s="17" t="s">
        <v>45</v>
      </c>
      <c r="F684" s="17" t="s">
        <v>52</v>
      </c>
      <c r="G684" s="17" t="s">
        <v>38</v>
      </c>
      <c r="H684" s="17" t="s">
        <v>2593</v>
      </c>
      <c r="I684" s="17" t="s">
        <v>17</v>
      </c>
      <c r="J684" s="36">
        <v>13846.15</v>
      </c>
      <c r="K684" s="36">
        <v>12587.42</v>
      </c>
      <c r="L684" s="36">
        <f t="shared" si="50"/>
        <v>-1258.7299999999996</v>
      </c>
      <c r="M684" s="37">
        <f t="shared" si="51"/>
        <v>-9.0908303030084139E-2</v>
      </c>
      <c r="N684" s="17" t="str">
        <f t="shared" si="52"/>
        <v>Under Budget</v>
      </c>
      <c r="O684" s="38">
        <f t="shared" si="53"/>
        <v>-12587.42</v>
      </c>
      <c r="P684" s="39">
        <f t="shared" si="54"/>
        <v>45748</v>
      </c>
    </row>
    <row r="685" spans="1:16" ht="15.5" x14ac:dyDescent="0.35">
      <c r="A685" s="17" t="s">
        <v>733</v>
      </c>
      <c r="B685" s="35">
        <v>45818</v>
      </c>
      <c r="C685" s="17" t="s">
        <v>12</v>
      </c>
      <c r="D685" s="17" t="s">
        <v>36</v>
      </c>
      <c r="E685" s="17" t="s">
        <v>51</v>
      </c>
      <c r="F685" s="17" t="s">
        <v>52</v>
      </c>
      <c r="G685" s="17" t="s">
        <v>43</v>
      </c>
      <c r="H685" s="17" t="s">
        <v>2597</v>
      </c>
      <c r="I685" s="17" t="s">
        <v>23</v>
      </c>
      <c r="J685" s="36">
        <v>5000</v>
      </c>
      <c r="K685" s="36">
        <v>4387.8500000000004</v>
      </c>
      <c r="L685" s="36">
        <f t="shared" si="50"/>
        <v>-612.14999999999964</v>
      </c>
      <c r="M685" s="37">
        <f t="shared" si="51"/>
        <v>-0.12242999999999993</v>
      </c>
      <c r="N685" s="17" t="str">
        <f t="shared" si="52"/>
        <v>Under Budget</v>
      </c>
      <c r="O685" s="38">
        <f t="shared" si="53"/>
        <v>-4387.8500000000004</v>
      </c>
      <c r="P685" s="39">
        <f t="shared" si="54"/>
        <v>45809</v>
      </c>
    </row>
    <row r="686" spans="1:16" ht="15.5" x14ac:dyDescent="0.35">
      <c r="A686" s="17" t="s">
        <v>734</v>
      </c>
      <c r="B686" s="35">
        <v>45987</v>
      </c>
      <c r="C686" s="17" t="s">
        <v>25</v>
      </c>
      <c r="D686" s="17" t="s">
        <v>32</v>
      </c>
      <c r="E686" s="17" t="s">
        <v>109</v>
      </c>
      <c r="F686" s="17" t="s">
        <v>28</v>
      </c>
      <c r="G686" s="17" t="s">
        <v>22</v>
      </c>
      <c r="H686" s="17" t="s">
        <v>60</v>
      </c>
      <c r="I686" s="17" t="s">
        <v>30</v>
      </c>
      <c r="J686" s="36">
        <v>9545.4500000000007</v>
      </c>
      <c r="K686" s="36">
        <v>4167.9399999999996</v>
      </c>
      <c r="L686" s="36">
        <f t="shared" si="50"/>
        <v>-5377.5100000000011</v>
      </c>
      <c r="M686" s="37">
        <f t="shared" si="51"/>
        <v>-0.56335845874212331</v>
      </c>
      <c r="N686" s="17" t="str">
        <f t="shared" si="52"/>
        <v>Under Budget</v>
      </c>
      <c r="O686" s="38">
        <f t="shared" si="53"/>
        <v>4167.9399999999996</v>
      </c>
      <c r="P686" s="39">
        <f t="shared" si="54"/>
        <v>45962</v>
      </c>
    </row>
    <row r="687" spans="1:16" ht="15.5" x14ac:dyDescent="0.35">
      <c r="A687" s="17" t="s">
        <v>735</v>
      </c>
      <c r="B687" s="35">
        <v>46072</v>
      </c>
      <c r="C687" s="17" t="s">
        <v>25</v>
      </c>
      <c r="D687" s="17" t="s">
        <v>32</v>
      </c>
      <c r="E687" s="17" t="s">
        <v>33</v>
      </c>
      <c r="F687" s="17" t="s">
        <v>15</v>
      </c>
      <c r="G687" s="17" t="s">
        <v>82</v>
      </c>
      <c r="H687" s="17" t="s">
        <v>2597</v>
      </c>
      <c r="I687" s="17" t="s">
        <v>23</v>
      </c>
      <c r="J687" s="36">
        <v>12125</v>
      </c>
      <c r="K687" s="36">
        <v>22142.400000000001</v>
      </c>
      <c r="L687" s="36">
        <f t="shared" si="50"/>
        <v>10017.400000000001</v>
      </c>
      <c r="M687" s="37">
        <f t="shared" si="51"/>
        <v>0.82617731958762897</v>
      </c>
      <c r="N687" s="17" t="str">
        <f t="shared" si="52"/>
        <v>Over Budget</v>
      </c>
      <c r="O687" s="38">
        <f t="shared" si="53"/>
        <v>22142.400000000001</v>
      </c>
      <c r="P687" s="39">
        <f t="shared" si="54"/>
        <v>46054</v>
      </c>
    </row>
    <row r="688" spans="1:16" ht="15.5" x14ac:dyDescent="0.35">
      <c r="A688" s="17" t="s">
        <v>736</v>
      </c>
      <c r="B688" s="35">
        <v>45999</v>
      </c>
      <c r="C688" s="17" t="s">
        <v>12</v>
      </c>
      <c r="D688" s="17" t="s">
        <v>13</v>
      </c>
      <c r="E688" s="17" t="s">
        <v>65</v>
      </c>
      <c r="F688" s="17" t="s">
        <v>28</v>
      </c>
      <c r="G688" s="17" t="s">
        <v>82</v>
      </c>
      <c r="H688" s="17" t="s">
        <v>2590</v>
      </c>
      <c r="I688" s="17" t="s">
        <v>23</v>
      </c>
      <c r="J688" s="36">
        <v>4125</v>
      </c>
      <c r="K688" s="36">
        <v>2363.14</v>
      </c>
      <c r="L688" s="36">
        <f t="shared" si="50"/>
        <v>-1761.8600000000001</v>
      </c>
      <c r="M688" s="37">
        <f t="shared" si="51"/>
        <v>-0.42711757575757581</v>
      </c>
      <c r="N688" s="17" t="str">
        <f t="shared" si="52"/>
        <v>Under Budget</v>
      </c>
      <c r="O688" s="38">
        <f t="shared" si="53"/>
        <v>-2363.14</v>
      </c>
      <c r="P688" s="39">
        <f t="shared" si="54"/>
        <v>45992</v>
      </c>
    </row>
    <row r="689" spans="1:16" ht="15.5" x14ac:dyDescent="0.35">
      <c r="A689" s="17" t="s">
        <v>737</v>
      </c>
      <c r="B689" s="35">
        <v>46157</v>
      </c>
      <c r="C689" s="17" t="s">
        <v>25</v>
      </c>
      <c r="D689" s="17" t="s">
        <v>32</v>
      </c>
      <c r="E689" s="17" t="s">
        <v>33</v>
      </c>
      <c r="F689" s="17" t="s">
        <v>34</v>
      </c>
      <c r="G689" s="17" t="s">
        <v>38</v>
      </c>
      <c r="H689" s="17" t="s">
        <v>60</v>
      </c>
      <c r="I689" s="17" t="s">
        <v>39</v>
      </c>
      <c r="J689" s="36">
        <v>10869.57</v>
      </c>
      <c r="K689" s="36">
        <v>4611.6400000000003</v>
      </c>
      <c r="L689" s="36">
        <f t="shared" si="50"/>
        <v>-6257.9299999999994</v>
      </c>
      <c r="M689" s="37">
        <f t="shared" si="51"/>
        <v>-0.57572930667910505</v>
      </c>
      <c r="N689" s="17" t="str">
        <f t="shared" si="52"/>
        <v>Under Budget</v>
      </c>
      <c r="O689" s="38">
        <f t="shared" si="53"/>
        <v>4611.6400000000003</v>
      </c>
      <c r="P689" s="39">
        <f t="shared" si="54"/>
        <v>46143</v>
      </c>
    </row>
    <row r="690" spans="1:16" ht="15.5" x14ac:dyDescent="0.35">
      <c r="A690" s="17" t="s">
        <v>738</v>
      </c>
      <c r="B690" s="35">
        <v>45844</v>
      </c>
      <c r="C690" s="17" t="s">
        <v>12</v>
      </c>
      <c r="D690" s="17" t="s">
        <v>2584</v>
      </c>
      <c r="E690" s="17" t="s">
        <v>45</v>
      </c>
      <c r="F690" s="17" t="s">
        <v>34</v>
      </c>
      <c r="G690" s="17" t="s">
        <v>38</v>
      </c>
      <c r="H690" s="17" t="s">
        <v>80</v>
      </c>
      <c r="I690" s="17" t="s">
        <v>39</v>
      </c>
      <c r="J690" s="36">
        <v>6923.08</v>
      </c>
      <c r="K690" s="36">
        <v>14318.63</v>
      </c>
      <c r="L690" s="36">
        <f t="shared" si="50"/>
        <v>7395.5499999999993</v>
      </c>
      <c r="M690" s="37">
        <f t="shared" si="51"/>
        <v>1.0682456363352726</v>
      </c>
      <c r="N690" s="17" t="str">
        <f t="shared" si="52"/>
        <v>Over Budget</v>
      </c>
      <c r="O690" s="38">
        <f t="shared" si="53"/>
        <v>-14318.63</v>
      </c>
      <c r="P690" s="39">
        <f t="shared" si="54"/>
        <v>45839</v>
      </c>
    </row>
    <row r="691" spans="1:16" ht="15.5" x14ac:dyDescent="0.35">
      <c r="A691" s="17" t="s">
        <v>739</v>
      </c>
      <c r="B691" s="35">
        <v>45705</v>
      </c>
      <c r="C691" s="17" t="s">
        <v>25</v>
      </c>
      <c r="D691" s="17" t="s">
        <v>19</v>
      </c>
      <c r="E691" s="17" t="s">
        <v>33</v>
      </c>
      <c r="F691" s="17" t="s">
        <v>52</v>
      </c>
      <c r="G691" s="17" t="s">
        <v>38</v>
      </c>
      <c r="H691" s="17" t="s">
        <v>2595</v>
      </c>
      <c r="I691" s="17" t="s">
        <v>39</v>
      </c>
      <c r="J691" s="36">
        <v>13472.22</v>
      </c>
      <c r="K691" s="36">
        <v>4730.67</v>
      </c>
      <c r="L691" s="36">
        <f t="shared" si="50"/>
        <v>-8741.5499999999993</v>
      </c>
      <c r="M691" s="37">
        <f t="shared" si="51"/>
        <v>-0.64885742661565793</v>
      </c>
      <c r="N691" s="17" t="str">
        <f t="shared" si="52"/>
        <v>Under Budget</v>
      </c>
      <c r="O691" s="38">
        <f t="shared" si="53"/>
        <v>4730.67</v>
      </c>
      <c r="P691" s="39">
        <f t="shared" si="54"/>
        <v>45689</v>
      </c>
    </row>
    <row r="692" spans="1:16" ht="15.5" x14ac:dyDescent="0.35">
      <c r="A692" s="17" t="s">
        <v>740</v>
      </c>
      <c r="B692" s="35">
        <v>46003</v>
      </c>
      <c r="C692" s="17" t="s">
        <v>25</v>
      </c>
      <c r="D692" s="17" t="s">
        <v>26</v>
      </c>
      <c r="E692" s="17" t="s">
        <v>33</v>
      </c>
      <c r="F692" s="17" t="s">
        <v>15</v>
      </c>
      <c r="G692" s="17" t="s">
        <v>38</v>
      </c>
      <c r="H692" s="17" t="s">
        <v>2590</v>
      </c>
      <c r="I692" s="17" t="s">
        <v>23</v>
      </c>
      <c r="J692" s="36">
        <v>15441.18</v>
      </c>
      <c r="K692" s="36">
        <v>7329.83</v>
      </c>
      <c r="L692" s="36">
        <f t="shared" si="50"/>
        <v>-8111.35</v>
      </c>
      <c r="M692" s="37">
        <f t="shared" si="51"/>
        <v>-0.52530635612045196</v>
      </c>
      <c r="N692" s="17" t="str">
        <f t="shared" si="52"/>
        <v>Under Budget</v>
      </c>
      <c r="O692" s="38">
        <f t="shared" si="53"/>
        <v>7329.83</v>
      </c>
      <c r="P692" s="39">
        <f t="shared" si="54"/>
        <v>45992</v>
      </c>
    </row>
    <row r="693" spans="1:16" ht="15.5" x14ac:dyDescent="0.35">
      <c r="A693" s="17" t="s">
        <v>741</v>
      </c>
      <c r="B693" s="35">
        <v>45730</v>
      </c>
      <c r="C693" s="17" t="s">
        <v>12</v>
      </c>
      <c r="D693" s="17" t="s">
        <v>19</v>
      </c>
      <c r="E693" s="17" t="s">
        <v>65</v>
      </c>
      <c r="F693" s="17" t="s">
        <v>28</v>
      </c>
      <c r="G693" s="17" t="s">
        <v>16</v>
      </c>
      <c r="H693" s="17" t="s">
        <v>60</v>
      </c>
      <c r="I693" s="17" t="s">
        <v>17</v>
      </c>
      <c r="J693" s="36">
        <v>3928.57</v>
      </c>
      <c r="K693" s="36">
        <v>4813.68</v>
      </c>
      <c r="L693" s="36">
        <f t="shared" si="50"/>
        <v>885.11000000000013</v>
      </c>
      <c r="M693" s="37">
        <f t="shared" si="51"/>
        <v>0.22530080920029427</v>
      </c>
      <c r="N693" s="17" t="str">
        <f t="shared" si="52"/>
        <v>Over Budget</v>
      </c>
      <c r="O693" s="38">
        <f t="shared" si="53"/>
        <v>-4813.68</v>
      </c>
      <c r="P693" s="39">
        <f t="shared" si="54"/>
        <v>45717</v>
      </c>
    </row>
    <row r="694" spans="1:16" ht="15.5" x14ac:dyDescent="0.35">
      <c r="A694" s="17" t="s">
        <v>742</v>
      </c>
      <c r="B694" s="35">
        <v>45905</v>
      </c>
      <c r="C694" s="17" t="s">
        <v>12</v>
      </c>
      <c r="D694" s="17" t="s">
        <v>32</v>
      </c>
      <c r="E694" s="17" t="s">
        <v>20</v>
      </c>
      <c r="F694" s="17" t="s">
        <v>34</v>
      </c>
      <c r="G694" s="17" t="s">
        <v>22</v>
      </c>
      <c r="H694" s="17" t="s">
        <v>2589</v>
      </c>
      <c r="I694" s="17" t="s">
        <v>39</v>
      </c>
      <c r="J694" s="36">
        <v>3600</v>
      </c>
      <c r="K694" s="36">
        <v>1733.18</v>
      </c>
      <c r="L694" s="36">
        <f t="shared" si="50"/>
        <v>-1866.82</v>
      </c>
      <c r="M694" s="37">
        <f t="shared" si="51"/>
        <v>-0.51856111111111114</v>
      </c>
      <c r="N694" s="17" t="str">
        <f t="shared" si="52"/>
        <v>Under Budget</v>
      </c>
      <c r="O694" s="38">
        <f t="shared" si="53"/>
        <v>-1733.18</v>
      </c>
      <c r="P694" s="39">
        <f t="shared" si="54"/>
        <v>45901</v>
      </c>
    </row>
    <row r="695" spans="1:16" ht="15.5" x14ac:dyDescent="0.35">
      <c r="A695" s="17" t="s">
        <v>743</v>
      </c>
      <c r="B695" s="35">
        <v>45680</v>
      </c>
      <c r="C695" s="17" t="s">
        <v>25</v>
      </c>
      <c r="D695" s="17" t="s">
        <v>26</v>
      </c>
      <c r="E695" s="17" t="s">
        <v>169</v>
      </c>
      <c r="F695" s="17" t="s">
        <v>28</v>
      </c>
      <c r="G695" s="17" t="s">
        <v>38</v>
      </c>
      <c r="H695" s="17" t="s">
        <v>2588</v>
      </c>
      <c r="I695" s="17" t="s">
        <v>23</v>
      </c>
      <c r="J695" s="36">
        <v>9700</v>
      </c>
      <c r="K695" s="36">
        <v>3387.51</v>
      </c>
      <c r="L695" s="36">
        <f t="shared" si="50"/>
        <v>-6312.49</v>
      </c>
      <c r="M695" s="37">
        <f t="shared" si="51"/>
        <v>-0.65077216494845358</v>
      </c>
      <c r="N695" s="17" t="str">
        <f t="shared" si="52"/>
        <v>Under Budget</v>
      </c>
      <c r="O695" s="38">
        <f t="shared" si="53"/>
        <v>3387.51</v>
      </c>
      <c r="P695" s="39">
        <f t="shared" si="54"/>
        <v>45658</v>
      </c>
    </row>
    <row r="696" spans="1:16" ht="15.5" x14ac:dyDescent="0.35">
      <c r="A696" s="17" t="s">
        <v>744</v>
      </c>
      <c r="B696" s="35">
        <v>45838</v>
      </c>
      <c r="C696" s="17" t="s">
        <v>25</v>
      </c>
      <c r="D696" s="17" t="s">
        <v>13</v>
      </c>
      <c r="E696" s="17" t="s">
        <v>109</v>
      </c>
      <c r="F696" s="17" t="s">
        <v>28</v>
      </c>
      <c r="G696" s="17" t="s">
        <v>43</v>
      </c>
      <c r="H696" s="17" t="s">
        <v>2594</v>
      </c>
      <c r="I696" s="17" t="s">
        <v>23</v>
      </c>
      <c r="J696" s="36">
        <v>6250</v>
      </c>
      <c r="K696" s="36">
        <v>5798.21</v>
      </c>
      <c r="L696" s="36">
        <f t="shared" si="50"/>
        <v>-451.78999999999996</v>
      </c>
      <c r="M696" s="37">
        <f t="shared" si="51"/>
        <v>-7.2286400000000001E-2</v>
      </c>
      <c r="N696" s="17" t="str">
        <f t="shared" si="52"/>
        <v>Under Budget</v>
      </c>
      <c r="O696" s="38">
        <f t="shared" si="53"/>
        <v>5798.21</v>
      </c>
      <c r="P696" s="39">
        <f t="shared" si="54"/>
        <v>45809</v>
      </c>
    </row>
    <row r="697" spans="1:16" ht="15.5" x14ac:dyDescent="0.35">
      <c r="A697" s="17" t="s">
        <v>745</v>
      </c>
      <c r="B697" s="35">
        <v>45799</v>
      </c>
      <c r="C697" s="17" t="s">
        <v>12</v>
      </c>
      <c r="D697" s="17" t="s">
        <v>36</v>
      </c>
      <c r="E697" s="17" t="s">
        <v>45</v>
      </c>
      <c r="F697" s="17" t="s">
        <v>52</v>
      </c>
      <c r="G697" s="17" t="s">
        <v>43</v>
      </c>
      <c r="H697" s="17" t="s">
        <v>80</v>
      </c>
      <c r="I697" s="17" t="s">
        <v>23</v>
      </c>
      <c r="J697" s="36">
        <v>7200</v>
      </c>
      <c r="K697" s="36">
        <v>16843.23</v>
      </c>
      <c r="L697" s="36">
        <f t="shared" si="50"/>
        <v>9643.23</v>
      </c>
      <c r="M697" s="37">
        <f t="shared" si="51"/>
        <v>1.3393374999999998</v>
      </c>
      <c r="N697" s="17" t="str">
        <f t="shared" si="52"/>
        <v>Over Budget</v>
      </c>
      <c r="O697" s="38">
        <f t="shared" si="53"/>
        <v>-16843.23</v>
      </c>
      <c r="P697" s="39">
        <f t="shared" si="54"/>
        <v>45778</v>
      </c>
    </row>
    <row r="698" spans="1:16" ht="15.5" x14ac:dyDescent="0.35">
      <c r="A698" s="17" t="s">
        <v>746</v>
      </c>
      <c r="B698" s="35">
        <v>46059</v>
      </c>
      <c r="C698" s="17" t="s">
        <v>12</v>
      </c>
      <c r="D698" s="17" t="s">
        <v>32</v>
      </c>
      <c r="E698" s="17" t="s">
        <v>45</v>
      </c>
      <c r="F698" s="17" t="s">
        <v>15</v>
      </c>
      <c r="G698" s="17" t="s">
        <v>38</v>
      </c>
      <c r="H698" s="17" t="s">
        <v>2593</v>
      </c>
      <c r="I698" s="17" t="s">
        <v>23</v>
      </c>
      <c r="J698" s="36">
        <v>9189.4699999999993</v>
      </c>
      <c r="K698" s="36">
        <v>9421.2099999999991</v>
      </c>
      <c r="L698" s="36">
        <f t="shared" si="50"/>
        <v>231.73999999999978</v>
      </c>
      <c r="M698" s="37">
        <f t="shared" si="51"/>
        <v>2.5217994073651669E-2</v>
      </c>
      <c r="N698" s="17" t="str">
        <f t="shared" si="52"/>
        <v>Over Budget</v>
      </c>
      <c r="O698" s="38">
        <f t="shared" si="53"/>
        <v>-9421.2099999999991</v>
      </c>
      <c r="P698" s="39">
        <f t="shared" si="54"/>
        <v>46054</v>
      </c>
    </row>
    <row r="699" spans="1:16" ht="15.5" x14ac:dyDescent="0.35">
      <c r="A699" s="17" t="s">
        <v>747</v>
      </c>
      <c r="B699" s="35">
        <v>45716</v>
      </c>
      <c r="C699" s="17" t="s">
        <v>12</v>
      </c>
      <c r="D699" s="17" t="s">
        <v>19</v>
      </c>
      <c r="E699" s="17" t="s">
        <v>14</v>
      </c>
      <c r="F699" s="17" t="s">
        <v>28</v>
      </c>
      <c r="G699" s="17" t="s">
        <v>38</v>
      </c>
      <c r="H699" s="17" t="s">
        <v>60</v>
      </c>
      <c r="I699" s="17" t="s">
        <v>17</v>
      </c>
      <c r="J699" s="36">
        <v>6208</v>
      </c>
      <c r="K699" s="36">
        <v>4932.96</v>
      </c>
      <c r="L699" s="36">
        <f t="shared" si="50"/>
        <v>-1275.04</v>
      </c>
      <c r="M699" s="37">
        <f t="shared" si="51"/>
        <v>-0.20538659793814432</v>
      </c>
      <c r="N699" s="17" t="str">
        <f t="shared" si="52"/>
        <v>Under Budget</v>
      </c>
      <c r="O699" s="38">
        <f t="shared" si="53"/>
        <v>-4932.96</v>
      </c>
      <c r="P699" s="39">
        <f t="shared" si="54"/>
        <v>45689</v>
      </c>
    </row>
    <row r="700" spans="1:16" ht="15.5" x14ac:dyDescent="0.35">
      <c r="A700" s="17" t="s">
        <v>748</v>
      </c>
      <c r="B700" s="35">
        <v>46061</v>
      </c>
      <c r="C700" s="17" t="s">
        <v>12</v>
      </c>
      <c r="D700" s="17" t="s">
        <v>26</v>
      </c>
      <c r="E700" s="17" t="s">
        <v>47</v>
      </c>
      <c r="F700" s="17" t="s">
        <v>34</v>
      </c>
      <c r="G700" s="17" t="s">
        <v>22</v>
      </c>
      <c r="H700" s="17" t="s">
        <v>2591</v>
      </c>
      <c r="I700" s="17" t="s">
        <v>30</v>
      </c>
      <c r="J700" s="36">
        <v>5658.33</v>
      </c>
      <c r="K700" s="36">
        <v>2498.69</v>
      </c>
      <c r="L700" s="36">
        <f t="shared" si="50"/>
        <v>-3159.64</v>
      </c>
      <c r="M700" s="37">
        <f t="shared" si="51"/>
        <v>-0.55840504177027495</v>
      </c>
      <c r="N700" s="17" t="str">
        <f t="shared" si="52"/>
        <v>Under Budget</v>
      </c>
      <c r="O700" s="38">
        <f t="shared" si="53"/>
        <v>-2498.69</v>
      </c>
      <c r="P700" s="39">
        <f t="shared" si="54"/>
        <v>46054</v>
      </c>
    </row>
    <row r="701" spans="1:16" ht="15.5" x14ac:dyDescent="0.35">
      <c r="A701" s="17" t="s">
        <v>749</v>
      </c>
      <c r="B701" s="35">
        <v>45808</v>
      </c>
      <c r="C701" s="17" t="s">
        <v>25</v>
      </c>
      <c r="D701" s="17" t="s">
        <v>26</v>
      </c>
      <c r="E701" s="17" t="s">
        <v>109</v>
      </c>
      <c r="F701" s="17" t="s">
        <v>28</v>
      </c>
      <c r="G701" s="17" t="s">
        <v>22</v>
      </c>
      <c r="H701" s="17" t="s">
        <v>2588</v>
      </c>
      <c r="I701" s="17" t="s">
        <v>2583</v>
      </c>
      <c r="J701" s="36">
        <v>9090.91</v>
      </c>
      <c r="K701" s="36">
        <v>16517.07</v>
      </c>
      <c r="L701" s="36">
        <f t="shared" si="50"/>
        <v>7426.16</v>
      </c>
      <c r="M701" s="37">
        <f t="shared" si="51"/>
        <v>0.8168775183122482</v>
      </c>
      <c r="N701" s="17" t="str">
        <f t="shared" si="52"/>
        <v>Over Budget</v>
      </c>
      <c r="O701" s="38">
        <f t="shared" si="53"/>
        <v>16517.07</v>
      </c>
      <c r="P701" s="39">
        <f t="shared" si="54"/>
        <v>45778</v>
      </c>
    </row>
    <row r="702" spans="1:16" ht="15.5" x14ac:dyDescent="0.35">
      <c r="A702" s="17" t="s">
        <v>750</v>
      </c>
      <c r="B702" s="35">
        <v>46194</v>
      </c>
      <c r="C702" s="17" t="s">
        <v>25</v>
      </c>
      <c r="D702" s="17" t="s">
        <v>19</v>
      </c>
      <c r="E702" s="17" t="s">
        <v>27</v>
      </c>
      <c r="F702" s="17" t="s">
        <v>34</v>
      </c>
      <c r="G702" s="17" t="s">
        <v>38</v>
      </c>
      <c r="H702" s="17" t="s">
        <v>2595</v>
      </c>
      <c r="I702" s="17" t="s">
        <v>39</v>
      </c>
      <c r="J702" s="36">
        <v>7272.73</v>
      </c>
      <c r="K702" s="36">
        <v>4429.67</v>
      </c>
      <c r="L702" s="36">
        <f t="shared" si="50"/>
        <v>-2843.0599999999995</v>
      </c>
      <c r="M702" s="37">
        <f t="shared" si="51"/>
        <v>-0.39092060340477369</v>
      </c>
      <c r="N702" s="17" t="str">
        <f t="shared" si="52"/>
        <v>Under Budget</v>
      </c>
      <c r="O702" s="38">
        <f t="shared" si="53"/>
        <v>4429.67</v>
      </c>
      <c r="P702" s="39">
        <f t="shared" si="54"/>
        <v>46174</v>
      </c>
    </row>
    <row r="703" spans="1:16" ht="15.5" x14ac:dyDescent="0.35">
      <c r="A703" s="17" t="s">
        <v>751</v>
      </c>
      <c r="B703" s="35">
        <v>45958</v>
      </c>
      <c r="C703" s="17" t="s">
        <v>12</v>
      </c>
      <c r="D703" s="17" t="s">
        <v>13</v>
      </c>
      <c r="E703" s="17" t="s">
        <v>45</v>
      </c>
      <c r="F703" s="17" t="s">
        <v>34</v>
      </c>
      <c r="G703" s="17" t="s">
        <v>43</v>
      </c>
      <c r="H703" s="17" t="s">
        <v>2590</v>
      </c>
      <c r="I703" s="17" t="s">
        <v>23</v>
      </c>
      <c r="J703" s="36">
        <v>7826.09</v>
      </c>
      <c r="K703" s="36">
        <v>5734.57</v>
      </c>
      <c r="L703" s="36">
        <f t="shared" si="50"/>
        <v>-2091.5200000000004</v>
      </c>
      <c r="M703" s="37">
        <f t="shared" si="51"/>
        <v>-0.2672496738473491</v>
      </c>
      <c r="N703" s="17" t="str">
        <f t="shared" si="52"/>
        <v>Under Budget</v>
      </c>
      <c r="O703" s="38">
        <f t="shared" si="53"/>
        <v>-5734.57</v>
      </c>
      <c r="P703" s="39">
        <f t="shared" si="54"/>
        <v>45931</v>
      </c>
    </row>
    <row r="704" spans="1:16" ht="15.5" x14ac:dyDescent="0.35">
      <c r="A704" s="17" t="s">
        <v>752</v>
      </c>
      <c r="B704" s="35">
        <v>45740</v>
      </c>
      <c r="C704" s="17" t="s">
        <v>12</v>
      </c>
      <c r="D704" s="17" t="s">
        <v>36</v>
      </c>
      <c r="E704" s="17" t="s">
        <v>77</v>
      </c>
      <c r="F704" s="17" t="s">
        <v>28</v>
      </c>
      <c r="G704" s="17" t="s">
        <v>43</v>
      </c>
      <c r="H704" s="17" t="s">
        <v>2590</v>
      </c>
      <c r="I704" s="17" t="s">
        <v>39</v>
      </c>
      <c r="J704" s="36">
        <v>3142.86</v>
      </c>
      <c r="K704" s="36">
        <v>1883.05</v>
      </c>
      <c r="L704" s="36">
        <f t="shared" si="50"/>
        <v>-1259.8100000000002</v>
      </c>
      <c r="M704" s="37">
        <f t="shared" si="51"/>
        <v>-0.40084827195611644</v>
      </c>
      <c r="N704" s="17" t="str">
        <f t="shared" si="52"/>
        <v>Under Budget</v>
      </c>
      <c r="O704" s="38">
        <f t="shared" si="53"/>
        <v>-1883.05</v>
      </c>
      <c r="P704" s="39">
        <f t="shared" si="54"/>
        <v>45717</v>
      </c>
    </row>
    <row r="705" spans="1:16" ht="15.5" x14ac:dyDescent="0.35">
      <c r="A705" s="17" t="s">
        <v>753</v>
      </c>
      <c r="B705" s="35">
        <v>46163</v>
      </c>
      <c r="C705" s="17" t="s">
        <v>12</v>
      </c>
      <c r="D705" s="17" t="s">
        <v>19</v>
      </c>
      <c r="E705" s="17" t="s">
        <v>41</v>
      </c>
      <c r="F705" s="17" t="s">
        <v>28</v>
      </c>
      <c r="G705" s="17" t="s">
        <v>22</v>
      </c>
      <c r="H705" s="17" t="s">
        <v>2597</v>
      </c>
      <c r="I705" s="17" t="s">
        <v>23</v>
      </c>
      <c r="J705" s="36">
        <v>6500</v>
      </c>
      <c r="K705" s="36">
        <v>3060.27</v>
      </c>
      <c r="L705" s="36">
        <f t="shared" si="50"/>
        <v>-3439.73</v>
      </c>
      <c r="M705" s="37">
        <f t="shared" si="51"/>
        <v>-0.52918923076923075</v>
      </c>
      <c r="N705" s="17" t="str">
        <f t="shared" si="52"/>
        <v>Under Budget</v>
      </c>
      <c r="O705" s="38">
        <f t="shared" si="53"/>
        <v>-3060.27</v>
      </c>
      <c r="P705" s="39">
        <f t="shared" si="54"/>
        <v>46143</v>
      </c>
    </row>
    <row r="706" spans="1:16" ht="15.5" x14ac:dyDescent="0.35">
      <c r="A706" s="17" t="s">
        <v>754</v>
      </c>
      <c r="B706" s="35">
        <v>46189</v>
      </c>
      <c r="C706" s="17" t="s">
        <v>25</v>
      </c>
      <c r="D706" s="17" t="s">
        <v>26</v>
      </c>
      <c r="E706" s="17" t="s">
        <v>33</v>
      </c>
      <c r="F706" s="17" t="s">
        <v>21</v>
      </c>
      <c r="G706" s="17" t="s">
        <v>38</v>
      </c>
      <c r="H706" s="17" t="s">
        <v>2590</v>
      </c>
      <c r="I706" s="17" t="s">
        <v>39</v>
      </c>
      <c r="J706" s="36">
        <v>10000</v>
      </c>
      <c r="K706" s="36">
        <v>6859.28</v>
      </c>
      <c r="L706" s="36">
        <f t="shared" si="50"/>
        <v>-3140.7200000000003</v>
      </c>
      <c r="M706" s="37">
        <f t="shared" si="51"/>
        <v>-0.31407200000000002</v>
      </c>
      <c r="N706" s="17" t="str">
        <f t="shared" si="52"/>
        <v>Under Budget</v>
      </c>
      <c r="O706" s="38">
        <f t="shared" si="53"/>
        <v>6859.28</v>
      </c>
      <c r="P706" s="39">
        <f t="shared" si="54"/>
        <v>46174</v>
      </c>
    </row>
    <row r="707" spans="1:16" ht="15.5" x14ac:dyDescent="0.35">
      <c r="A707" s="17" t="s">
        <v>755</v>
      </c>
      <c r="B707" s="35">
        <v>45749</v>
      </c>
      <c r="C707" s="17" t="s">
        <v>12</v>
      </c>
      <c r="D707" s="17" t="s">
        <v>26</v>
      </c>
      <c r="E707" s="17" t="s">
        <v>51</v>
      </c>
      <c r="F707" s="17" t="s">
        <v>52</v>
      </c>
      <c r="G707" s="17" t="s">
        <v>22</v>
      </c>
      <c r="H707" s="17" t="s">
        <v>2594</v>
      </c>
      <c r="I707" s="17" t="s">
        <v>23</v>
      </c>
      <c r="J707" s="36">
        <v>3750</v>
      </c>
      <c r="K707" s="36">
        <v>5170.3599999999997</v>
      </c>
      <c r="L707" s="36">
        <f t="shared" ref="L707:L770" si="55">K707-J707</f>
        <v>1420.3599999999997</v>
      </c>
      <c r="M707" s="37">
        <f t="shared" ref="M707:M770" si="56">IF(J707=0,0,L707/J707)</f>
        <v>0.37876266666666658</v>
      </c>
      <c r="N707" s="17" t="str">
        <f t="shared" ref="N707:N770" si="57">IF(J707=0,"No Budget",IF(K707&gt;J707,"Over Budget",IF(K707&lt;J707,"Under Budget","On Budget")))</f>
        <v>Over Budget</v>
      </c>
      <c r="O707" s="38">
        <f t="shared" ref="O707:O770" si="58">IF(C707="Revenue",K707,-K707)</f>
        <v>-5170.3599999999997</v>
      </c>
      <c r="P707" s="39">
        <f t="shared" ref="P707:P770" si="59">DATE(YEAR(B707),MONTH(B707),1)</f>
        <v>45748</v>
      </c>
    </row>
    <row r="708" spans="1:16" ht="15.5" x14ac:dyDescent="0.35">
      <c r="A708" s="17" t="s">
        <v>756</v>
      </c>
      <c r="B708" s="35">
        <v>46199</v>
      </c>
      <c r="C708" s="17" t="s">
        <v>25</v>
      </c>
      <c r="D708" s="17" t="s">
        <v>32</v>
      </c>
      <c r="E708" s="17" t="s">
        <v>27</v>
      </c>
      <c r="F708" s="17" t="s">
        <v>28</v>
      </c>
      <c r="G708" s="17" t="s">
        <v>38</v>
      </c>
      <c r="H708" s="17" t="s">
        <v>2590</v>
      </c>
      <c r="I708" s="17" t="s">
        <v>23</v>
      </c>
      <c r="J708" s="36">
        <v>7272.73</v>
      </c>
      <c r="K708" s="36">
        <v>4767.1099999999997</v>
      </c>
      <c r="L708" s="36">
        <f t="shared" si="55"/>
        <v>-2505.62</v>
      </c>
      <c r="M708" s="37">
        <f t="shared" si="56"/>
        <v>-0.34452262080401719</v>
      </c>
      <c r="N708" s="17" t="str">
        <f t="shared" si="57"/>
        <v>Under Budget</v>
      </c>
      <c r="O708" s="38">
        <f t="shared" si="58"/>
        <v>4767.1099999999997</v>
      </c>
      <c r="P708" s="39">
        <f t="shared" si="59"/>
        <v>46174</v>
      </c>
    </row>
    <row r="709" spans="1:16" ht="15.5" x14ac:dyDescent="0.35">
      <c r="A709" s="17" t="s">
        <v>757</v>
      </c>
      <c r="B709" s="35">
        <v>46043</v>
      </c>
      <c r="C709" s="17" t="s">
        <v>12</v>
      </c>
      <c r="D709" s="17" t="s">
        <v>13</v>
      </c>
      <c r="E709" s="17" t="s">
        <v>45</v>
      </c>
      <c r="F709" s="17" t="s">
        <v>52</v>
      </c>
      <c r="G709" s="17" t="s">
        <v>22</v>
      </c>
      <c r="H709" s="17" t="s">
        <v>80</v>
      </c>
      <c r="I709" s="17" t="s">
        <v>23</v>
      </c>
      <c r="J709" s="36">
        <v>6715.38</v>
      </c>
      <c r="K709" s="36">
        <v>7998.73</v>
      </c>
      <c r="L709" s="36">
        <f t="shared" si="55"/>
        <v>1283.3499999999995</v>
      </c>
      <c r="M709" s="37">
        <f t="shared" si="56"/>
        <v>0.19110608781632601</v>
      </c>
      <c r="N709" s="17" t="str">
        <f t="shared" si="57"/>
        <v>Over Budget</v>
      </c>
      <c r="O709" s="38">
        <f t="shared" si="58"/>
        <v>-7998.73</v>
      </c>
      <c r="P709" s="39">
        <f t="shared" si="59"/>
        <v>46023</v>
      </c>
    </row>
    <row r="710" spans="1:16" ht="15.5" x14ac:dyDescent="0.35">
      <c r="A710" s="17" t="s">
        <v>758</v>
      </c>
      <c r="B710" s="35">
        <v>45682</v>
      </c>
      <c r="C710" s="17" t="s">
        <v>12</v>
      </c>
      <c r="D710" s="17" t="s">
        <v>19</v>
      </c>
      <c r="E710" s="17" t="s">
        <v>65</v>
      </c>
      <c r="F710" s="17" t="s">
        <v>21</v>
      </c>
      <c r="G710" s="17" t="s">
        <v>43</v>
      </c>
      <c r="H710" s="17" t="s">
        <v>2598</v>
      </c>
      <c r="I710" s="17" t="s">
        <v>30</v>
      </c>
      <c r="J710" s="36">
        <v>0</v>
      </c>
      <c r="K710" s="36">
        <v>6017.38</v>
      </c>
      <c r="L710" s="36">
        <f t="shared" si="55"/>
        <v>6017.38</v>
      </c>
      <c r="M710" s="37">
        <f t="shared" si="56"/>
        <v>0</v>
      </c>
      <c r="N710" s="17" t="str">
        <f t="shared" si="57"/>
        <v>No Budget</v>
      </c>
      <c r="O710" s="38">
        <f t="shared" si="58"/>
        <v>-6017.38</v>
      </c>
      <c r="P710" s="39">
        <f t="shared" si="59"/>
        <v>45658</v>
      </c>
    </row>
    <row r="711" spans="1:16" ht="15.5" x14ac:dyDescent="0.35">
      <c r="A711" s="17" t="s">
        <v>759</v>
      </c>
      <c r="B711" s="35">
        <v>46031</v>
      </c>
      <c r="C711" s="17" t="s">
        <v>12</v>
      </c>
      <c r="D711" s="17" t="s">
        <v>19</v>
      </c>
      <c r="E711" s="17" t="s">
        <v>47</v>
      </c>
      <c r="F711" s="17" t="s">
        <v>34</v>
      </c>
      <c r="G711" s="17" t="s">
        <v>16</v>
      </c>
      <c r="H711" s="17" t="s">
        <v>2594</v>
      </c>
      <c r="I711" s="17" t="s">
        <v>48</v>
      </c>
      <c r="J711" s="36">
        <v>3395</v>
      </c>
      <c r="K711" s="36">
        <v>908.09</v>
      </c>
      <c r="L711" s="36">
        <f t="shared" si="55"/>
        <v>-2486.91</v>
      </c>
      <c r="M711" s="37">
        <f t="shared" si="56"/>
        <v>-0.73252135493372605</v>
      </c>
      <c r="N711" s="17" t="str">
        <f t="shared" si="57"/>
        <v>Under Budget</v>
      </c>
      <c r="O711" s="38">
        <f t="shared" si="58"/>
        <v>-908.09</v>
      </c>
      <c r="P711" s="39">
        <f t="shared" si="59"/>
        <v>46023</v>
      </c>
    </row>
    <row r="712" spans="1:16" ht="15.5" x14ac:dyDescent="0.35">
      <c r="A712" s="17" t="s">
        <v>760</v>
      </c>
      <c r="B712" s="35">
        <v>46116</v>
      </c>
      <c r="C712" s="17" t="s">
        <v>12</v>
      </c>
      <c r="D712" s="17" t="s">
        <v>2585</v>
      </c>
      <c r="E712" s="17" t="s">
        <v>45</v>
      </c>
      <c r="F712" s="17" t="s">
        <v>52</v>
      </c>
      <c r="G712" s="17" t="s">
        <v>38</v>
      </c>
      <c r="H712" s="17" t="s">
        <v>80</v>
      </c>
      <c r="I712" s="17" t="s">
        <v>23</v>
      </c>
      <c r="J712" s="36">
        <v>8571.43</v>
      </c>
      <c r="K712" s="36">
        <v>8033.77</v>
      </c>
      <c r="L712" s="36">
        <f t="shared" si="55"/>
        <v>-537.65999999999985</v>
      </c>
      <c r="M712" s="37">
        <f t="shared" si="56"/>
        <v>-6.2726989545501724E-2</v>
      </c>
      <c r="N712" s="17" t="str">
        <f t="shared" si="57"/>
        <v>Under Budget</v>
      </c>
      <c r="O712" s="38">
        <f t="shared" si="58"/>
        <v>-8033.77</v>
      </c>
      <c r="P712" s="39">
        <f t="shared" si="59"/>
        <v>46113</v>
      </c>
    </row>
    <row r="713" spans="1:16" ht="15.5" x14ac:dyDescent="0.35">
      <c r="A713" s="17" t="s">
        <v>761</v>
      </c>
      <c r="B713" s="35">
        <v>46184</v>
      </c>
      <c r="C713" s="17" t="s">
        <v>12</v>
      </c>
      <c r="D713" s="17" t="s">
        <v>36</v>
      </c>
      <c r="E713" s="17" t="s">
        <v>47</v>
      </c>
      <c r="F713" s="17" t="s">
        <v>21</v>
      </c>
      <c r="G713" s="17" t="s">
        <v>16</v>
      </c>
      <c r="H713" s="17" t="s">
        <v>2586</v>
      </c>
      <c r="I713" s="17" t="s">
        <v>23</v>
      </c>
      <c r="J713" s="36">
        <v>5000</v>
      </c>
      <c r="K713" s="36">
        <v>2718.65</v>
      </c>
      <c r="L713" s="36">
        <f t="shared" si="55"/>
        <v>-2281.35</v>
      </c>
      <c r="M713" s="37">
        <f t="shared" si="56"/>
        <v>-0.45627000000000001</v>
      </c>
      <c r="N713" s="17" t="str">
        <f t="shared" si="57"/>
        <v>Under Budget</v>
      </c>
      <c r="O713" s="38">
        <f t="shared" si="58"/>
        <v>-2718.65</v>
      </c>
      <c r="P713" s="39">
        <f t="shared" si="59"/>
        <v>46174</v>
      </c>
    </row>
    <row r="714" spans="1:16" ht="15.5" x14ac:dyDescent="0.35">
      <c r="A714" s="17" t="s">
        <v>762</v>
      </c>
      <c r="B714" s="35">
        <v>45753</v>
      </c>
      <c r="C714" s="17" t="s">
        <v>12</v>
      </c>
      <c r="D714" s="17" t="s">
        <v>32</v>
      </c>
      <c r="E714" s="17" t="s">
        <v>14</v>
      </c>
      <c r="F714" s="17" t="s">
        <v>52</v>
      </c>
      <c r="G714" s="17" t="s">
        <v>38</v>
      </c>
      <c r="H714" s="17" t="s">
        <v>2587</v>
      </c>
      <c r="I714" s="17" t="s">
        <v>17</v>
      </c>
      <c r="J714" s="36">
        <v>5333.33</v>
      </c>
      <c r="K714" s="36">
        <v>5792.17</v>
      </c>
      <c r="L714" s="36">
        <f t="shared" si="55"/>
        <v>458.84000000000015</v>
      </c>
      <c r="M714" s="37">
        <f t="shared" si="56"/>
        <v>8.6032553770346132E-2</v>
      </c>
      <c r="N714" s="17" t="str">
        <f t="shared" si="57"/>
        <v>Over Budget</v>
      </c>
      <c r="O714" s="38">
        <f t="shared" si="58"/>
        <v>-5792.17</v>
      </c>
      <c r="P714" s="39">
        <f t="shared" si="59"/>
        <v>45748</v>
      </c>
    </row>
    <row r="715" spans="1:16" ht="15.5" x14ac:dyDescent="0.35">
      <c r="A715" s="17" t="s">
        <v>763</v>
      </c>
      <c r="B715" s="35">
        <v>46021</v>
      </c>
      <c r="C715" s="17" t="s">
        <v>12</v>
      </c>
      <c r="D715" s="17" t="s">
        <v>19</v>
      </c>
      <c r="E715" s="17" t="s">
        <v>14</v>
      </c>
      <c r="F715" s="17" t="s">
        <v>34</v>
      </c>
      <c r="G715" s="17" t="s">
        <v>16</v>
      </c>
      <c r="H715" s="17" t="s">
        <v>2588</v>
      </c>
      <c r="I715" s="17" t="s">
        <v>39</v>
      </c>
      <c r="J715" s="36">
        <v>4800</v>
      </c>
      <c r="K715" s="36">
        <v>544.72</v>
      </c>
      <c r="L715" s="36">
        <f t="shared" si="55"/>
        <v>-4255.28</v>
      </c>
      <c r="M715" s="37">
        <f t="shared" si="56"/>
        <v>-0.88651666666666662</v>
      </c>
      <c r="N715" s="17" t="str">
        <f t="shared" si="57"/>
        <v>Under Budget</v>
      </c>
      <c r="O715" s="38">
        <f t="shared" si="58"/>
        <v>-544.72</v>
      </c>
      <c r="P715" s="39">
        <f t="shared" si="59"/>
        <v>45992</v>
      </c>
    </row>
    <row r="716" spans="1:16" ht="15.5" x14ac:dyDescent="0.35">
      <c r="A716" s="17" t="s">
        <v>764</v>
      </c>
      <c r="B716" s="35">
        <v>45832</v>
      </c>
      <c r="C716" s="17" t="s">
        <v>12</v>
      </c>
      <c r="D716" s="17" t="s">
        <v>36</v>
      </c>
      <c r="E716" s="17" t="s">
        <v>45</v>
      </c>
      <c r="F716" s="17" t="s">
        <v>15</v>
      </c>
      <c r="G716" s="17" t="s">
        <v>38</v>
      </c>
      <c r="H716" s="17" t="s">
        <v>60</v>
      </c>
      <c r="I716" s="17" t="s">
        <v>23</v>
      </c>
      <c r="J716" s="36">
        <v>6428.57</v>
      </c>
      <c r="K716" s="36">
        <v>15011.42</v>
      </c>
      <c r="L716" s="36">
        <f t="shared" si="55"/>
        <v>8582.85</v>
      </c>
      <c r="M716" s="37">
        <f t="shared" si="56"/>
        <v>1.3351102966911772</v>
      </c>
      <c r="N716" s="17" t="str">
        <f t="shared" si="57"/>
        <v>Over Budget</v>
      </c>
      <c r="O716" s="38">
        <f t="shared" si="58"/>
        <v>-15011.42</v>
      </c>
      <c r="P716" s="39">
        <f t="shared" si="59"/>
        <v>45809</v>
      </c>
    </row>
    <row r="717" spans="1:16" ht="15.5" x14ac:dyDescent="0.35">
      <c r="A717" s="17" t="s">
        <v>765</v>
      </c>
      <c r="B717" s="35">
        <v>46059</v>
      </c>
      <c r="C717" s="17" t="s">
        <v>25</v>
      </c>
      <c r="D717" s="17" t="s">
        <v>13</v>
      </c>
      <c r="E717" s="17" t="s">
        <v>33</v>
      </c>
      <c r="F717" s="17" t="s">
        <v>15</v>
      </c>
      <c r="G717" s="17" t="s">
        <v>43</v>
      </c>
      <c r="H717" s="17" t="s">
        <v>2586</v>
      </c>
      <c r="I717" s="17" t="s">
        <v>48</v>
      </c>
      <c r="J717" s="36">
        <v>12125</v>
      </c>
      <c r="K717" s="36">
        <v>20091.07</v>
      </c>
      <c r="L717" s="36">
        <f t="shared" si="55"/>
        <v>7966.07</v>
      </c>
      <c r="M717" s="37">
        <f t="shared" si="56"/>
        <v>0.65699546391752572</v>
      </c>
      <c r="N717" s="17" t="str">
        <f t="shared" si="57"/>
        <v>Over Budget</v>
      </c>
      <c r="O717" s="38">
        <f t="shared" si="58"/>
        <v>20091.07</v>
      </c>
      <c r="P717" s="39">
        <f t="shared" si="59"/>
        <v>46054</v>
      </c>
    </row>
    <row r="718" spans="1:16" ht="15.5" x14ac:dyDescent="0.35">
      <c r="A718" s="17" t="s">
        <v>766</v>
      </c>
      <c r="B718" s="35">
        <v>45883</v>
      </c>
      <c r="C718" s="17" t="s">
        <v>25</v>
      </c>
      <c r="D718" s="17" t="s">
        <v>13</v>
      </c>
      <c r="E718" s="17" t="s">
        <v>33</v>
      </c>
      <c r="F718" s="17" t="s">
        <v>15</v>
      </c>
      <c r="G718" s="17" t="s">
        <v>38</v>
      </c>
      <c r="H718" s="17" t="s">
        <v>80</v>
      </c>
      <c r="I718" s="17" t="s">
        <v>30</v>
      </c>
      <c r="J718" s="36">
        <v>10416.67</v>
      </c>
      <c r="K718" s="36">
        <v>17148.240000000002</v>
      </c>
      <c r="L718" s="36">
        <f t="shared" si="55"/>
        <v>6731.5700000000015</v>
      </c>
      <c r="M718" s="37">
        <f t="shared" si="56"/>
        <v>0.64623051320623592</v>
      </c>
      <c r="N718" s="17" t="str">
        <f t="shared" si="57"/>
        <v>Over Budget</v>
      </c>
      <c r="O718" s="38">
        <f t="shared" si="58"/>
        <v>17148.240000000002</v>
      </c>
      <c r="P718" s="39">
        <f t="shared" si="59"/>
        <v>45870</v>
      </c>
    </row>
    <row r="719" spans="1:16" ht="15.5" x14ac:dyDescent="0.35">
      <c r="A719" s="17" t="s">
        <v>767</v>
      </c>
      <c r="B719" s="35">
        <v>46153</v>
      </c>
      <c r="C719" s="17" t="s">
        <v>12</v>
      </c>
      <c r="D719" s="17" t="s">
        <v>26</v>
      </c>
      <c r="E719" s="17" t="s">
        <v>74</v>
      </c>
      <c r="F719" s="17" t="s">
        <v>34</v>
      </c>
      <c r="G719" s="17" t="s">
        <v>16</v>
      </c>
      <c r="H719" s="17" t="s">
        <v>2592</v>
      </c>
      <c r="I719" s="17" t="s">
        <v>30</v>
      </c>
      <c r="J719" s="36">
        <v>5714.29</v>
      </c>
      <c r="K719" s="36">
        <v>4359.51</v>
      </c>
      <c r="L719" s="36">
        <f t="shared" si="55"/>
        <v>-1354.7799999999997</v>
      </c>
      <c r="M719" s="37">
        <f t="shared" si="56"/>
        <v>-0.23708632218525832</v>
      </c>
      <c r="N719" s="17" t="str">
        <f t="shared" si="57"/>
        <v>Under Budget</v>
      </c>
      <c r="O719" s="38">
        <f t="shared" si="58"/>
        <v>-4359.51</v>
      </c>
      <c r="P719" s="39">
        <f t="shared" si="59"/>
        <v>46143</v>
      </c>
    </row>
    <row r="720" spans="1:16" ht="15.5" x14ac:dyDescent="0.35">
      <c r="A720" s="17" t="s">
        <v>768</v>
      </c>
      <c r="B720" s="35">
        <v>45855</v>
      </c>
      <c r="C720" s="17" t="s">
        <v>25</v>
      </c>
      <c r="D720" s="17" t="s">
        <v>19</v>
      </c>
      <c r="E720" s="17" t="s">
        <v>33</v>
      </c>
      <c r="F720" s="17" t="s">
        <v>15</v>
      </c>
      <c r="G720" s="17" t="s">
        <v>38</v>
      </c>
      <c r="H720" s="17" t="s">
        <v>2591</v>
      </c>
      <c r="I720" s="17" t="s">
        <v>48</v>
      </c>
      <c r="J720" s="36">
        <v>12500</v>
      </c>
      <c r="K720" s="36">
        <v>24228.799999999999</v>
      </c>
      <c r="L720" s="36">
        <f t="shared" si="55"/>
        <v>11728.8</v>
      </c>
      <c r="M720" s="37">
        <f t="shared" si="56"/>
        <v>0.93830399999999992</v>
      </c>
      <c r="N720" s="17" t="str">
        <f t="shared" si="57"/>
        <v>Over Budget</v>
      </c>
      <c r="O720" s="38">
        <f t="shared" si="58"/>
        <v>24228.799999999999</v>
      </c>
      <c r="P720" s="39">
        <f t="shared" si="59"/>
        <v>45839</v>
      </c>
    </row>
    <row r="721" spans="1:16" ht="15.5" x14ac:dyDescent="0.35">
      <c r="A721" s="17" t="s">
        <v>769</v>
      </c>
      <c r="B721" s="35">
        <v>45817</v>
      </c>
      <c r="C721" s="17" t="s">
        <v>12</v>
      </c>
      <c r="D721" s="17" t="s">
        <v>2585</v>
      </c>
      <c r="E721" s="17" t="s">
        <v>45</v>
      </c>
      <c r="F721" s="17" t="s">
        <v>34</v>
      </c>
      <c r="G721" s="17" t="s">
        <v>38</v>
      </c>
      <c r="H721" s="17" t="s">
        <v>2586</v>
      </c>
      <c r="I721" s="17" t="s">
        <v>23</v>
      </c>
      <c r="J721" s="36">
        <v>6428.57</v>
      </c>
      <c r="K721" s="36">
        <v>3257.36</v>
      </c>
      <c r="L721" s="36">
        <f t="shared" si="55"/>
        <v>-3171.2099999999996</v>
      </c>
      <c r="M721" s="37">
        <f t="shared" si="56"/>
        <v>-0.49329944295543171</v>
      </c>
      <c r="N721" s="17" t="str">
        <f t="shared" si="57"/>
        <v>Under Budget</v>
      </c>
      <c r="O721" s="38">
        <f t="shared" si="58"/>
        <v>-3257.36</v>
      </c>
      <c r="P721" s="39">
        <f t="shared" si="59"/>
        <v>45809</v>
      </c>
    </row>
    <row r="722" spans="1:16" ht="15.5" x14ac:dyDescent="0.35">
      <c r="A722" s="17" t="s">
        <v>770</v>
      </c>
      <c r="B722" s="35">
        <v>46030</v>
      </c>
      <c r="C722" s="17" t="s">
        <v>12</v>
      </c>
      <c r="D722" s="17" t="s">
        <v>19</v>
      </c>
      <c r="E722" s="17" t="s">
        <v>41</v>
      </c>
      <c r="F722" s="17" t="s">
        <v>28</v>
      </c>
      <c r="G722" s="17" t="s">
        <v>38</v>
      </c>
      <c r="H722" s="17" t="s">
        <v>2587</v>
      </c>
      <c r="I722" s="17" t="s">
        <v>39</v>
      </c>
      <c r="J722" s="36">
        <v>6305</v>
      </c>
      <c r="K722" s="36">
        <v>6964.9</v>
      </c>
      <c r="L722" s="36">
        <f t="shared" si="55"/>
        <v>659.89999999999964</v>
      </c>
      <c r="M722" s="37">
        <f t="shared" si="56"/>
        <v>0.10466296590007924</v>
      </c>
      <c r="N722" s="17" t="str">
        <f t="shared" si="57"/>
        <v>Over Budget</v>
      </c>
      <c r="O722" s="38">
        <f t="shared" si="58"/>
        <v>-6964.9</v>
      </c>
      <c r="P722" s="39">
        <f t="shared" si="59"/>
        <v>46023</v>
      </c>
    </row>
    <row r="723" spans="1:16" ht="15.5" x14ac:dyDescent="0.35">
      <c r="A723" s="17" t="s">
        <v>771</v>
      </c>
      <c r="B723" s="35">
        <v>46009</v>
      </c>
      <c r="C723" s="17" t="s">
        <v>12</v>
      </c>
      <c r="D723" s="17" t="s">
        <v>19</v>
      </c>
      <c r="E723" s="17" t="s">
        <v>51</v>
      </c>
      <c r="F723" s="17" t="s">
        <v>34</v>
      </c>
      <c r="G723" s="17" t="s">
        <v>38</v>
      </c>
      <c r="H723" s="17" t="s">
        <v>2594</v>
      </c>
      <c r="I723" s="17" t="s">
        <v>23</v>
      </c>
      <c r="J723" s="36">
        <v>4500</v>
      </c>
      <c r="K723" s="36">
        <v>2321.0100000000002</v>
      </c>
      <c r="L723" s="36">
        <f t="shared" si="55"/>
        <v>-2178.9899999999998</v>
      </c>
      <c r="M723" s="37">
        <f t="shared" si="56"/>
        <v>-0.48421999999999993</v>
      </c>
      <c r="N723" s="17" t="str">
        <f t="shared" si="57"/>
        <v>Under Budget</v>
      </c>
      <c r="O723" s="38">
        <f t="shared" si="58"/>
        <v>-2321.0100000000002</v>
      </c>
      <c r="P723" s="39">
        <f t="shared" si="59"/>
        <v>45992</v>
      </c>
    </row>
    <row r="724" spans="1:16" ht="15.5" x14ac:dyDescent="0.35">
      <c r="A724" s="17" t="s">
        <v>772</v>
      </c>
      <c r="B724" s="35">
        <v>46035</v>
      </c>
      <c r="C724" s="17" t="s">
        <v>12</v>
      </c>
      <c r="D724" s="17" t="s">
        <v>36</v>
      </c>
      <c r="E724" s="17" t="s">
        <v>41</v>
      </c>
      <c r="F724" s="17" t="s">
        <v>15</v>
      </c>
      <c r="G724" s="17" t="s">
        <v>22</v>
      </c>
      <c r="H724" s="17" t="s">
        <v>2591</v>
      </c>
      <c r="I724" s="17" t="s">
        <v>30</v>
      </c>
      <c r="J724" s="36">
        <v>6305</v>
      </c>
      <c r="K724" s="36">
        <v>11957.5</v>
      </c>
      <c r="L724" s="36">
        <f t="shared" si="55"/>
        <v>5652.5</v>
      </c>
      <c r="M724" s="37">
        <f t="shared" si="56"/>
        <v>0.89651070578905634</v>
      </c>
      <c r="N724" s="17" t="str">
        <f t="shared" si="57"/>
        <v>Over Budget</v>
      </c>
      <c r="O724" s="38">
        <f t="shared" si="58"/>
        <v>-11957.5</v>
      </c>
      <c r="P724" s="39">
        <f t="shared" si="59"/>
        <v>46023</v>
      </c>
    </row>
    <row r="725" spans="1:16" ht="15.5" x14ac:dyDescent="0.35">
      <c r="A725" s="17" t="s">
        <v>773</v>
      </c>
      <c r="B725" s="35">
        <v>45941</v>
      </c>
      <c r="C725" s="17" t="s">
        <v>12</v>
      </c>
      <c r="D725" s="17" t="s">
        <v>19</v>
      </c>
      <c r="E725" s="17" t="s">
        <v>14</v>
      </c>
      <c r="F725" s="17" t="s">
        <v>34</v>
      </c>
      <c r="G725" s="17" t="s">
        <v>16</v>
      </c>
      <c r="H725" s="17" t="s">
        <v>2598</v>
      </c>
      <c r="I725" s="17" t="s">
        <v>39</v>
      </c>
      <c r="J725" s="36">
        <v>2666.67</v>
      </c>
      <c r="K725" s="36">
        <v>5710.65</v>
      </c>
      <c r="L725" s="36">
        <f t="shared" si="55"/>
        <v>3043.9799999999996</v>
      </c>
      <c r="M725" s="37">
        <f t="shared" si="56"/>
        <v>1.1414910731361583</v>
      </c>
      <c r="N725" s="17" t="str">
        <f t="shared" si="57"/>
        <v>Over Budget</v>
      </c>
      <c r="O725" s="38">
        <f t="shared" si="58"/>
        <v>-5710.65</v>
      </c>
      <c r="P725" s="39">
        <f t="shared" si="59"/>
        <v>45931</v>
      </c>
    </row>
    <row r="726" spans="1:16" ht="15.5" x14ac:dyDescent="0.35">
      <c r="A726" s="17" t="s">
        <v>774</v>
      </c>
      <c r="B726" s="35">
        <v>45843</v>
      </c>
      <c r="C726" s="17" t="s">
        <v>25</v>
      </c>
      <c r="D726" s="17" t="s">
        <v>26</v>
      </c>
      <c r="E726" s="17" t="s">
        <v>27</v>
      </c>
      <c r="F726" s="17" t="s">
        <v>15</v>
      </c>
      <c r="G726" s="17" t="s">
        <v>43</v>
      </c>
      <c r="H726" s="17" t="s">
        <v>2587</v>
      </c>
      <c r="I726" s="17" t="s">
        <v>48</v>
      </c>
      <c r="J726" s="36">
        <v>13333.33</v>
      </c>
      <c r="K726" s="36">
        <v>4203.07</v>
      </c>
      <c r="L726" s="36">
        <f t="shared" si="55"/>
        <v>-9130.26</v>
      </c>
      <c r="M726" s="37">
        <f t="shared" si="56"/>
        <v>-0.68476967119241783</v>
      </c>
      <c r="N726" s="17" t="str">
        <f t="shared" si="57"/>
        <v>Under Budget</v>
      </c>
      <c r="O726" s="38">
        <f t="shared" si="58"/>
        <v>4203.07</v>
      </c>
      <c r="P726" s="39">
        <f t="shared" si="59"/>
        <v>45839</v>
      </c>
    </row>
    <row r="727" spans="1:16" ht="15.5" x14ac:dyDescent="0.35">
      <c r="A727" s="17" t="s">
        <v>775</v>
      </c>
      <c r="B727" s="35">
        <v>46144</v>
      </c>
      <c r="C727" s="17" t="s">
        <v>12</v>
      </c>
      <c r="D727" s="17" t="s">
        <v>2585</v>
      </c>
      <c r="E727" s="17" t="s">
        <v>51</v>
      </c>
      <c r="F727" s="17" t="s">
        <v>21</v>
      </c>
      <c r="G727" s="17" t="s">
        <v>43</v>
      </c>
      <c r="H727" s="17" t="s">
        <v>2590</v>
      </c>
      <c r="I727" s="17" t="s">
        <v>30</v>
      </c>
      <c r="J727" s="36">
        <v>2727.27</v>
      </c>
      <c r="K727" s="36">
        <v>4315.71</v>
      </c>
      <c r="L727" s="36">
        <f t="shared" si="55"/>
        <v>1588.44</v>
      </c>
      <c r="M727" s="37">
        <f t="shared" si="56"/>
        <v>0.58242858242858242</v>
      </c>
      <c r="N727" s="17" t="str">
        <f t="shared" si="57"/>
        <v>Over Budget</v>
      </c>
      <c r="O727" s="38">
        <f t="shared" si="58"/>
        <v>-4315.71</v>
      </c>
      <c r="P727" s="39">
        <f t="shared" si="59"/>
        <v>46143</v>
      </c>
    </row>
    <row r="728" spans="1:16" ht="15.5" x14ac:dyDescent="0.35">
      <c r="A728" s="17" t="s">
        <v>776</v>
      </c>
      <c r="B728" s="35">
        <v>45858</v>
      </c>
      <c r="C728" s="17" t="s">
        <v>12</v>
      </c>
      <c r="D728" s="17" t="s">
        <v>36</v>
      </c>
      <c r="E728" s="17" t="s">
        <v>47</v>
      </c>
      <c r="F728" s="17" t="s">
        <v>21</v>
      </c>
      <c r="G728" s="17" t="s">
        <v>22</v>
      </c>
      <c r="H728" s="17" t="s">
        <v>2597</v>
      </c>
      <c r="I728" s="17" t="s">
        <v>30</v>
      </c>
      <c r="J728" s="36">
        <v>8750</v>
      </c>
      <c r="K728" s="36">
        <v>3427.15</v>
      </c>
      <c r="L728" s="36">
        <f t="shared" si="55"/>
        <v>-5322.85</v>
      </c>
      <c r="M728" s="37">
        <f t="shared" si="56"/>
        <v>-0.60832571428571436</v>
      </c>
      <c r="N728" s="17" t="str">
        <f t="shared" si="57"/>
        <v>Under Budget</v>
      </c>
      <c r="O728" s="38">
        <f t="shared" si="58"/>
        <v>-3427.15</v>
      </c>
      <c r="P728" s="39">
        <f t="shared" si="59"/>
        <v>45839</v>
      </c>
    </row>
    <row r="729" spans="1:16" ht="15.5" x14ac:dyDescent="0.35">
      <c r="A729" s="17" t="s">
        <v>777</v>
      </c>
      <c r="B729" s="35">
        <v>45793</v>
      </c>
      <c r="C729" s="17" t="s">
        <v>25</v>
      </c>
      <c r="D729" s="17" t="s">
        <v>32</v>
      </c>
      <c r="E729" s="17" t="s">
        <v>33</v>
      </c>
      <c r="F729" s="17" t="s">
        <v>21</v>
      </c>
      <c r="G729" s="17" t="s">
        <v>43</v>
      </c>
      <c r="H729" s="17" t="s">
        <v>2589</v>
      </c>
      <c r="I729" s="17" t="s">
        <v>23</v>
      </c>
      <c r="J729" s="36">
        <v>9615.3799999999992</v>
      </c>
      <c r="K729" s="36">
        <v>17519.97</v>
      </c>
      <c r="L729" s="36">
        <f t="shared" si="55"/>
        <v>7904.590000000002</v>
      </c>
      <c r="M729" s="37">
        <f t="shared" si="56"/>
        <v>0.82207775459732246</v>
      </c>
      <c r="N729" s="17" t="str">
        <f t="shared" si="57"/>
        <v>Over Budget</v>
      </c>
      <c r="O729" s="38">
        <f t="shared" si="58"/>
        <v>17519.97</v>
      </c>
      <c r="P729" s="39">
        <f t="shared" si="59"/>
        <v>45778</v>
      </c>
    </row>
    <row r="730" spans="1:16" ht="15.5" x14ac:dyDescent="0.35">
      <c r="A730" s="17" t="s">
        <v>778</v>
      </c>
      <c r="B730" s="35">
        <v>45905</v>
      </c>
      <c r="C730" s="17" t="s">
        <v>25</v>
      </c>
      <c r="D730" s="17" t="s">
        <v>32</v>
      </c>
      <c r="E730" s="17" t="s">
        <v>109</v>
      </c>
      <c r="F730" s="17" t="s">
        <v>21</v>
      </c>
      <c r="G730" s="17" t="s">
        <v>43</v>
      </c>
      <c r="H730" s="17" t="s">
        <v>2594</v>
      </c>
      <c r="I730" s="17" t="s">
        <v>23</v>
      </c>
      <c r="J730" s="36">
        <v>7142.86</v>
      </c>
      <c r="K730" s="36">
        <v>9694.27</v>
      </c>
      <c r="L730" s="36">
        <f t="shared" si="55"/>
        <v>2551.4100000000008</v>
      </c>
      <c r="M730" s="37">
        <f t="shared" si="56"/>
        <v>0.35719725712109729</v>
      </c>
      <c r="N730" s="17" t="str">
        <f t="shared" si="57"/>
        <v>Over Budget</v>
      </c>
      <c r="O730" s="38">
        <f t="shared" si="58"/>
        <v>9694.27</v>
      </c>
      <c r="P730" s="39">
        <f t="shared" si="59"/>
        <v>45901</v>
      </c>
    </row>
    <row r="731" spans="1:16" ht="15.5" x14ac:dyDescent="0.35">
      <c r="A731" s="17" t="s">
        <v>779</v>
      </c>
      <c r="B731" s="35">
        <v>46107</v>
      </c>
      <c r="C731" s="17" t="s">
        <v>12</v>
      </c>
      <c r="D731" s="17" t="s">
        <v>36</v>
      </c>
      <c r="E731" s="17" t="s">
        <v>47</v>
      </c>
      <c r="F731" s="17" t="s">
        <v>34</v>
      </c>
      <c r="G731" s="17" t="s">
        <v>22</v>
      </c>
      <c r="H731" s="17" t="s">
        <v>2589</v>
      </c>
      <c r="I731" s="17" t="s">
        <v>23</v>
      </c>
      <c r="J731" s="36">
        <v>3181.82</v>
      </c>
      <c r="K731" s="36">
        <v>4382.5600000000004</v>
      </c>
      <c r="L731" s="36">
        <f t="shared" si="55"/>
        <v>1200.7400000000002</v>
      </c>
      <c r="M731" s="37">
        <f t="shared" si="56"/>
        <v>0.37737521292844983</v>
      </c>
      <c r="N731" s="17" t="str">
        <f t="shared" si="57"/>
        <v>Over Budget</v>
      </c>
      <c r="O731" s="38">
        <f t="shared" si="58"/>
        <v>-4382.5600000000004</v>
      </c>
      <c r="P731" s="39">
        <f t="shared" si="59"/>
        <v>46082</v>
      </c>
    </row>
    <row r="732" spans="1:16" ht="15.5" x14ac:dyDescent="0.35">
      <c r="A732" s="17" t="s">
        <v>780</v>
      </c>
      <c r="B732" s="35">
        <v>45806</v>
      </c>
      <c r="C732" s="17" t="s">
        <v>25</v>
      </c>
      <c r="D732" s="17" t="s">
        <v>36</v>
      </c>
      <c r="E732" s="17" t="s">
        <v>33</v>
      </c>
      <c r="F732" s="17" t="s">
        <v>15</v>
      </c>
      <c r="G732" s="17" t="s">
        <v>29</v>
      </c>
      <c r="H732" s="17" t="s">
        <v>2594</v>
      </c>
      <c r="I732" s="17" t="s">
        <v>23</v>
      </c>
      <c r="J732" s="36">
        <v>9615.3799999999992</v>
      </c>
      <c r="K732" s="36">
        <v>11771.97</v>
      </c>
      <c r="L732" s="36">
        <f t="shared" si="55"/>
        <v>2156.59</v>
      </c>
      <c r="M732" s="37">
        <f t="shared" si="56"/>
        <v>0.22428546765702451</v>
      </c>
      <c r="N732" s="17" t="str">
        <f t="shared" si="57"/>
        <v>Over Budget</v>
      </c>
      <c r="O732" s="38">
        <f t="shared" si="58"/>
        <v>11771.97</v>
      </c>
      <c r="P732" s="39">
        <f t="shared" si="59"/>
        <v>45778</v>
      </c>
    </row>
    <row r="733" spans="1:16" ht="15.5" x14ac:dyDescent="0.35">
      <c r="A733" s="17" t="s">
        <v>781</v>
      </c>
      <c r="B733" s="35">
        <v>46044</v>
      </c>
      <c r="C733" s="17" t="s">
        <v>12</v>
      </c>
      <c r="D733" s="17" t="s">
        <v>19</v>
      </c>
      <c r="E733" s="17" t="s">
        <v>74</v>
      </c>
      <c r="F733" s="17" t="s">
        <v>52</v>
      </c>
      <c r="G733" s="17" t="s">
        <v>38</v>
      </c>
      <c r="H733" s="17" t="s">
        <v>2587</v>
      </c>
      <c r="I733" s="17" t="s">
        <v>30</v>
      </c>
      <c r="J733" s="36">
        <v>4850</v>
      </c>
      <c r="K733" s="36">
        <v>288.63</v>
      </c>
      <c r="L733" s="36">
        <f t="shared" si="55"/>
        <v>-4561.37</v>
      </c>
      <c r="M733" s="37">
        <f t="shared" si="56"/>
        <v>-0.94048865979381446</v>
      </c>
      <c r="N733" s="17" t="str">
        <f t="shared" si="57"/>
        <v>Under Budget</v>
      </c>
      <c r="O733" s="38">
        <f t="shared" si="58"/>
        <v>-288.63</v>
      </c>
      <c r="P733" s="39">
        <f t="shared" si="59"/>
        <v>46023</v>
      </c>
    </row>
    <row r="734" spans="1:16" ht="15.5" x14ac:dyDescent="0.35">
      <c r="A734" s="17" t="s">
        <v>782</v>
      </c>
      <c r="B734" s="35">
        <v>46117</v>
      </c>
      <c r="C734" s="17" t="s">
        <v>12</v>
      </c>
      <c r="D734" s="17" t="s">
        <v>26</v>
      </c>
      <c r="E734" s="17" t="s">
        <v>47</v>
      </c>
      <c r="F734" s="17" t="s">
        <v>52</v>
      </c>
      <c r="G734" s="17" t="s">
        <v>43</v>
      </c>
      <c r="H734" s="17" t="s">
        <v>2588</v>
      </c>
      <c r="I734" s="17" t="s">
        <v>17</v>
      </c>
      <c r="J734" s="36">
        <v>5833.33</v>
      </c>
      <c r="K734" s="36">
        <v>3048.03</v>
      </c>
      <c r="L734" s="36">
        <f t="shared" si="55"/>
        <v>-2785.2999999999997</v>
      </c>
      <c r="M734" s="37">
        <f t="shared" si="56"/>
        <v>-0.47748027284587014</v>
      </c>
      <c r="N734" s="17" t="str">
        <f t="shared" si="57"/>
        <v>Under Budget</v>
      </c>
      <c r="O734" s="38">
        <f t="shared" si="58"/>
        <v>-3048.03</v>
      </c>
      <c r="P734" s="39">
        <f t="shared" si="59"/>
        <v>46113</v>
      </c>
    </row>
    <row r="735" spans="1:16" ht="15.5" x14ac:dyDescent="0.35">
      <c r="A735" s="17" t="s">
        <v>783</v>
      </c>
      <c r="B735" s="35">
        <v>46199</v>
      </c>
      <c r="C735" s="17" t="s">
        <v>25</v>
      </c>
      <c r="D735" s="17" t="s">
        <v>2584</v>
      </c>
      <c r="E735" s="17" t="s">
        <v>27</v>
      </c>
      <c r="F735" s="17" t="s">
        <v>52</v>
      </c>
      <c r="G735" s="17" t="s">
        <v>43</v>
      </c>
      <c r="H735" s="17" t="s">
        <v>2591</v>
      </c>
      <c r="I735" s="17" t="s">
        <v>23</v>
      </c>
      <c r="J735" s="36">
        <v>7272.73</v>
      </c>
      <c r="K735" s="36">
        <v>1113.55</v>
      </c>
      <c r="L735" s="36">
        <f t="shared" si="55"/>
        <v>-6159.1799999999994</v>
      </c>
      <c r="M735" s="37">
        <f t="shared" si="56"/>
        <v>-0.84688693241740032</v>
      </c>
      <c r="N735" s="17" t="str">
        <f t="shared" si="57"/>
        <v>Under Budget</v>
      </c>
      <c r="O735" s="38">
        <f t="shared" si="58"/>
        <v>1113.55</v>
      </c>
      <c r="P735" s="39">
        <f t="shared" si="59"/>
        <v>46174</v>
      </c>
    </row>
    <row r="736" spans="1:16" ht="15.5" x14ac:dyDescent="0.35">
      <c r="A736" s="17" t="s">
        <v>784</v>
      </c>
      <c r="B736" s="35">
        <v>45972</v>
      </c>
      <c r="C736" s="17" t="s">
        <v>25</v>
      </c>
      <c r="D736" s="17" t="s">
        <v>32</v>
      </c>
      <c r="E736" s="17" t="s">
        <v>33</v>
      </c>
      <c r="F736" s="17" t="s">
        <v>52</v>
      </c>
      <c r="G736" s="17" t="s">
        <v>43</v>
      </c>
      <c r="H736" s="17" t="s">
        <v>2587</v>
      </c>
      <c r="I736" s="17" t="s">
        <v>23</v>
      </c>
      <c r="J736" s="36">
        <v>13125</v>
      </c>
      <c r="K736" s="36">
        <v>15341.68</v>
      </c>
      <c r="L736" s="36">
        <f t="shared" si="55"/>
        <v>2216.6800000000003</v>
      </c>
      <c r="M736" s="37">
        <f t="shared" si="56"/>
        <v>0.1688899047619048</v>
      </c>
      <c r="N736" s="17" t="str">
        <f t="shared" si="57"/>
        <v>Over Budget</v>
      </c>
      <c r="O736" s="38">
        <f t="shared" si="58"/>
        <v>15341.68</v>
      </c>
      <c r="P736" s="39">
        <f t="shared" si="59"/>
        <v>45962</v>
      </c>
    </row>
    <row r="737" spans="1:16" ht="15.5" x14ac:dyDescent="0.35">
      <c r="A737" s="17" t="s">
        <v>785</v>
      </c>
      <c r="B737" s="35">
        <v>45769</v>
      </c>
      <c r="C737" s="17" t="s">
        <v>25</v>
      </c>
      <c r="D737" s="17" t="s">
        <v>19</v>
      </c>
      <c r="E737" s="17" t="s">
        <v>27</v>
      </c>
      <c r="F737" s="17" t="s">
        <v>52</v>
      </c>
      <c r="G737" s="17" t="s">
        <v>38</v>
      </c>
      <c r="H737" s="17" t="s">
        <v>2589</v>
      </c>
      <c r="I737" s="17" t="s">
        <v>23</v>
      </c>
      <c r="J737" s="36">
        <v>10000</v>
      </c>
      <c r="K737" s="36">
        <v>3990.75</v>
      </c>
      <c r="L737" s="36">
        <f t="shared" si="55"/>
        <v>-6009.25</v>
      </c>
      <c r="M737" s="37">
        <f t="shared" si="56"/>
        <v>-0.60092500000000004</v>
      </c>
      <c r="N737" s="17" t="str">
        <f t="shared" si="57"/>
        <v>Under Budget</v>
      </c>
      <c r="O737" s="38">
        <f t="shared" si="58"/>
        <v>3990.75</v>
      </c>
      <c r="P737" s="39">
        <f t="shared" si="59"/>
        <v>45748</v>
      </c>
    </row>
    <row r="738" spans="1:16" ht="15.5" x14ac:dyDescent="0.35">
      <c r="A738" s="17" t="s">
        <v>786</v>
      </c>
      <c r="B738" s="35">
        <v>46062</v>
      </c>
      <c r="C738" s="17" t="s">
        <v>25</v>
      </c>
      <c r="D738" s="17" t="s">
        <v>36</v>
      </c>
      <c r="E738" s="17" t="s">
        <v>169</v>
      </c>
      <c r="F738" s="17" t="s">
        <v>21</v>
      </c>
      <c r="G738" s="17" t="s">
        <v>38</v>
      </c>
      <c r="H738" s="17" t="s">
        <v>2596</v>
      </c>
      <c r="I738" s="17" t="s">
        <v>17</v>
      </c>
      <c r="J738" s="36">
        <v>3880</v>
      </c>
      <c r="K738" s="36">
        <v>2636.92</v>
      </c>
      <c r="L738" s="36">
        <f t="shared" si="55"/>
        <v>-1243.08</v>
      </c>
      <c r="M738" s="37">
        <f t="shared" si="56"/>
        <v>-0.32038144329896906</v>
      </c>
      <c r="N738" s="17" t="str">
        <f t="shared" si="57"/>
        <v>Under Budget</v>
      </c>
      <c r="O738" s="38">
        <f t="shared" si="58"/>
        <v>2636.92</v>
      </c>
      <c r="P738" s="39">
        <f t="shared" si="59"/>
        <v>46054</v>
      </c>
    </row>
    <row r="739" spans="1:16" ht="15.5" x14ac:dyDescent="0.35">
      <c r="A739" s="17" t="s">
        <v>787</v>
      </c>
      <c r="B739" s="35">
        <v>45820</v>
      </c>
      <c r="C739" s="17" t="s">
        <v>12</v>
      </c>
      <c r="D739" s="17" t="s">
        <v>36</v>
      </c>
      <c r="E739" s="17" t="s">
        <v>47</v>
      </c>
      <c r="F739" s="17" t="s">
        <v>52</v>
      </c>
      <c r="G739" s="17" t="s">
        <v>38</v>
      </c>
      <c r="H739" s="17" t="s">
        <v>2587</v>
      </c>
      <c r="I739" s="17" t="s">
        <v>30</v>
      </c>
      <c r="J739" s="36">
        <v>4375</v>
      </c>
      <c r="K739" s="36">
        <v>4182.8999999999996</v>
      </c>
      <c r="L739" s="36">
        <f t="shared" si="55"/>
        <v>-192.10000000000036</v>
      </c>
      <c r="M739" s="37">
        <f t="shared" si="56"/>
        <v>-4.3908571428571512E-2</v>
      </c>
      <c r="N739" s="17" t="str">
        <f t="shared" si="57"/>
        <v>Under Budget</v>
      </c>
      <c r="O739" s="38">
        <f t="shared" si="58"/>
        <v>-4182.8999999999996</v>
      </c>
      <c r="P739" s="39">
        <f t="shared" si="59"/>
        <v>45809</v>
      </c>
    </row>
    <row r="740" spans="1:16" ht="15.5" x14ac:dyDescent="0.35">
      <c r="A740" s="17" t="s">
        <v>788</v>
      </c>
      <c r="B740" s="35">
        <v>46108</v>
      </c>
      <c r="C740" s="17" t="s">
        <v>12</v>
      </c>
      <c r="D740" s="17" t="s">
        <v>2585</v>
      </c>
      <c r="E740" s="17" t="s">
        <v>77</v>
      </c>
      <c r="F740" s="17" t="s">
        <v>52</v>
      </c>
      <c r="G740" s="17" t="s">
        <v>29</v>
      </c>
      <c r="H740" s="17" t="s">
        <v>2590</v>
      </c>
      <c r="I740" s="17" t="s">
        <v>23</v>
      </c>
      <c r="J740" s="36">
        <v>1833.33</v>
      </c>
      <c r="K740" s="36">
        <v>1310.49</v>
      </c>
      <c r="L740" s="36">
        <f t="shared" si="55"/>
        <v>-522.83999999999992</v>
      </c>
      <c r="M740" s="37">
        <f t="shared" si="56"/>
        <v>-0.28518597306540555</v>
      </c>
      <c r="N740" s="17" t="str">
        <f t="shared" si="57"/>
        <v>Under Budget</v>
      </c>
      <c r="O740" s="38">
        <f t="shared" si="58"/>
        <v>-1310.49</v>
      </c>
      <c r="P740" s="39">
        <f t="shared" si="59"/>
        <v>46082</v>
      </c>
    </row>
    <row r="741" spans="1:16" ht="15.5" x14ac:dyDescent="0.35">
      <c r="A741" s="17" t="s">
        <v>789</v>
      </c>
      <c r="B741" s="35">
        <v>45960</v>
      </c>
      <c r="C741" s="17" t="s">
        <v>25</v>
      </c>
      <c r="D741" s="17" t="s">
        <v>36</v>
      </c>
      <c r="E741" s="17" t="s">
        <v>33</v>
      </c>
      <c r="F741" s="17" t="s">
        <v>21</v>
      </c>
      <c r="G741" s="17" t="s">
        <v>82</v>
      </c>
      <c r="H741" s="17" t="s">
        <v>2595</v>
      </c>
      <c r="I741" s="17" t="s">
        <v>23</v>
      </c>
      <c r="J741" s="36">
        <v>8928.57</v>
      </c>
      <c r="K741" s="36">
        <v>20029.18</v>
      </c>
      <c r="L741" s="36">
        <f t="shared" si="55"/>
        <v>11100.61</v>
      </c>
      <c r="M741" s="37">
        <f t="shared" si="56"/>
        <v>1.2432685189229631</v>
      </c>
      <c r="N741" s="17" t="str">
        <f t="shared" si="57"/>
        <v>Over Budget</v>
      </c>
      <c r="O741" s="38">
        <f t="shared" si="58"/>
        <v>20029.18</v>
      </c>
      <c r="P741" s="39">
        <f t="shared" si="59"/>
        <v>45931</v>
      </c>
    </row>
    <row r="742" spans="1:16" ht="15.5" x14ac:dyDescent="0.35">
      <c r="A742" s="17" t="s">
        <v>790</v>
      </c>
      <c r="B742" s="35">
        <v>45949</v>
      </c>
      <c r="C742" s="17" t="s">
        <v>25</v>
      </c>
      <c r="D742" s="17" t="s">
        <v>32</v>
      </c>
      <c r="E742" s="17" t="s">
        <v>27</v>
      </c>
      <c r="F742" s="17" t="s">
        <v>52</v>
      </c>
      <c r="G742" s="17" t="s">
        <v>16</v>
      </c>
      <c r="H742" s="17" t="s">
        <v>2590</v>
      </c>
      <c r="I742" s="17" t="s">
        <v>30</v>
      </c>
      <c r="J742" s="36">
        <v>4705.88</v>
      </c>
      <c r="K742" s="36">
        <v>4535.8</v>
      </c>
      <c r="L742" s="36">
        <f t="shared" si="55"/>
        <v>-170.07999999999993</v>
      </c>
      <c r="M742" s="37">
        <f t="shared" si="56"/>
        <v>-3.6142018071009016E-2</v>
      </c>
      <c r="N742" s="17" t="str">
        <f t="shared" si="57"/>
        <v>Under Budget</v>
      </c>
      <c r="O742" s="38">
        <f t="shared" si="58"/>
        <v>4535.8</v>
      </c>
      <c r="P742" s="39">
        <f t="shared" si="59"/>
        <v>45931</v>
      </c>
    </row>
    <row r="743" spans="1:16" ht="15.5" x14ac:dyDescent="0.35">
      <c r="A743" s="17" t="s">
        <v>791</v>
      </c>
      <c r="B743" s="35">
        <v>46009</v>
      </c>
      <c r="C743" s="17" t="s">
        <v>25</v>
      </c>
      <c r="D743" s="17" t="s">
        <v>32</v>
      </c>
      <c r="E743" s="17" t="s">
        <v>169</v>
      </c>
      <c r="F743" s="17" t="s">
        <v>52</v>
      </c>
      <c r="G743" s="17" t="s">
        <v>38</v>
      </c>
      <c r="H743" s="17" t="s">
        <v>80</v>
      </c>
      <c r="I743" s="17" t="s">
        <v>39</v>
      </c>
      <c r="J743" s="36">
        <v>3500</v>
      </c>
      <c r="K743" s="36">
        <v>1616.23</v>
      </c>
      <c r="L743" s="36">
        <f t="shared" si="55"/>
        <v>-1883.77</v>
      </c>
      <c r="M743" s="37">
        <f t="shared" si="56"/>
        <v>-0.53822000000000003</v>
      </c>
      <c r="N743" s="17" t="str">
        <f t="shared" si="57"/>
        <v>Under Budget</v>
      </c>
      <c r="O743" s="38">
        <f t="shared" si="58"/>
        <v>1616.23</v>
      </c>
      <c r="P743" s="39">
        <f t="shared" si="59"/>
        <v>45992</v>
      </c>
    </row>
    <row r="744" spans="1:16" ht="15.5" x14ac:dyDescent="0.35">
      <c r="A744" s="17" t="s">
        <v>792</v>
      </c>
      <c r="B744" s="35">
        <v>45669</v>
      </c>
      <c r="C744" s="17" t="s">
        <v>12</v>
      </c>
      <c r="D744" s="17" t="s">
        <v>19</v>
      </c>
      <c r="E744" s="17" t="s">
        <v>77</v>
      </c>
      <c r="F744" s="17" t="s">
        <v>34</v>
      </c>
      <c r="G744" s="17" t="s">
        <v>38</v>
      </c>
      <c r="H744" s="17" t="s">
        <v>2598</v>
      </c>
      <c r="I744" s="17" t="s">
        <v>30</v>
      </c>
      <c r="J744" s="36">
        <v>3556.67</v>
      </c>
      <c r="K744" s="36">
        <v>2832.42</v>
      </c>
      <c r="L744" s="36">
        <f t="shared" si="55"/>
        <v>-724.25</v>
      </c>
      <c r="M744" s="37">
        <f t="shared" si="56"/>
        <v>-0.20363148675586995</v>
      </c>
      <c r="N744" s="17" t="str">
        <f t="shared" si="57"/>
        <v>Under Budget</v>
      </c>
      <c r="O744" s="38">
        <f t="shared" si="58"/>
        <v>-2832.42</v>
      </c>
      <c r="P744" s="39">
        <f t="shared" si="59"/>
        <v>45658</v>
      </c>
    </row>
    <row r="745" spans="1:16" ht="15.5" x14ac:dyDescent="0.35">
      <c r="A745" s="17" t="s">
        <v>793</v>
      </c>
      <c r="B745" s="35">
        <v>46145</v>
      </c>
      <c r="C745" s="17" t="s">
        <v>25</v>
      </c>
      <c r="D745" s="17" t="s">
        <v>26</v>
      </c>
      <c r="E745" s="17" t="s">
        <v>33</v>
      </c>
      <c r="F745" s="17" t="s">
        <v>34</v>
      </c>
      <c r="G745" s="17" t="s">
        <v>38</v>
      </c>
      <c r="H745" s="17" t="s">
        <v>2597</v>
      </c>
      <c r="I745" s="17" t="s">
        <v>48</v>
      </c>
      <c r="J745" s="36">
        <v>10869.57</v>
      </c>
      <c r="K745" s="36">
        <v>9461.93</v>
      </c>
      <c r="L745" s="36">
        <f t="shared" si="55"/>
        <v>-1407.6399999999994</v>
      </c>
      <c r="M745" s="37">
        <f t="shared" si="56"/>
        <v>-0.12950282301875782</v>
      </c>
      <c r="N745" s="17" t="str">
        <f t="shared" si="57"/>
        <v>Under Budget</v>
      </c>
      <c r="O745" s="38">
        <f t="shared" si="58"/>
        <v>9461.93</v>
      </c>
      <c r="P745" s="39">
        <f t="shared" si="59"/>
        <v>46143</v>
      </c>
    </row>
    <row r="746" spans="1:16" ht="15.5" x14ac:dyDescent="0.35">
      <c r="A746" s="17" t="s">
        <v>794</v>
      </c>
      <c r="B746" s="35">
        <v>45934</v>
      </c>
      <c r="C746" s="17" t="s">
        <v>25</v>
      </c>
      <c r="D746" s="17" t="s">
        <v>26</v>
      </c>
      <c r="E746" s="17" t="s">
        <v>33</v>
      </c>
      <c r="F746" s="17" t="s">
        <v>52</v>
      </c>
      <c r="G746" s="17" t="s">
        <v>43</v>
      </c>
      <c r="H746" s="17" t="s">
        <v>2590</v>
      </c>
      <c r="I746" s="17" t="s">
        <v>48</v>
      </c>
      <c r="J746" s="36">
        <v>8928.57</v>
      </c>
      <c r="K746" s="36">
        <v>13832.89</v>
      </c>
      <c r="L746" s="36">
        <f t="shared" si="55"/>
        <v>4904.32</v>
      </c>
      <c r="M746" s="37">
        <f t="shared" si="56"/>
        <v>0.54928392788542846</v>
      </c>
      <c r="N746" s="17" t="str">
        <f t="shared" si="57"/>
        <v>Over Budget</v>
      </c>
      <c r="O746" s="38">
        <f t="shared" si="58"/>
        <v>13832.89</v>
      </c>
      <c r="P746" s="39">
        <f t="shared" si="59"/>
        <v>45931</v>
      </c>
    </row>
    <row r="747" spans="1:16" ht="15.5" x14ac:dyDescent="0.35">
      <c r="A747" s="17" t="s">
        <v>795</v>
      </c>
      <c r="B747" s="35">
        <v>46127</v>
      </c>
      <c r="C747" s="17" t="s">
        <v>25</v>
      </c>
      <c r="D747" s="17" t="s">
        <v>32</v>
      </c>
      <c r="E747" s="17" t="s">
        <v>109</v>
      </c>
      <c r="F747" s="17" t="s">
        <v>52</v>
      </c>
      <c r="G747" s="17" t="s">
        <v>16</v>
      </c>
      <c r="H747" s="17" t="s">
        <v>2597</v>
      </c>
      <c r="I747" s="17" t="s">
        <v>23</v>
      </c>
      <c r="J747" s="36">
        <v>7142.86</v>
      </c>
      <c r="K747" s="36">
        <v>12651.7</v>
      </c>
      <c r="L747" s="36">
        <f t="shared" si="55"/>
        <v>5508.8400000000011</v>
      </c>
      <c r="M747" s="37">
        <f t="shared" si="56"/>
        <v>0.77123729150508358</v>
      </c>
      <c r="N747" s="17" t="str">
        <f t="shared" si="57"/>
        <v>Over Budget</v>
      </c>
      <c r="O747" s="38">
        <f t="shared" si="58"/>
        <v>12651.7</v>
      </c>
      <c r="P747" s="39">
        <f t="shared" si="59"/>
        <v>46113</v>
      </c>
    </row>
    <row r="748" spans="1:16" ht="15.5" x14ac:dyDescent="0.35">
      <c r="A748" s="17" t="s">
        <v>796</v>
      </c>
      <c r="B748" s="35">
        <v>45848</v>
      </c>
      <c r="C748" s="17" t="s">
        <v>12</v>
      </c>
      <c r="D748" s="17" t="s">
        <v>32</v>
      </c>
      <c r="E748" s="17" t="s">
        <v>20</v>
      </c>
      <c r="F748" s="17" t="s">
        <v>15</v>
      </c>
      <c r="G748" s="17" t="s">
        <v>29</v>
      </c>
      <c r="H748" s="17" t="s">
        <v>2592</v>
      </c>
      <c r="I748" s="17" t="s">
        <v>23</v>
      </c>
      <c r="J748" s="36">
        <v>2250</v>
      </c>
      <c r="K748" s="36">
        <v>987.03</v>
      </c>
      <c r="L748" s="36">
        <f t="shared" si="55"/>
        <v>-1262.97</v>
      </c>
      <c r="M748" s="37">
        <f t="shared" si="56"/>
        <v>-0.56132000000000004</v>
      </c>
      <c r="N748" s="17" t="str">
        <f t="shared" si="57"/>
        <v>Under Budget</v>
      </c>
      <c r="O748" s="38">
        <f t="shared" si="58"/>
        <v>-987.03</v>
      </c>
      <c r="P748" s="39">
        <f t="shared" si="59"/>
        <v>45839</v>
      </c>
    </row>
    <row r="749" spans="1:16" ht="15.5" x14ac:dyDescent="0.35">
      <c r="A749" s="17" t="s">
        <v>797</v>
      </c>
      <c r="B749" s="35">
        <v>46028</v>
      </c>
      <c r="C749" s="17" t="s">
        <v>25</v>
      </c>
      <c r="D749" s="17" t="s">
        <v>26</v>
      </c>
      <c r="E749" s="17" t="s">
        <v>33</v>
      </c>
      <c r="F749" s="17" t="s">
        <v>34</v>
      </c>
      <c r="G749" s="17" t="s">
        <v>16</v>
      </c>
      <c r="H749" s="17" t="s">
        <v>2586</v>
      </c>
      <c r="I749" s="17" t="s">
        <v>48</v>
      </c>
      <c r="J749" s="36">
        <v>11547.62</v>
      </c>
      <c r="K749" s="36">
        <v>12721.37</v>
      </c>
      <c r="L749" s="36">
        <f t="shared" si="55"/>
        <v>1173.75</v>
      </c>
      <c r="M749" s="37">
        <f t="shared" si="56"/>
        <v>0.10164432151387039</v>
      </c>
      <c r="N749" s="17" t="str">
        <f t="shared" si="57"/>
        <v>Over Budget</v>
      </c>
      <c r="O749" s="38">
        <f t="shared" si="58"/>
        <v>12721.37</v>
      </c>
      <c r="P749" s="39">
        <f t="shared" si="59"/>
        <v>46023</v>
      </c>
    </row>
    <row r="750" spans="1:16" ht="15.5" x14ac:dyDescent="0.35">
      <c r="A750" s="17" t="s">
        <v>798</v>
      </c>
      <c r="B750" s="35">
        <v>45999</v>
      </c>
      <c r="C750" s="17" t="s">
        <v>12</v>
      </c>
      <c r="D750" s="17" t="s">
        <v>26</v>
      </c>
      <c r="E750" s="17" t="s">
        <v>45</v>
      </c>
      <c r="F750" s="17" t="s">
        <v>34</v>
      </c>
      <c r="G750" s="17" t="s">
        <v>38</v>
      </c>
      <c r="H750" s="17" t="s">
        <v>2591</v>
      </c>
      <c r="I750" s="17" t="s">
        <v>39</v>
      </c>
      <c r="J750" s="36">
        <v>7875</v>
      </c>
      <c r="K750" s="36">
        <v>17140.59</v>
      </c>
      <c r="L750" s="36">
        <f t="shared" si="55"/>
        <v>9265.59</v>
      </c>
      <c r="M750" s="37">
        <f t="shared" si="56"/>
        <v>1.1765828571428572</v>
      </c>
      <c r="N750" s="17" t="str">
        <f t="shared" si="57"/>
        <v>Over Budget</v>
      </c>
      <c r="O750" s="38">
        <f t="shared" si="58"/>
        <v>-17140.59</v>
      </c>
      <c r="P750" s="39">
        <f t="shared" si="59"/>
        <v>45992</v>
      </c>
    </row>
    <row r="751" spans="1:16" ht="15.5" x14ac:dyDescent="0.35">
      <c r="A751" s="17" t="s">
        <v>799</v>
      </c>
      <c r="B751" s="35">
        <v>46030</v>
      </c>
      <c r="C751" s="17" t="s">
        <v>12</v>
      </c>
      <c r="D751" s="17" t="s">
        <v>26</v>
      </c>
      <c r="E751" s="17" t="s">
        <v>47</v>
      </c>
      <c r="F751" s="17" t="s">
        <v>21</v>
      </c>
      <c r="G751" s="17" t="s">
        <v>82</v>
      </c>
      <c r="H751" s="17" t="s">
        <v>60</v>
      </c>
      <c r="I751" s="17" t="s">
        <v>30</v>
      </c>
      <c r="J751" s="36">
        <v>3395</v>
      </c>
      <c r="K751" s="36">
        <v>2945.32</v>
      </c>
      <c r="L751" s="36">
        <f t="shared" si="55"/>
        <v>-449.67999999999984</v>
      </c>
      <c r="M751" s="37">
        <f t="shared" si="56"/>
        <v>-0.13245360824742264</v>
      </c>
      <c r="N751" s="17" t="str">
        <f t="shared" si="57"/>
        <v>Under Budget</v>
      </c>
      <c r="O751" s="38">
        <f t="shared" si="58"/>
        <v>-2945.32</v>
      </c>
      <c r="P751" s="39">
        <f t="shared" si="59"/>
        <v>46023</v>
      </c>
    </row>
    <row r="752" spans="1:16" ht="15.5" x14ac:dyDescent="0.35">
      <c r="A752" s="17" t="s">
        <v>800</v>
      </c>
      <c r="B752" s="35">
        <v>45935</v>
      </c>
      <c r="C752" s="17" t="s">
        <v>25</v>
      </c>
      <c r="D752" s="17" t="s">
        <v>32</v>
      </c>
      <c r="E752" s="17" t="s">
        <v>109</v>
      </c>
      <c r="F752" s="17" t="s">
        <v>34</v>
      </c>
      <c r="G752" s="17" t="s">
        <v>43</v>
      </c>
      <c r="H752" s="17" t="s">
        <v>2590</v>
      </c>
      <c r="I752" s="17" t="s">
        <v>30</v>
      </c>
      <c r="J752" s="36">
        <v>7692.31</v>
      </c>
      <c r="K752" s="36">
        <v>1566.77</v>
      </c>
      <c r="L752" s="36">
        <f t="shared" si="55"/>
        <v>-6125.5400000000009</v>
      </c>
      <c r="M752" s="37">
        <f t="shared" si="56"/>
        <v>-0.79631996110401171</v>
      </c>
      <c r="N752" s="17" t="str">
        <f t="shared" si="57"/>
        <v>Under Budget</v>
      </c>
      <c r="O752" s="38">
        <f t="shared" si="58"/>
        <v>1566.77</v>
      </c>
      <c r="P752" s="39">
        <f t="shared" si="59"/>
        <v>45931</v>
      </c>
    </row>
    <row r="753" spans="1:16" ht="15.5" x14ac:dyDescent="0.35">
      <c r="A753" s="17" t="s">
        <v>801</v>
      </c>
      <c r="B753" s="35">
        <v>45865</v>
      </c>
      <c r="C753" s="17" t="s">
        <v>12</v>
      </c>
      <c r="D753" s="17" t="s">
        <v>13</v>
      </c>
      <c r="E753" s="17" t="s">
        <v>51</v>
      </c>
      <c r="F753" s="17" t="s">
        <v>34</v>
      </c>
      <c r="G753" s="17" t="s">
        <v>38</v>
      </c>
      <c r="H753" s="17" t="s">
        <v>2586</v>
      </c>
      <c r="I753" s="17" t="s">
        <v>23</v>
      </c>
      <c r="J753" s="36">
        <v>6000</v>
      </c>
      <c r="K753" s="36">
        <v>576.03</v>
      </c>
      <c r="L753" s="36">
        <f t="shared" si="55"/>
        <v>-5423.97</v>
      </c>
      <c r="M753" s="37">
        <f t="shared" si="56"/>
        <v>-0.90399499999999999</v>
      </c>
      <c r="N753" s="17" t="str">
        <f t="shared" si="57"/>
        <v>Under Budget</v>
      </c>
      <c r="O753" s="38">
        <f t="shared" si="58"/>
        <v>-576.03</v>
      </c>
      <c r="P753" s="39">
        <f t="shared" si="59"/>
        <v>45839</v>
      </c>
    </row>
    <row r="754" spans="1:16" ht="15.5" x14ac:dyDescent="0.35">
      <c r="A754" s="17" t="s">
        <v>802</v>
      </c>
      <c r="B754" s="35">
        <v>46198</v>
      </c>
      <c r="C754" s="17" t="s">
        <v>12</v>
      </c>
      <c r="D754" s="17" t="s">
        <v>19</v>
      </c>
      <c r="E754" s="17" t="s">
        <v>41</v>
      </c>
      <c r="F754" s="17" t="s">
        <v>15</v>
      </c>
      <c r="G754" s="17" t="s">
        <v>38</v>
      </c>
      <c r="H754" s="17" t="s">
        <v>2593</v>
      </c>
      <c r="I754" s="17" t="s">
        <v>30</v>
      </c>
      <c r="J754" s="36">
        <v>5416.67</v>
      </c>
      <c r="K754" s="36">
        <v>11800.27</v>
      </c>
      <c r="L754" s="36">
        <f t="shared" si="55"/>
        <v>6383.6</v>
      </c>
      <c r="M754" s="37">
        <f t="shared" si="56"/>
        <v>1.1785100439938192</v>
      </c>
      <c r="N754" s="17" t="str">
        <f t="shared" si="57"/>
        <v>Over Budget</v>
      </c>
      <c r="O754" s="38">
        <f t="shared" si="58"/>
        <v>-11800.27</v>
      </c>
      <c r="P754" s="39">
        <f t="shared" si="59"/>
        <v>46174</v>
      </c>
    </row>
    <row r="755" spans="1:16" ht="15.5" x14ac:dyDescent="0.35">
      <c r="A755" s="17" t="s">
        <v>803</v>
      </c>
      <c r="B755" s="35">
        <v>45728</v>
      </c>
      <c r="C755" s="17" t="s">
        <v>12</v>
      </c>
      <c r="D755" s="17" t="s">
        <v>36</v>
      </c>
      <c r="E755" s="17" t="s">
        <v>45</v>
      </c>
      <c r="F755" s="17" t="s">
        <v>52</v>
      </c>
      <c r="G755" s="17" t="s">
        <v>38</v>
      </c>
      <c r="H755" s="17" t="s">
        <v>2596</v>
      </c>
      <c r="I755" s="17" t="s">
        <v>48</v>
      </c>
      <c r="J755" s="36">
        <v>6000</v>
      </c>
      <c r="K755" s="36">
        <v>16689.509999999998</v>
      </c>
      <c r="L755" s="36">
        <f t="shared" si="55"/>
        <v>10689.509999999998</v>
      </c>
      <c r="M755" s="37">
        <f t="shared" si="56"/>
        <v>1.7815849999999998</v>
      </c>
      <c r="N755" s="17" t="str">
        <f t="shared" si="57"/>
        <v>Over Budget</v>
      </c>
      <c r="O755" s="38">
        <f t="shared" si="58"/>
        <v>-16689.509999999998</v>
      </c>
      <c r="P755" s="39">
        <f t="shared" si="59"/>
        <v>45717</v>
      </c>
    </row>
    <row r="756" spans="1:16" ht="15.5" x14ac:dyDescent="0.35">
      <c r="A756" s="17" t="s">
        <v>804</v>
      </c>
      <c r="B756" s="35">
        <v>45799</v>
      </c>
      <c r="C756" s="17" t="s">
        <v>25</v>
      </c>
      <c r="D756" s="17" t="s">
        <v>13</v>
      </c>
      <c r="E756" s="17" t="s">
        <v>169</v>
      </c>
      <c r="F756" s="17" t="s">
        <v>28</v>
      </c>
      <c r="G756" s="17" t="s">
        <v>38</v>
      </c>
      <c r="H756" s="17" t="s">
        <v>2587</v>
      </c>
      <c r="I756" s="17" t="s">
        <v>48</v>
      </c>
      <c r="J756" s="36">
        <v>10000</v>
      </c>
      <c r="K756" s="36">
        <v>4570.46</v>
      </c>
      <c r="L756" s="36">
        <f t="shared" si="55"/>
        <v>-5429.54</v>
      </c>
      <c r="M756" s="37">
        <f t="shared" si="56"/>
        <v>-0.54295400000000005</v>
      </c>
      <c r="N756" s="17" t="str">
        <f t="shared" si="57"/>
        <v>Under Budget</v>
      </c>
      <c r="O756" s="38">
        <f t="shared" si="58"/>
        <v>4570.46</v>
      </c>
      <c r="P756" s="39">
        <f t="shared" si="59"/>
        <v>45778</v>
      </c>
    </row>
    <row r="757" spans="1:16" ht="15.5" x14ac:dyDescent="0.35">
      <c r="A757" s="17" t="s">
        <v>805</v>
      </c>
      <c r="B757" s="35">
        <v>45878</v>
      </c>
      <c r="C757" s="17" t="s">
        <v>25</v>
      </c>
      <c r="D757" s="17" t="s">
        <v>19</v>
      </c>
      <c r="E757" s="17" t="s">
        <v>27</v>
      </c>
      <c r="F757" s="17" t="s">
        <v>28</v>
      </c>
      <c r="G757" s="17" t="s">
        <v>38</v>
      </c>
      <c r="H757" s="17" t="s">
        <v>2590</v>
      </c>
      <c r="I757" s="17" t="s">
        <v>23</v>
      </c>
      <c r="J757" s="36">
        <v>13333.33</v>
      </c>
      <c r="K757" s="36">
        <v>4276.66</v>
      </c>
      <c r="L757" s="36">
        <f t="shared" si="55"/>
        <v>-9056.67</v>
      </c>
      <c r="M757" s="37">
        <f t="shared" si="56"/>
        <v>-0.67925041981260492</v>
      </c>
      <c r="N757" s="17" t="str">
        <f t="shared" si="57"/>
        <v>Under Budget</v>
      </c>
      <c r="O757" s="38">
        <f t="shared" si="58"/>
        <v>4276.66</v>
      </c>
      <c r="P757" s="39">
        <f t="shared" si="59"/>
        <v>45870</v>
      </c>
    </row>
    <row r="758" spans="1:16" ht="15.5" x14ac:dyDescent="0.35">
      <c r="A758" s="17" t="s">
        <v>806</v>
      </c>
      <c r="B758" s="35">
        <v>45831</v>
      </c>
      <c r="C758" s="17" t="s">
        <v>12</v>
      </c>
      <c r="D758" s="17" t="s">
        <v>2585</v>
      </c>
      <c r="E758" s="17" t="s">
        <v>37</v>
      </c>
      <c r="F758" s="17" t="s">
        <v>52</v>
      </c>
      <c r="G758" s="17" t="s">
        <v>38</v>
      </c>
      <c r="H758" s="17" t="s">
        <v>2598</v>
      </c>
      <c r="I758" s="17" t="s">
        <v>23</v>
      </c>
      <c r="J758" s="36">
        <v>7000</v>
      </c>
      <c r="K758" s="36">
        <v>2983.8</v>
      </c>
      <c r="L758" s="36">
        <f t="shared" si="55"/>
        <v>-4016.2</v>
      </c>
      <c r="M758" s="37">
        <f t="shared" si="56"/>
        <v>-0.57374285714285711</v>
      </c>
      <c r="N758" s="17" t="str">
        <f t="shared" si="57"/>
        <v>Under Budget</v>
      </c>
      <c r="O758" s="38">
        <f t="shared" si="58"/>
        <v>-2983.8</v>
      </c>
      <c r="P758" s="39">
        <f t="shared" si="59"/>
        <v>45809</v>
      </c>
    </row>
    <row r="759" spans="1:16" ht="15.5" x14ac:dyDescent="0.35">
      <c r="A759" s="17" t="s">
        <v>807</v>
      </c>
      <c r="B759" s="35">
        <v>46169</v>
      </c>
      <c r="C759" s="17" t="s">
        <v>12</v>
      </c>
      <c r="D759" s="17" t="s">
        <v>19</v>
      </c>
      <c r="E759" s="17" t="s">
        <v>51</v>
      </c>
      <c r="F759" s="17" t="s">
        <v>28</v>
      </c>
      <c r="G759" s="17" t="s">
        <v>38</v>
      </c>
      <c r="H759" s="17" t="s">
        <v>2593</v>
      </c>
      <c r="I759" s="17" t="s">
        <v>48</v>
      </c>
      <c r="J759" s="36">
        <v>2727.27</v>
      </c>
      <c r="K759" s="36">
        <v>5263.35</v>
      </c>
      <c r="L759" s="36">
        <f t="shared" si="55"/>
        <v>2536.0800000000004</v>
      </c>
      <c r="M759" s="37">
        <f t="shared" si="56"/>
        <v>0.92989692989693007</v>
      </c>
      <c r="N759" s="17" t="str">
        <f t="shared" si="57"/>
        <v>Over Budget</v>
      </c>
      <c r="O759" s="38">
        <f t="shared" si="58"/>
        <v>-5263.35</v>
      </c>
      <c r="P759" s="39">
        <f t="shared" si="59"/>
        <v>46143</v>
      </c>
    </row>
    <row r="760" spans="1:16" ht="15.5" x14ac:dyDescent="0.35">
      <c r="A760" s="17" t="s">
        <v>808</v>
      </c>
      <c r="B760" s="35">
        <v>46110</v>
      </c>
      <c r="C760" s="17" t="s">
        <v>12</v>
      </c>
      <c r="D760" s="17" t="s">
        <v>26</v>
      </c>
      <c r="E760" s="17" t="s">
        <v>37</v>
      </c>
      <c r="F760" s="17" t="s">
        <v>52</v>
      </c>
      <c r="G760" s="17" t="s">
        <v>82</v>
      </c>
      <c r="H760" s="17" t="s">
        <v>2589</v>
      </c>
      <c r="I760" s="17" t="s">
        <v>23</v>
      </c>
      <c r="J760" s="36">
        <v>4000</v>
      </c>
      <c r="K760" s="36">
        <v>1067.7</v>
      </c>
      <c r="L760" s="36">
        <f t="shared" si="55"/>
        <v>-2932.3</v>
      </c>
      <c r="M760" s="37">
        <f t="shared" si="56"/>
        <v>-0.73307500000000003</v>
      </c>
      <c r="N760" s="17" t="str">
        <f t="shared" si="57"/>
        <v>Under Budget</v>
      </c>
      <c r="O760" s="38">
        <f t="shared" si="58"/>
        <v>-1067.7</v>
      </c>
      <c r="P760" s="39">
        <f t="shared" si="59"/>
        <v>46082</v>
      </c>
    </row>
    <row r="761" spans="1:16" ht="15.5" x14ac:dyDescent="0.35">
      <c r="A761" s="17" t="s">
        <v>809</v>
      </c>
      <c r="B761" s="35">
        <v>45889</v>
      </c>
      <c r="C761" s="17" t="s">
        <v>25</v>
      </c>
      <c r="D761" s="17" t="s">
        <v>36</v>
      </c>
      <c r="E761" s="17" t="s">
        <v>27</v>
      </c>
      <c r="F761" s="17" t="s">
        <v>28</v>
      </c>
      <c r="G761" s="17" t="s">
        <v>38</v>
      </c>
      <c r="H761" s="17" t="s">
        <v>2597</v>
      </c>
      <c r="I761" s="17" t="s">
        <v>30</v>
      </c>
      <c r="J761" s="36">
        <v>13333.33</v>
      </c>
      <c r="K761" s="36">
        <v>5044.16</v>
      </c>
      <c r="L761" s="36">
        <f t="shared" si="55"/>
        <v>-8289.17</v>
      </c>
      <c r="M761" s="37">
        <f t="shared" si="56"/>
        <v>-0.62168790542197638</v>
      </c>
      <c r="N761" s="17" t="str">
        <f t="shared" si="57"/>
        <v>Under Budget</v>
      </c>
      <c r="O761" s="38">
        <f t="shared" si="58"/>
        <v>5044.16</v>
      </c>
      <c r="P761" s="39">
        <f t="shared" si="59"/>
        <v>45870</v>
      </c>
    </row>
    <row r="762" spans="1:16" ht="15.5" x14ac:dyDescent="0.35">
      <c r="A762" s="17" t="s">
        <v>810</v>
      </c>
      <c r="B762" s="35">
        <v>45695</v>
      </c>
      <c r="C762" s="17" t="s">
        <v>25</v>
      </c>
      <c r="D762" s="17" t="s">
        <v>32</v>
      </c>
      <c r="E762" s="17" t="s">
        <v>109</v>
      </c>
      <c r="F762" s="17" t="s">
        <v>21</v>
      </c>
      <c r="G762" s="17" t="s">
        <v>22</v>
      </c>
      <c r="H762" s="17" t="s">
        <v>2593</v>
      </c>
      <c r="I762" s="17" t="s">
        <v>23</v>
      </c>
      <c r="J762" s="36">
        <v>13857.14</v>
      </c>
      <c r="K762" s="36">
        <v>2175.83</v>
      </c>
      <c r="L762" s="36">
        <f t="shared" si="55"/>
        <v>-11681.31</v>
      </c>
      <c r="M762" s="37">
        <f t="shared" si="56"/>
        <v>-0.84298130783119751</v>
      </c>
      <c r="N762" s="17" t="str">
        <f t="shared" si="57"/>
        <v>Under Budget</v>
      </c>
      <c r="O762" s="38">
        <f t="shared" si="58"/>
        <v>2175.83</v>
      </c>
      <c r="P762" s="39">
        <f t="shared" si="59"/>
        <v>45689</v>
      </c>
    </row>
    <row r="763" spans="1:16" ht="15.5" x14ac:dyDescent="0.35">
      <c r="A763" s="17" t="s">
        <v>811</v>
      </c>
      <c r="B763" s="35">
        <v>46122</v>
      </c>
      <c r="C763" s="17" t="s">
        <v>12</v>
      </c>
      <c r="D763" s="17" t="s">
        <v>36</v>
      </c>
      <c r="E763" s="17" t="s">
        <v>45</v>
      </c>
      <c r="F763" s="17" t="s">
        <v>34</v>
      </c>
      <c r="G763" s="17" t="s">
        <v>29</v>
      </c>
      <c r="H763" s="17" t="s">
        <v>2594</v>
      </c>
      <c r="I763" s="17" t="s">
        <v>48</v>
      </c>
      <c r="J763" s="36">
        <v>8571.43</v>
      </c>
      <c r="K763" s="36">
        <v>11399.71</v>
      </c>
      <c r="L763" s="36">
        <f t="shared" si="55"/>
        <v>2828.2799999999988</v>
      </c>
      <c r="M763" s="37">
        <f t="shared" si="56"/>
        <v>0.32996594500567566</v>
      </c>
      <c r="N763" s="17" t="str">
        <f t="shared" si="57"/>
        <v>Over Budget</v>
      </c>
      <c r="O763" s="38">
        <f t="shared" si="58"/>
        <v>-11399.71</v>
      </c>
      <c r="P763" s="39">
        <f t="shared" si="59"/>
        <v>46113</v>
      </c>
    </row>
    <row r="764" spans="1:16" ht="15.5" x14ac:dyDescent="0.35">
      <c r="A764" s="17" t="s">
        <v>812</v>
      </c>
      <c r="B764" s="35">
        <v>45892</v>
      </c>
      <c r="C764" s="17" t="s">
        <v>12</v>
      </c>
      <c r="D764" s="17" t="s">
        <v>36</v>
      </c>
      <c r="E764" s="17" t="s">
        <v>77</v>
      </c>
      <c r="F764" s="17" t="s">
        <v>52</v>
      </c>
      <c r="G764" s="17" t="s">
        <v>82</v>
      </c>
      <c r="H764" s="17" t="s">
        <v>2597</v>
      </c>
      <c r="I764" s="17" t="s">
        <v>30</v>
      </c>
      <c r="J764" s="36">
        <v>3666.67</v>
      </c>
      <c r="K764" s="36">
        <v>2300.88</v>
      </c>
      <c r="L764" s="36">
        <f t="shared" si="55"/>
        <v>-1365.79</v>
      </c>
      <c r="M764" s="37">
        <f t="shared" si="56"/>
        <v>-0.37248784319286982</v>
      </c>
      <c r="N764" s="17" t="str">
        <f t="shared" si="57"/>
        <v>Under Budget</v>
      </c>
      <c r="O764" s="38">
        <f t="shared" si="58"/>
        <v>-2300.88</v>
      </c>
      <c r="P764" s="39">
        <f t="shared" si="59"/>
        <v>45870</v>
      </c>
    </row>
    <row r="765" spans="1:16" ht="15.5" x14ac:dyDescent="0.35">
      <c r="A765" s="17" t="s">
        <v>813</v>
      </c>
      <c r="B765" s="35">
        <v>46052</v>
      </c>
      <c r="C765" s="17" t="s">
        <v>12</v>
      </c>
      <c r="D765" s="17" t="s">
        <v>36</v>
      </c>
      <c r="E765" s="17" t="s">
        <v>74</v>
      </c>
      <c r="F765" s="17" t="s">
        <v>34</v>
      </c>
      <c r="G765" s="17" t="s">
        <v>38</v>
      </c>
      <c r="H765" s="17" t="s">
        <v>2590</v>
      </c>
      <c r="I765" s="17" t="s">
        <v>48</v>
      </c>
      <c r="J765" s="36">
        <v>4850</v>
      </c>
      <c r="K765" s="36">
        <v>2301.13</v>
      </c>
      <c r="L765" s="36">
        <f t="shared" si="55"/>
        <v>-2548.87</v>
      </c>
      <c r="M765" s="37">
        <f t="shared" si="56"/>
        <v>-0.52554020618556696</v>
      </c>
      <c r="N765" s="17" t="str">
        <f t="shared" si="57"/>
        <v>Under Budget</v>
      </c>
      <c r="O765" s="38">
        <f t="shared" si="58"/>
        <v>-2301.13</v>
      </c>
      <c r="P765" s="39">
        <f t="shared" si="59"/>
        <v>46023</v>
      </c>
    </row>
    <row r="766" spans="1:16" ht="15.5" x14ac:dyDescent="0.35">
      <c r="A766" s="17" t="s">
        <v>814</v>
      </c>
      <c r="B766" s="35">
        <v>45919</v>
      </c>
      <c r="C766" s="17" t="s">
        <v>12</v>
      </c>
      <c r="D766" s="17" t="s">
        <v>19</v>
      </c>
      <c r="E766" s="17" t="s">
        <v>20</v>
      </c>
      <c r="F766" s="17" t="s">
        <v>52</v>
      </c>
      <c r="G766" s="17" t="s">
        <v>82</v>
      </c>
      <c r="H766" s="17" t="s">
        <v>2598</v>
      </c>
      <c r="I766" s="17" t="s">
        <v>23</v>
      </c>
      <c r="J766" s="36">
        <v>3600</v>
      </c>
      <c r="K766" s="36">
        <v>726.73</v>
      </c>
      <c r="L766" s="36">
        <f t="shared" si="55"/>
        <v>-2873.27</v>
      </c>
      <c r="M766" s="37">
        <f t="shared" si="56"/>
        <v>-0.79813055555555557</v>
      </c>
      <c r="N766" s="17" t="str">
        <f t="shared" si="57"/>
        <v>Under Budget</v>
      </c>
      <c r="O766" s="38">
        <f t="shared" si="58"/>
        <v>-726.73</v>
      </c>
      <c r="P766" s="39">
        <f t="shared" si="59"/>
        <v>45901</v>
      </c>
    </row>
    <row r="767" spans="1:16" ht="15.5" x14ac:dyDescent="0.35">
      <c r="A767" s="17" t="s">
        <v>815</v>
      </c>
      <c r="B767" s="35">
        <v>45783</v>
      </c>
      <c r="C767" s="17" t="s">
        <v>12</v>
      </c>
      <c r="D767" s="17" t="s">
        <v>26</v>
      </c>
      <c r="E767" s="17" t="s">
        <v>41</v>
      </c>
      <c r="F767" s="17" t="s">
        <v>28</v>
      </c>
      <c r="G767" s="17" t="s">
        <v>38</v>
      </c>
      <c r="H767" s="17" t="s">
        <v>2597</v>
      </c>
      <c r="I767" s="17" t="s">
        <v>23</v>
      </c>
      <c r="J767" s="36">
        <v>4642.8599999999997</v>
      </c>
      <c r="K767" s="36">
        <v>3129.97</v>
      </c>
      <c r="L767" s="36">
        <f t="shared" si="55"/>
        <v>-1512.8899999999999</v>
      </c>
      <c r="M767" s="37">
        <f t="shared" si="56"/>
        <v>-0.32585303024428908</v>
      </c>
      <c r="N767" s="17" t="str">
        <f t="shared" si="57"/>
        <v>Under Budget</v>
      </c>
      <c r="O767" s="38">
        <f t="shared" si="58"/>
        <v>-3129.97</v>
      </c>
      <c r="P767" s="39">
        <f t="shared" si="59"/>
        <v>45778</v>
      </c>
    </row>
    <row r="768" spans="1:16" ht="15.5" x14ac:dyDescent="0.35">
      <c r="A768" s="17" t="s">
        <v>816</v>
      </c>
      <c r="B768" s="35">
        <v>46175</v>
      </c>
      <c r="C768" s="17" t="s">
        <v>25</v>
      </c>
      <c r="D768" s="17" t="s">
        <v>26</v>
      </c>
      <c r="E768" s="17" t="s">
        <v>33</v>
      </c>
      <c r="F768" s="17" t="s">
        <v>52</v>
      </c>
      <c r="G768" s="17" t="s">
        <v>38</v>
      </c>
      <c r="H768" s="17" t="s">
        <v>2588</v>
      </c>
      <c r="I768" s="17" t="s">
        <v>23</v>
      </c>
      <c r="J768" s="36">
        <v>10000</v>
      </c>
      <c r="K768" s="36">
        <v>18237.849999999999</v>
      </c>
      <c r="L768" s="36">
        <f t="shared" si="55"/>
        <v>8237.8499999999985</v>
      </c>
      <c r="M768" s="37">
        <f t="shared" si="56"/>
        <v>0.82378499999999988</v>
      </c>
      <c r="N768" s="17" t="str">
        <f t="shared" si="57"/>
        <v>Over Budget</v>
      </c>
      <c r="O768" s="38">
        <f t="shared" si="58"/>
        <v>18237.849999999999</v>
      </c>
      <c r="P768" s="39">
        <f t="shared" si="59"/>
        <v>46174</v>
      </c>
    </row>
    <row r="769" spans="1:16" ht="15.5" x14ac:dyDescent="0.35">
      <c r="A769" s="17" t="s">
        <v>817</v>
      </c>
      <c r="B769" s="35">
        <v>45807</v>
      </c>
      <c r="C769" s="17" t="s">
        <v>25</v>
      </c>
      <c r="D769" s="17" t="s">
        <v>32</v>
      </c>
      <c r="E769" s="17" t="s">
        <v>33</v>
      </c>
      <c r="F769" s="17" t="s">
        <v>52</v>
      </c>
      <c r="G769" s="17" t="s">
        <v>38</v>
      </c>
      <c r="H769" s="17" t="s">
        <v>60</v>
      </c>
      <c r="I769" s="17" t="s">
        <v>39</v>
      </c>
      <c r="J769" s="36">
        <v>9615.3799999999992</v>
      </c>
      <c r="K769" s="36">
        <v>5056.9399999999996</v>
      </c>
      <c r="L769" s="36">
        <f t="shared" si="55"/>
        <v>-4558.4399999999996</v>
      </c>
      <c r="M769" s="37">
        <f t="shared" si="56"/>
        <v>-0.47407798755743402</v>
      </c>
      <c r="N769" s="17" t="str">
        <f t="shared" si="57"/>
        <v>Under Budget</v>
      </c>
      <c r="O769" s="38">
        <f t="shared" si="58"/>
        <v>5056.9399999999996</v>
      </c>
      <c r="P769" s="39">
        <f t="shared" si="59"/>
        <v>45778</v>
      </c>
    </row>
    <row r="770" spans="1:16" ht="15.5" x14ac:dyDescent="0.35">
      <c r="A770" s="17" t="s">
        <v>818</v>
      </c>
      <c r="B770" s="35">
        <v>45803</v>
      </c>
      <c r="C770" s="17" t="s">
        <v>12</v>
      </c>
      <c r="D770" s="17" t="s">
        <v>26</v>
      </c>
      <c r="E770" s="17" t="s">
        <v>51</v>
      </c>
      <c r="F770" s="17" t="s">
        <v>21</v>
      </c>
      <c r="G770" s="17" t="s">
        <v>16</v>
      </c>
      <c r="H770" s="17" t="s">
        <v>2592</v>
      </c>
      <c r="I770" s="17" t="s">
        <v>17</v>
      </c>
      <c r="J770" s="36">
        <v>2307.69</v>
      </c>
      <c r="K770" s="36">
        <v>7388.18</v>
      </c>
      <c r="L770" s="36">
        <f t="shared" si="55"/>
        <v>5080.49</v>
      </c>
      <c r="M770" s="37">
        <f t="shared" si="56"/>
        <v>2.2015478682145346</v>
      </c>
      <c r="N770" s="17" t="str">
        <f t="shared" si="57"/>
        <v>Over Budget</v>
      </c>
      <c r="O770" s="38">
        <f t="shared" si="58"/>
        <v>-7388.18</v>
      </c>
      <c r="P770" s="39">
        <f t="shared" si="59"/>
        <v>45778</v>
      </c>
    </row>
    <row r="771" spans="1:16" ht="15.5" x14ac:dyDescent="0.35">
      <c r="A771" s="17" t="s">
        <v>819</v>
      </c>
      <c r="B771" s="35">
        <v>45766</v>
      </c>
      <c r="C771" s="17" t="s">
        <v>25</v>
      </c>
      <c r="D771" s="17" t="s">
        <v>32</v>
      </c>
      <c r="E771" s="17" t="s">
        <v>33</v>
      </c>
      <c r="F771" s="17" t="s">
        <v>52</v>
      </c>
      <c r="G771" s="17" t="s">
        <v>38</v>
      </c>
      <c r="H771" s="17" t="s">
        <v>2594</v>
      </c>
      <c r="I771" s="17" t="s">
        <v>30</v>
      </c>
      <c r="J771" s="36">
        <v>11363.64</v>
      </c>
      <c r="K771" s="36">
        <v>11501.5</v>
      </c>
      <c r="L771" s="36">
        <f t="shared" ref="L771:L834" si="60">K771-J771</f>
        <v>137.86000000000058</v>
      </c>
      <c r="M771" s="37">
        <f t="shared" ref="M771:M834" si="61">IF(J771=0,0,L771/J771)</f>
        <v>1.2131676117863694E-2</v>
      </c>
      <c r="N771" s="17" t="str">
        <f t="shared" ref="N771:N834" si="62">IF(J771=0,"No Budget",IF(K771&gt;J771,"Over Budget",IF(K771&lt;J771,"Under Budget","On Budget")))</f>
        <v>Over Budget</v>
      </c>
      <c r="O771" s="38">
        <f t="shared" ref="O771:O834" si="63">IF(C771="Revenue",K771,-K771)</f>
        <v>11501.5</v>
      </c>
      <c r="P771" s="39">
        <f t="shared" ref="P771:P834" si="64">DATE(YEAR(B771),MONTH(B771),1)</f>
        <v>45748</v>
      </c>
    </row>
    <row r="772" spans="1:16" ht="15.5" x14ac:dyDescent="0.35">
      <c r="A772" s="17" t="s">
        <v>820</v>
      </c>
      <c r="B772" s="35">
        <v>45741</v>
      </c>
      <c r="C772" s="17" t="s">
        <v>12</v>
      </c>
      <c r="D772" s="17" t="s">
        <v>2585</v>
      </c>
      <c r="E772" s="17" t="s">
        <v>65</v>
      </c>
      <c r="F772" s="17" t="s">
        <v>34</v>
      </c>
      <c r="G772" s="17" t="s">
        <v>43</v>
      </c>
      <c r="H772" s="17" t="s">
        <v>2591</v>
      </c>
      <c r="I772" s="17" t="s">
        <v>48</v>
      </c>
      <c r="J772" s="36">
        <v>3928.57</v>
      </c>
      <c r="K772" s="36">
        <v>8056.71</v>
      </c>
      <c r="L772" s="36">
        <f t="shared" si="60"/>
        <v>4128.1399999999994</v>
      </c>
      <c r="M772" s="37">
        <f t="shared" si="61"/>
        <v>1.0507996548362379</v>
      </c>
      <c r="N772" s="17" t="str">
        <f t="shared" si="62"/>
        <v>Over Budget</v>
      </c>
      <c r="O772" s="38">
        <f t="shared" si="63"/>
        <v>-8056.71</v>
      </c>
      <c r="P772" s="39">
        <f t="shared" si="64"/>
        <v>45717</v>
      </c>
    </row>
    <row r="773" spans="1:16" ht="15.5" x14ac:dyDescent="0.35">
      <c r="A773" s="17" t="s">
        <v>821</v>
      </c>
      <c r="B773" s="35">
        <v>46187</v>
      </c>
      <c r="C773" s="17" t="s">
        <v>12</v>
      </c>
      <c r="D773" s="17" t="s">
        <v>2584</v>
      </c>
      <c r="E773" s="17" t="s">
        <v>74</v>
      </c>
      <c r="F773" s="17" t="s">
        <v>28</v>
      </c>
      <c r="G773" s="17" t="s">
        <v>22</v>
      </c>
      <c r="H773" s="17" t="s">
        <v>2594</v>
      </c>
      <c r="I773" s="17" t="s">
        <v>30</v>
      </c>
      <c r="J773" s="36">
        <v>3076.92</v>
      </c>
      <c r="K773" s="36">
        <v>2444.4</v>
      </c>
      <c r="L773" s="36">
        <f t="shared" si="60"/>
        <v>-632.52</v>
      </c>
      <c r="M773" s="37">
        <f t="shared" si="61"/>
        <v>-0.20556920556920555</v>
      </c>
      <c r="N773" s="17" t="str">
        <f t="shared" si="62"/>
        <v>Under Budget</v>
      </c>
      <c r="O773" s="38">
        <f t="shared" si="63"/>
        <v>-2444.4</v>
      </c>
      <c r="P773" s="39">
        <f t="shared" si="64"/>
        <v>46174</v>
      </c>
    </row>
    <row r="774" spans="1:16" ht="15.5" x14ac:dyDescent="0.35">
      <c r="A774" s="17" t="s">
        <v>822</v>
      </c>
      <c r="B774" s="35">
        <v>45945</v>
      </c>
      <c r="C774" s="17" t="s">
        <v>25</v>
      </c>
      <c r="D774" s="17" t="s">
        <v>32</v>
      </c>
      <c r="E774" s="17" t="s">
        <v>33</v>
      </c>
      <c r="F774" s="17" t="s">
        <v>34</v>
      </c>
      <c r="G774" s="17" t="s">
        <v>16</v>
      </c>
      <c r="H774" s="17" t="s">
        <v>2591</v>
      </c>
      <c r="I774" s="17" t="s">
        <v>39</v>
      </c>
      <c r="J774" s="36">
        <v>8928.57</v>
      </c>
      <c r="K774" s="36">
        <v>1303.1199999999999</v>
      </c>
      <c r="L774" s="36">
        <f t="shared" si="60"/>
        <v>-7625.45</v>
      </c>
      <c r="M774" s="37">
        <f t="shared" si="61"/>
        <v>-0.85405053664808583</v>
      </c>
      <c r="N774" s="17" t="str">
        <f t="shared" si="62"/>
        <v>Under Budget</v>
      </c>
      <c r="O774" s="38">
        <f t="shared" si="63"/>
        <v>1303.1199999999999</v>
      </c>
      <c r="P774" s="39">
        <f t="shared" si="64"/>
        <v>45931</v>
      </c>
    </row>
    <row r="775" spans="1:16" ht="15.5" x14ac:dyDescent="0.35">
      <c r="A775" s="17" t="s">
        <v>823</v>
      </c>
      <c r="B775" s="35">
        <v>46032</v>
      </c>
      <c r="C775" s="17" t="s">
        <v>12</v>
      </c>
      <c r="D775" s="17" t="s">
        <v>26</v>
      </c>
      <c r="E775" s="17" t="s">
        <v>41</v>
      </c>
      <c r="F775" s="17" t="s">
        <v>34</v>
      </c>
      <c r="G775" s="17" t="s">
        <v>16</v>
      </c>
      <c r="H775" s="17" t="s">
        <v>2593</v>
      </c>
      <c r="I775" s="17" t="s">
        <v>23</v>
      </c>
      <c r="J775" s="36">
        <v>6305</v>
      </c>
      <c r="K775" s="36">
        <v>8417.31</v>
      </c>
      <c r="L775" s="36">
        <f t="shared" si="60"/>
        <v>2112.3099999999995</v>
      </c>
      <c r="M775" s="37">
        <f t="shared" si="61"/>
        <v>0.33502141157811255</v>
      </c>
      <c r="N775" s="17" t="str">
        <f t="shared" si="62"/>
        <v>Over Budget</v>
      </c>
      <c r="O775" s="38">
        <f t="shared" si="63"/>
        <v>-8417.31</v>
      </c>
      <c r="P775" s="39">
        <f t="shared" si="64"/>
        <v>46023</v>
      </c>
    </row>
    <row r="776" spans="1:16" ht="15.5" x14ac:dyDescent="0.35">
      <c r="A776" s="17" t="s">
        <v>824</v>
      </c>
      <c r="B776" s="35">
        <v>46137</v>
      </c>
      <c r="C776" s="17" t="s">
        <v>12</v>
      </c>
      <c r="D776" s="17" t="s">
        <v>2584</v>
      </c>
      <c r="E776" s="17" t="s">
        <v>45</v>
      </c>
      <c r="F776" s="17" t="s">
        <v>52</v>
      </c>
      <c r="G776" s="17" t="s">
        <v>22</v>
      </c>
      <c r="H776" s="17" t="s">
        <v>2593</v>
      </c>
      <c r="I776" s="17" t="s">
        <v>30</v>
      </c>
      <c r="J776" s="36">
        <v>8571.43</v>
      </c>
      <c r="K776" s="36">
        <v>14357.37</v>
      </c>
      <c r="L776" s="36">
        <f t="shared" si="60"/>
        <v>5785.9400000000005</v>
      </c>
      <c r="M776" s="37">
        <f t="shared" si="61"/>
        <v>0.67502622082896324</v>
      </c>
      <c r="N776" s="17" t="str">
        <f t="shared" si="62"/>
        <v>Over Budget</v>
      </c>
      <c r="O776" s="38">
        <f t="shared" si="63"/>
        <v>-14357.37</v>
      </c>
      <c r="P776" s="39">
        <f t="shared" si="64"/>
        <v>46113</v>
      </c>
    </row>
    <row r="777" spans="1:16" ht="15.5" x14ac:dyDescent="0.35">
      <c r="A777" s="17" t="s">
        <v>825</v>
      </c>
      <c r="B777" s="35">
        <v>45686</v>
      </c>
      <c r="C777" s="17" t="s">
        <v>12</v>
      </c>
      <c r="D777" s="17" t="s">
        <v>36</v>
      </c>
      <c r="E777" s="17" t="s">
        <v>47</v>
      </c>
      <c r="F777" s="17" t="s">
        <v>34</v>
      </c>
      <c r="G777" s="17" t="s">
        <v>38</v>
      </c>
      <c r="H777" s="17" t="s">
        <v>2595</v>
      </c>
      <c r="I777" s="17" t="s">
        <v>23</v>
      </c>
      <c r="J777" s="36">
        <v>5658.33</v>
      </c>
      <c r="K777" s="36">
        <v>821.1</v>
      </c>
      <c r="L777" s="36">
        <f t="shared" si="60"/>
        <v>-4837.2299999999996</v>
      </c>
      <c r="M777" s="37">
        <f t="shared" si="61"/>
        <v>-0.85488651245155367</v>
      </c>
      <c r="N777" s="17" t="str">
        <f t="shared" si="62"/>
        <v>Under Budget</v>
      </c>
      <c r="O777" s="38">
        <f t="shared" si="63"/>
        <v>-821.1</v>
      </c>
      <c r="P777" s="39">
        <f t="shared" si="64"/>
        <v>45658</v>
      </c>
    </row>
    <row r="778" spans="1:16" ht="15.5" x14ac:dyDescent="0.35">
      <c r="A778" s="17" t="s">
        <v>826</v>
      </c>
      <c r="B778" s="35">
        <v>46162</v>
      </c>
      <c r="C778" s="17" t="s">
        <v>12</v>
      </c>
      <c r="D778" s="17" t="s">
        <v>13</v>
      </c>
      <c r="E778" s="17" t="s">
        <v>45</v>
      </c>
      <c r="F778" s="17" t="s">
        <v>34</v>
      </c>
      <c r="G778" s="17" t="s">
        <v>38</v>
      </c>
      <c r="H778" s="17" t="s">
        <v>2597</v>
      </c>
      <c r="I778" s="17" t="s">
        <v>23</v>
      </c>
      <c r="J778" s="36">
        <v>16363.64</v>
      </c>
      <c r="K778" s="36">
        <v>7370.2</v>
      </c>
      <c r="L778" s="36">
        <f t="shared" si="60"/>
        <v>-8993.4399999999987</v>
      </c>
      <c r="M778" s="37">
        <f t="shared" si="61"/>
        <v>-0.54959898897800241</v>
      </c>
      <c r="N778" s="17" t="str">
        <f t="shared" si="62"/>
        <v>Under Budget</v>
      </c>
      <c r="O778" s="38">
        <f t="shared" si="63"/>
        <v>-7370.2</v>
      </c>
      <c r="P778" s="39">
        <f t="shared" si="64"/>
        <v>46143</v>
      </c>
    </row>
    <row r="779" spans="1:16" ht="15.5" x14ac:dyDescent="0.35">
      <c r="A779" s="17" t="s">
        <v>827</v>
      </c>
      <c r="B779" s="35">
        <v>46021</v>
      </c>
      <c r="C779" s="17" t="s">
        <v>12</v>
      </c>
      <c r="D779" s="17" t="s">
        <v>2584</v>
      </c>
      <c r="E779" s="17" t="s">
        <v>45</v>
      </c>
      <c r="F779" s="17" t="s">
        <v>52</v>
      </c>
      <c r="G779" s="17" t="s">
        <v>22</v>
      </c>
      <c r="H779" s="17" t="s">
        <v>2588</v>
      </c>
      <c r="I779" s="17" t="s">
        <v>2583</v>
      </c>
      <c r="J779" s="36">
        <v>7875</v>
      </c>
      <c r="K779" s="36">
        <v>8448.07</v>
      </c>
      <c r="L779" s="36">
        <f t="shared" si="60"/>
        <v>573.06999999999971</v>
      </c>
      <c r="M779" s="37">
        <f t="shared" si="61"/>
        <v>7.2770793650793614E-2</v>
      </c>
      <c r="N779" s="17" t="str">
        <f t="shared" si="62"/>
        <v>Over Budget</v>
      </c>
      <c r="O779" s="38">
        <f t="shared" si="63"/>
        <v>-8448.07</v>
      </c>
      <c r="P779" s="39">
        <f t="shared" si="64"/>
        <v>45992</v>
      </c>
    </row>
    <row r="780" spans="1:16" ht="15.5" x14ac:dyDescent="0.35">
      <c r="A780" s="17" t="s">
        <v>828</v>
      </c>
      <c r="B780" s="35">
        <v>45967</v>
      </c>
      <c r="C780" s="17" t="s">
        <v>25</v>
      </c>
      <c r="D780" s="17" t="s">
        <v>32</v>
      </c>
      <c r="E780" s="17" t="s">
        <v>109</v>
      </c>
      <c r="F780" s="17" t="s">
        <v>28</v>
      </c>
      <c r="G780" s="17" t="s">
        <v>82</v>
      </c>
      <c r="H780" s="17" t="s">
        <v>2595</v>
      </c>
      <c r="I780" s="17" t="s">
        <v>48</v>
      </c>
      <c r="J780" s="36">
        <v>9545.4500000000007</v>
      </c>
      <c r="K780" s="36">
        <v>8414.31</v>
      </c>
      <c r="L780" s="36">
        <f t="shared" si="60"/>
        <v>-1131.1400000000012</v>
      </c>
      <c r="M780" s="37">
        <f t="shared" si="61"/>
        <v>-0.11850043738116078</v>
      </c>
      <c r="N780" s="17" t="str">
        <f t="shared" si="62"/>
        <v>Under Budget</v>
      </c>
      <c r="O780" s="38">
        <f t="shared" si="63"/>
        <v>8414.31</v>
      </c>
      <c r="P780" s="39">
        <f t="shared" si="64"/>
        <v>45962</v>
      </c>
    </row>
    <row r="781" spans="1:16" ht="15.5" x14ac:dyDescent="0.35">
      <c r="A781" s="17" t="s">
        <v>829</v>
      </c>
      <c r="B781" s="35">
        <v>46183</v>
      </c>
      <c r="C781" s="17" t="s">
        <v>25</v>
      </c>
      <c r="D781" s="17" t="s">
        <v>32</v>
      </c>
      <c r="E781" s="17" t="s">
        <v>33</v>
      </c>
      <c r="F781" s="17" t="s">
        <v>34</v>
      </c>
      <c r="G781" s="17" t="s">
        <v>16</v>
      </c>
      <c r="H781" s="17" t="s">
        <v>2596</v>
      </c>
      <c r="I781" s="17" t="s">
        <v>39</v>
      </c>
      <c r="J781" s="36">
        <v>10000</v>
      </c>
      <c r="K781" s="36">
        <v>10750.4</v>
      </c>
      <c r="L781" s="36">
        <f t="shared" si="60"/>
        <v>750.39999999999964</v>
      </c>
      <c r="M781" s="37">
        <f t="shared" si="61"/>
        <v>7.5039999999999968E-2</v>
      </c>
      <c r="N781" s="17" t="str">
        <f t="shared" si="62"/>
        <v>Over Budget</v>
      </c>
      <c r="O781" s="38">
        <f t="shared" si="63"/>
        <v>10750.4</v>
      </c>
      <c r="P781" s="39">
        <f t="shared" si="64"/>
        <v>46174</v>
      </c>
    </row>
    <row r="782" spans="1:16" ht="15.5" x14ac:dyDescent="0.35">
      <c r="A782" s="17" t="s">
        <v>830</v>
      </c>
      <c r="B782" s="35">
        <v>46185</v>
      </c>
      <c r="C782" s="17" t="s">
        <v>25</v>
      </c>
      <c r="D782" s="17" t="s">
        <v>2585</v>
      </c>
      <c r="E782" s="17" t="s">
        <v>33</v>
      </c>
      <c r="F782" s="17" t="s">
        <v>52</v>
      </c>
      <c r="G782" s="17" t="s">
        <v>29</v>
      </c>
      <c r="H782" s="17" t="s">
        <v>2592</v>
      </c>
      <c r="I782" s="17" t="s">
        <v>30</v>
      </c>
      <c r="J782" s="36">
        <v>10000</v>
      </c>
      <c r="K782" s="36">
        <v>4509.1400000000003</v>
      </c>
      <c r="L782" s="36">
        <f t="shared" si="60"/>
        <v>-5490.86</v>
      </c>
      <c r="M782" s="37">
        <f t="shared" si="61"/>
        <v>-0.54908599999999996</v>
      </c>
      <c r="N782" s="17" t="str">
        <f t="shared" si="62"/>
        <v>Under Budget</v>
      </c>
      <c r="O782" s="38">
        <f t="shared" si="63"/>
        <v>4509.1400000000003</v>
      </c>
      <c r="P782" s="39">
        <f t="shared" si="64"/>
        <v>46174</v>
      </c>
    </row>
    <row r="783" spans="1:16" ht="15.5" x14ac:dyDescent="0.35">
      <c r="A783" s="17" t="s">
        <v>831</v>
      </c>
      <c r="B783" s="35">
        <v>45851</v>
      </c>
      <c r="C783" s="17" t="s">
        <v>12</v>
      </c>
      <c r="D783" s="17" t="s">
        <v>26</v>
      </c>
      <c r="E783" s="17" t="s">
        <v>14</v>
      </c>
      <c r="F783" s="17" t="s">
        <v>28</v>
      </c>
      <c r="G783" s="17" t="s">
        <v>82</v>
      </c>
      <c r="H783" s="17" t="s">
        <v>2592</v>
      </c>
      <c r="I783" s="17" t="s">
        <v>30</v>
      </c>
      <c r="J783" s="36">
        <v>4000</v>
      </c>
      <c r="K783" s="36">
        <v>3091.34</v>
      </c>
      <c r="L783" s="36">
        <f t="shared" si="60"/>
        <v>-908.65999999999985</v>
      </c>
      <c r="M783" s="37">
        <f t="shared" si="61"/>
        <v>-0.22716499999999995</v>
      </c>
      <c r="N783" s="17" t="str">
        <f t="shared" si="62"/>
        <v>Under Budget</v>
      </c>
      <c r="O783" s="38">
        <f t="shared" si="63"/>
        <v>-3091.34</v>
      </c>
      <c r="P783" s="39">
        <f t="shared" si="64"/>
        <v>45839</v>
      </c>
    </row>
    <row r="784" spans="1:16" ht="15.5" x14ac:dyDescent="0.35">
      <c r="A784" s="17" t="s">
        <v>832</v>
      </c>
      <c r="B784" s="35">
        <v>46196</v>
      </c>
      <c r="C784" s="17" t="s">
        <v>25</v>
      </c>
      <c r="D784" s="17" t="s">
        <v>32</v>
      </c>
      <c r="E784" s="17" t="s">
        <v>109</v>
      </c>
      <c r="F784" s="17" t="s">
        <v>52</v>
      </c>
      <c r="G784" s="17" t="s">
        <v>38</v>
      </c>
      <c r="H784" s="17" t="s">
        <v>2592</v>
      </c>
      <c r="I784" s="17" t="s">
        <v>39</v>
      </c>
      <c r="J784" s="36">
        <v>4761.8999999999996</v>
      </c>
      <c r="K784" s="36">
        <v>15986.02</v>
      </c>
      <c r="L784" s="36">
        <f t="shared" si="60"/>
        <v>11224.12</v>
      </c>
      <c r="M784" s="37">
        <f t="shared" si="61"/>
        <v>2.3570675570675572</v>
      </c>
      <c r="N784" s="17" t="str">
        <f t="shared" si="62"/>
        <v>Over Budget</v>
      </c>
      <c r="O784" s="38">
        <f t="shared" si="63"/>
        <v>15986.02</v>
      </c>
      <c r="P784" s="39">
        <f t="shared" si="64"/>
        <v>46174</v>
      </c>
    </row>
    <row r="785" spans="1:16" ht="15.5" x14ac:dyDescent="0.35">
      <c r="A785" s="17" t="s">
        <v>833</v>
      </c>
      <c r="B785" s="35">
        <v>46051</v>
      </c>
      <c r="C785" s="17" t="s">
        <v>12</v>
      </c>
      <c r="D785" s="17" t="s">
        <v>19</v>
      </c>
      <c r="E785" s="17" t="s">
        <v>45</v>
      </c>
      <c r="F785" s="17" t="s">
        <v>52</v>
      </c>
      <c r="G785" s="17" t="s">
        <v>22</v>
      </c>
      <c r="H785" s="17" t="s">
        <v>2590</v>
      </c>
      <c r="I785" s="17" t="s">
        <v>23</v>
      </c>
      <c r="J785" s="36">
        <v>6715.38</v>
      </c>
      <c r="K785" s="36">
        <v>1442.16</v>
      </c>
      <c r="L785" s="36">
        <f t="shared" si="60"/>
        <v>-5273.22</v>
      </c>
      <c r="M785" s="37">
        <f t="shared" si="61"/>
        <v>-0.78524521322695073</v>
      </c>
      <c r="N785" s="17" t="str">
        <f t="shared" si="62"/>
        <v>Under Budget</v>
      </c>
      <c r="O785" s="38">
        <f t="shared" si="63"/>
        <v>-1442.16</v>
      </c>
      <c r="P785" s="39">
        <f t="shared" si="64"/>
        <v>46023</v>
      </c>
    </row>
    <row r="786" spans="1:16" ht="15.5" x14ac:dyDescent="0.35">
      <c r="A786" s="17" t="s">
        <v>834</v>
      </c>
      <c r="B786" s="35">
        <v>45994</v>
      </c>
      <c r="C786" s="17" t="s">
        <v>25</v>
      </c>
      <c r="D786" s="17" t="s">
        <v>2584</v>
      </c>
      <c r="E786" s="17" t="s">
        <v>33</v>
      </c>
      <c r="F786" s="17" t="s">
        <v>34</v>
      </c>
      <c r="G786" s="17" t="s">
        <v>16</v>
      </c>
      <c r="H786" s="17" t="s">
        <v>2588</v>
      </c>
      <c r="I786" s="17" t="s">
        <v>23</v>
      </c>
      <c r="J786" s="36">
        <v>15441.18</v>
      </c>
      <c r="K786" s="36">
        <v>5570.06</v>
      </c>
      <c r="L786" s="36">
        <f t="shared" si="60"/>
        <v>-9871.119999999999</v>
      </c>
      <c r="M786" s="37">
        <f t="shared" si="61"/>
        <v>-0.63927238721393043</v>
      </c>
      <c r="N786" s="17" t="str">
        <f t="shared" si="62"/>
        <v>Under Budget</v>
      </c>
      <c r="O786" s="38">
        <f t="shared" si="63"/>
        <v>5570.06</v>
      </c>
      <c r="P786" s="39">
        <f t="shared" si="64"/>
        <v>45992</v>
      </c>
    </row>
    <row r="787" spans="1:16" ht="15.5" x14ac:dyDescent="0.35">
      <c r="A787" s="17" t="s">
        <v>835</v>
      </c>
      <c r="B787" s="35">
        <v>45871</v>
      </c>
      <c r="C787" s="17" t="s">
        <v>25</v>
      </c>
      <c r="D787" s="17" t="s">
        <v>32</v>
      </c>
      <c r="E787" s="17" t="s">
        <v>33</v>
      </c>
      <c r="F787" s="17" t="s">
        <v>34</v>
      </c>
      <c r="G787" s="17" t="s">
        <v>22</v>
      </c>
      <c r="H787" s="17" t="s">
        <v>2586</v>
      </c>
      <c r="I787" s="17" t="s">
        <v>30</v>
      </c>
      <c r="J787" s="36">
        <v>10416.67</v>
      </c>
      <c r="K787" s="36">
        <v>21030.3</v>
      </c>
      <c r="L787" s="36">
        <f t="shared" si="60"/>
        <v>10613.63</v>
      </c>
      <c r="M787" s="37">
        <f t="shared" si="61"/>
        <v>1.0189081539493907</v>
      </c>
      <c r="N787" s="17" t="str">
        <f t="shared" si="62"/>
        <v>Over Budget</v>
      </c>
      <c r="O787" s="38">
        <f t="shared" si="63"/>
        <v>21030.3</v>
      </c>
      <c r="P787" s="39">
        <f t="shared" si="64"/>
        <v>45870</v>
      </c>
    </row>
    <row r="788" spans="1:16" ht="15.5" x14ac:dyDescent="0.35">
      <c r="A788" s="17" t="s">
        <v>836</v>
      </c>
      <c r="B788" s="35">
        <v>45804</v>
      </c>
      <c r="C788" s="17" t="s">
        <v>12</v>
      </c>
      <c r="D788" s="17" t="s">
        <v>19</v>
      </c>
      <c r="E788" s="17" t="s">
        <v>41</v>
      </c>
      <c r="F788" s="17" t="s">
        <v>15</v>
      </c>
      <c r="G788" s="17" t="s">
        <v>38</v>
      </c>
      <c r="H788" s="17" t="s">
        <v>2594</v>
      </c>
      <c r="I788" s="17" t="s">
        <v>30</v>
      </c>
      <c r="J788" s="36">
        <v>4642.8599999999997</v>
      </c>
      <c r="K788" s="36">
        <v>11124.12</v>
      </c>
      <c r="L788" s="36">
        <f t="shared" si="60"/>
        <v>6481.2600000000011</v>
      </c>
      <c r="M788" s="37">
        <f t="shared" si="61"/>
        <v>1.3959628332536413</v>
      </c>
      <c r="N788" s="17" t="str">
        <f t="shared" si="62"/>
        <v>Over Budget</v>
      </c>
      <c r="O788" s="38">
        <f t="shared" si="63"/>
        <v>-11124.12</v>
      </c>
      <c r="P788" s="39">
        <f t="shared" si="64"/>
        <v>45778</v>
      </c>
    </row>
    <row r="789" spans="1:16" ht="15.5" x14ac:dyDescent="0.35">
      <c r="A789" s="17" t="s">
        <v>837</v>
      </c>
      <c r="B789" s="35">
        <v>45830</v>
      </c>
      <c r="C789" s="17" t="s">
        <v>12</v>
      </c>
      <c r="D789" s="17" t="s">
        <v>19</v>
      </c>
      <c r="E789" s="17" t="s">
        <v>65</v>
      </c>
      <c r="F789" s="17" t="s">
        <v>34</v>
      </c>
      <c r="G789" s="17" t="s">
        <v>22</v>
      </c>
      <c r="H789" s="17" t="s">
        <v>2596</v>
      </c>
      <c r="I789" s="17" t="s">
        <v>23</v>
      </c>
      <c r="J789" s="36">
        <v>5500</v>
      </c>
      <c r="K789" s="36">
        <v>2078.4699999999998</v>
      </c>
      <c r="L789" s="36">
        <f t="shared" si="60"/>
        <v>-3421.53</v>
      </c>
      <c r="M789" s="37">
        <f t="shared" si="61"/>
        <v>-0.62209636363636367</v>
      </c>
      <c r="N789" s="17" t="str">
        <f t="shared" si="62"/>
        <v>Under Budget</v>
      </c>
      <c r="O789" s="38">
        <f t="shared" si="63"/>
        <v>-2078.4699999999998</v>
      </c>
      <c r="P789" s="39">
        <f t="shared" si="64"/>
        <v>45809</v>
      </c>
    </row>
    <row r="790" spans="1:16" ht="15.5" x14ac:dyDescent="0.35">
      <c r="A790" s="17" t="s">
        <v>838</v>
      </c>
      <c r="B790" s="35">
        <v>45842</v>
      </c>
      <c r="C790" s="17" t="s">
        <v>25</v>
      </c>
      <c r="D790" s="17" t="s">
        <v>13</v>
      </c>
      <c r="E790" s="17" t="s">
        <v>109</v>
      </c>
      <c r="F790" s="17" t="s">
        <v>34</v>
      </c>
      <c r="G790" s="17" t="s">
        <v>38</v>
      </c>
      <c r="H790" s="17" t="s">
        <v>2591</v>
      </c>
      <c r="I790" s="17" t="s">
        <v>30</v>
      </c>
      <c r="J790" s="36">
        <v>7142.86</v>
      </c>
      <c r="K790" s="36">
        <v>6614.44</v>
      </c>
      <c r="L790" s="36">
        <f t="shared" si="60"/>
        <v>-528.42000000000007</v>
      </c>
      <c r="M790" s="37">
        <f t="shared" si="61"/>
        <v>-7.3978770408491851E-2</v>
      </c>
      <c r="N790" s="17" t="str">
        <f t="shared" si="62"/>
        <v>Under Budget</v>
      </c>
      <c r="O790" s="38">
        <f t="shared" si="63"/>
        <v>6614.44</v>
      </c>
      <c r="P790" s="39">
        <f t="shared" si="64"/>
        <v>45839</v>
      </c>
    </row>
    <row r="791" spans="1:16" ht="15.5" x14ac:dyDescent="0.35">
      <c r="A791" s="17" t="s">
        <v>839</v>
      </c>
      <c r="B791" s="35">
        <v>45680</v>
      </c>
      <c r="C791" s="17" t="s">
        <v>25</v>
      </c>
      <c r="D791" s="17" t="s">
        <v>36</v>
      </c>
      <c r="E791" s="17" t="s">
        <v>109</v>
      </c>
      <c r="F791" s="17" t="s">
        <v>34</v>
      </c>
      <c r="G791" s="17" t="s">
        <v>22</v>
      </c>
      <c r="H791" s="17" t="s">
        <v>60</v>
      </c>
      <c r="I791" s="17" t="s">
        <v>39</v>
      </c>
      <c r="J791" s="36">
        <v>9700</v>
      </c>
      <c r="K791" s="36">
        <v>9801.24</v>
      </c>
      <c r="L791" s="36">
        <f t="shared" si="60"/>
        <v>101.23999999999978</v>
      </c>
      <c r="M791" s="37">
        <f t="shared" si="61"/>
        <v>1.0437113402061833E-2</v>
      </c>
      <c r="N791" s="17" t="str">
        <f t="shared" si="62"/>
        <v>Over Budget</v>
      </c>
      <c r="O791" s="38">
        <f t="shared" si="63"/>
        <v>9801.24</v>
      </c>
      <c r="P791" s="39">
        <f t="shared" si="64"/>
        <v>45658</v>
      </c>
    </row>
    <row r="792" spans="1:16" ht="15.5" x14ac:dyDescent="0.35">
      <c r="A792" s="17" t="s">
        <v>840</v>
      </c>
      <c r="B792" s="35">
        <v>46195</v>
      </c>
      <c r="C792" s="17" t="s">
        <v>12</v>
      </c>
      <c r="D792" s="17" t="s">
        <v>36</v>
      </c>
      <c r="E792" s="17" t="s">
        <v>14</v>
      </c>
      <c r="F792" s="17" t="s">
        <v>52</v>
      </c>
      <c r="G792" s="17" t="s">
        <v>82</v>
      </c>
      <c r="H792" s="17" t="s">
        <v>2598</v>
      </c>
      <c r="I792" s="17" t="s">
        <v>39</v>
      </c>
      <c r="J792" s="36">
        <v>3555.56</v>
      </c>
      <c r="K792" s="36">
        <v>4243.3900000000003</v>
      </c>
      <c r="L792" s="36">
        <f t="shared" si="60"/>
        <v>687.83000000000038</v>
      </c>
      <c r="M792" s="37">
        <f t="shared" si="61"/>
        <v>0.19345194568506802</v>
      </c>
      <c r="N792" s="17" t="str">
        <f t="shared" si="62"/>
        <v>Over Budget</v>
      </c>
      <c r="O792" s="38">
        <f t="shared" si="63"/>
        <v>-4243.3900000000003</v>
      </c>
      <c r="P792" s="39">
        <f t="shared" si="64"/>
        <v>46174</v>
      </c>
    </row>
    <row r="793" spans="1:16" ht="15.5" x14ac:dyDescent="0.35">
      <c r="A793" s="17" t="s">
        <v>841</v>
      </c>
      <c r="B793" s="35">
        <v>45800</v>
      </c>
      <c r="C793" s="17" t="s">
        <v>25</v>
      </c>
      <c r="D793" s="17" t="s">
        <v>19</v>
      </c>
      <c r="E793" s="17" t="s">
        <v>33</v>
      </c>
      <c r="F793" s="17" t="s">
        <v>34</v>
      </c>
      <c r="G793" s="17" t="s">
        <v>16</v>
      </c>
      <c r="H793" s="17" t="s">
        <v>2590</v>
      </c>
      <c r="I793" s="17" t="s">
        <v>48</v>
      </c>
      <c r="J793" s="36">
        <v>9615.3799999999992</v>
      </c>
      <c r="K793" s="36">
        <v>12926.55</v>
      </c>
      <c r="L793" s="36">
        <f t="shared" si="60"/>
        <v>3311.17</v>
      </c>
      <c r="M793" s="37">
        <f t="shared" si="61"/>
        <v>0.3443618452936858</v>
      </c>
      <c r="N793" s="17" t="str">
        <f t="shared" si="62"/>
        <v>Over Budget</v>
      </c>
      <c r="O793" s="38">
        <f t="shared" si="63"/>
        <v>12926.55</v>
      </c>
      <c r="P793" s="39">
        <f t="shared" si="64"/>
        <v>45778</v>
      </c>
    </row>
    <row r="794" spans="1:16" ht="15.5" x14ac:dyDescent="0.35">
      <c r="A794" s="17" t="s">
        <v>842</v>
      </c>
      <c r="B794" s="35">
        <v>45802</v>
      </c>
      <c r="C794" s="17" t="s">
        <v>25</v>
      </c>
      <c r="D794" s="17" t="s">
        <v>2584</v>
      </c>
      <c r="E794" s="17" t="s">
        <v>33</v>
      </c>
      <c r="F794" s="17" t="s">
        <v>15</v>
      </c>
      <c r="G794" s="17" t="s">
        <v>82</v>
      </c>
      <c r="H794" s="17" t="s">
        <v>2590</v>
      </c>
      <c r="I794" s="17" t="s">
        <v>48</v>
      </c>
      <c r="J794" s="36">
        <v>9615.3799999999992</v>
      </c>
      <c r="K794" s="36">
        <v>21876.560000000001</v>
      </c>
      <c r="L794" s="36">
        <f t="shared" si="60"/>
        <v>12261.180000000002</v>
      </c>
      <c r="M794" s="37">
        <f t="shared" si="61"/>
        <v>1.2751633320783997</v>
      </c>
      <c r="N794" s="17" t="str">
        <f t="shared" si="62"/>
        <v>Over Budget</v>
      </c>
      <c r="O794" s="38">
        <f t="shared" si="63"/>
        <v>21876.560000000001</v>
      </c>
      <c r="P794" s="39">
        <f t="shared" si="64"/>
        <v>45778</v>
      </c>
    </row>
    <row r="795" spans="1:16" ht="15.5" x14ac:dyDescent="0.35">
      <c r="A795" s="17" t="s">
        <v>843</v>
      </c>
      <c r="B795" s="35">
        <v>45882</v>
      </c>
      <c r="C795" s="17" t="s">
        <v>12</v>
      </c>
      <c r="D795" s="17" t="s">
        <v>13</v>
      </c>
      <c r="E795" s="17" t="s">
        <v>74</v>
      </c>
      <c r="F795" s="17" t="s">
        <v>34</v>
      </c>
      <c r="G795" s="17" t="s">
        <v>16</v>
      </c>
      <c r="H795" s="17" t="s">
        <v>2589</v>
      </c>
      <c r="I795" s="17" t="s">
        <v>30</v>
      </c>
      <c r="J795" s="36">
        <v>5714.29</v>
      </c>
      <c r="K795" s="36">
        <v>3044.86</v>
      </c>
      <c r="L795" s="36">
        <f t="shared" si="60"/>
        <v>-2669.43</v>
      </c>
      <c r="M795" s="37">
        <f t="shared" si="61"/>
        <v>-0.46714989963757525</v>
      </c>
      <c r="N795" s="17" t="str">
        <f t="shared" si="62"/>
        <v>Under Budget</v>
      </c>
      <c r="O795" s="38">
        <f t="shared" si="63"/>
        <v>-3044.86</v>
      </c>
      <c r="P795" s="39">
        <f t="shared" si="64"/>
        <v>45870</v>
      </c>
    </row>
    <row r="796" spans="1:16" ht="15.5" x14ac:dyDescent="0.35">
      <c r="A796" s="17" t="s">
        <v>844</v>
      </c>
      <c r="B796" s="35">
        <v>45713</v>
      </c>
      <c r="C796" s="17" t="s">
        <v>12</v>
      </c>
      <c r="D796" s="17" t="s">
        <v>2584</v>
      </c>
      <c r="E796" s="17" t="s">
        <v>65</v>
      </c>
      <c r="F796" s="17" t="s">
        <v>15</v>
      </c>
      <c r="G796" s="17" t="s">
        <v>22</v>
      </c>
      <c r="H796" s="17" t="s">
        <v>2586</v>
      </c>
      <c r="I796" s="17" t="s">
        <v>48</v>
      </c>
      <c r="J796" s="36">
        <v>7621.43</v>
      </c>
      <c r="K796" s="36">
        <v>3155.15</v>
      </c>
      <c r="L796" s="36">
        <f t="shared" si="60"/>
        <v>-4466.2800000000007</v>
      </c>
      <c r="M796" s="37">
        <f t="shared" si="61"/>
        <v>-0.58601601011883608</v>
      </c>
      <c r="N796" s="17" t="str">
        <f t="shared" si="62"/>
        <v>Under Budget</v>
      </c>
      <c r="O796" s="38">
        <f t="shared" si="63"/>
        <v>-3155.15</v>
      </c>
      <c r="P796" s="39">
        <f t="shared" si="64"/>
        <v>45689</v>
      </c>
    </row>
    <row r="797" spans="1:16" ht="15.5" x14ac:dyDescent="0.35">
      <c r="A797" s="17" t="s">
        <v>845</v>
      </c>
      <c r="B797" s="35">
        <v>45967</v>
      </c>
      <c r="C797" s="17" t="s">
        <v>12</v>
      </c>
      <c r="D797" s="17" t="s">
        <v>36</v>
      </c>
      <c r="E797" s="17" t="s">
        <v>47</v>
      </c>
      <c r="F797" s="17" t="s">
        <v>28</v>
      </c>
      <c r="G797" s="17" t="s">
        <v>22</v>
      </c>
      <c r="H797" s="17" t="s">
        <v>2594</v>
      </c>
      <c r="I797" s="17" t="s">
        <v>23</v>
      </c>
      <c r="J797" s="36">
        <v>7350</v>
      </c>
      <c r="K797" s="36">
        <v>4359.12</v>
      </c>
      <c r="L797" s="36">
        <f t="shared" si="60"/>
        <v>-2990.88</v>
      </c>
      <c r="M797" s="37">
        <f t="shared" si="61"/>
        <v>-0.40692244897959184</v>
      </c>
      <c r="N797" s="17" t="str">
        <f t="shared" si="62"/>
        <v>Under Budget</v>
      </c>
      <c r="O797" s="38">
        <f t="shared" si="63"/>
        <v>-4359.12</v>
      </c>
      <c r="P797" s="39">
        <f t="shared" si="64"/>
        <v>45962</v>
      </c>
    </row>
    <row r="798" spans="1:16" ht="15.5" x14ac:dyDescent="0.35">
      <c r="A798" s="17" t="s">
        <v>846</v>
      </c>
      <c r="B798" s="35">
        <v>45867</v>
      </c>
      <c r="C798" s="17" t="s">
        <v>12</v>
      </c>
      <c r="D798" s="17" t="s">
        <v>32</v>
      </c>
      <c r="E798" s="17" t="s">
        <v>14</v>
      </c>
      <c r="F798" s="17" t="s">
        <v>34</v>
      </c>
      <c r="G798" s="17" t="s">
        <v>38</v>
      </c>
      <c r="H798" s="17" t="s">
        <v>2588</v>
      </c>
      <c r="I798" s="17" t="s">
        <v>23</v>
      </c>
      <c r="J798" s="36">
        <v>4000</v>
      </c>
      <c r="K798" s="36">
        <v>6817.32</v>
      </c>
      <c r="L798" s="36">
        <f t="shared" si="60"/>
        <v>2817.3199999999997</v>
      </c>
      <c r="M798" s="37">
        <f t="shared" si="61"/>
        <v>0.7043299999999999</v>
      </c>
      <c r="N798" s="17" t="str">
        <f t="shared" si="62"/>
        <v>Over Budget</v>
      </c>
      <c r="O798" s="38">
        <f t="shared" si="63"/>
        <v>-6817.32</v>
      </c>
      <c r="P798" s="39">
        <f t="shared" si="64"/>
        <v>45839</v>
      </c>
    </row>
    <row r="799" spans="1:16" ht="15.5" x14ac:dyDescent="0.35">
      <c r="A799" s="17" t="s">
        <v>847</v>
      </c>
      <c r="B799" s="35">
        <v>45855</v>
      </c>
      <c r="C799" s="17" t="s">
        <v>12</v>
      </c>
      <c r="D799" s="17" t="s">
        <v>2584</v>
      </c>
      <c r="E799" s="17" t="s">
        <v>65</v>
      </c>
      <c r="F799" s="17" t="s">
        <v>15</v>
      </c>
      <c r="G799" s="17" t="s">
        <v>43</v>
      </c>
      <c r="H799" s="17" t="s">
        <v>2589</v>
      </c>
      <c r="I799" s="17" t="s">
        <v>17</v>
      </c>
      <c r="J799" s="36">
        <v>3437.5</v>
      </c>
      <c r="K799" s="36">
        <v>6439.92</v>
      </c>
      <c r="L799" s="36">
        <f t="shared" si="60"/>
        <v>3002.42</v>
      </c>
      <c r="M799" s="37">
        <f t="shared" si="61"/>
        <v>0.87343127272727272</v>
      </c>
      <c r="N799" s="17" t="str">
        <f t="shared" si="62"/>
        <v>Over Budget</v>
      </c>
      <c r="O799" s="38">
        <f t="shared" si="63"/>
        <v>-6439.92</v>
      </c>
      <c r="P799" s="39">
        <f t="shared" si="64"/>
        <v>45839</v>
      </c>
    </row>
    <row r="800" spans="1:16" ht="15.5" x14ac:dyDescent="0.35">
      <c r="A800" s="17" t="s">
        <v>848</v>
      </c>
      <c r="B800" s="35">
        <v>45991</v>
      </c>
      <c r="C800" s="17" t="s">
        <v>12</v>
      </c>
      <c r="D800" s="17" t="s">
        <v>36</v>
      </c>
      <c r="E800" s="17" t="s">
        <v>65</v>
      </c>
      <c r="F800" s="17" t="s">
        <v>52</v>
      </c>
      <c r="G800" s="17" t="s">
        <v>38</v>
      </c>
      <c r="H800" s="17" t="s">
        <v>2593</v>
      </c>
      <c r="I800" s="17" t="s">
        <v>39</v>
      </c>
      <c r="J800" s="36">
        <v>11550</v>
      </c>
      <c r="K800" s="36">
        <v>8793.33</v>
      </c>
      <c r="L800" s="36">
        <f t="shared" si="60"/>
        <v>-2756.67</v>
      </c>
      <c r="M800" s="37">
        <f t="shared" si="61"/>
        <v>-0.23867272727272729</v>
      </c>
      <c r="N800" s="17" t="str">
        <f t="shared" si="62"/>
        <v>Under Budget</v>
      </c>
      <c r="O800" s="38">
        <f t="shared" si="63"/>
        <v>-8793.33</v>
      </c>
      <c r="P800" s="39">
        <f t="shared" si="64"/>
        <v>45962</v>
      </c>
    </row>
    <row r="801" spans="1:16" ht="15.5" x14ac:dyDescent="0.35">
      <c r="A801" s="17" t="s">
        <v>849</v>
      </c>
      <c r="B801" s="35">
        <v>46195</v>
      </c>
      <c r="C801" s="17" t="s">
        <v>25</v>
      </c>
      <c r="D801" s="17" t="s">
        <v>2585</v>
      </c>
      <c r="E801" s="17" t="s">
        <v>109</v>
      </c>
      <c r="F801" s="17" t="s">
        <v>52</v>
      </c>
      <c r="G801" s="17" t="s">
        <v>22</v>
      </c>
      <c r="H801" s="17" t="s">
        <v>2589</v>
      </c>
      <c r="I801" s="17" t="s">
        <v>30</v>
      </c>
      <c r="J801" s="36">
        <v>4761.8999999999996</v>
      </c>
      <c r="K801" s="36">
        <v>14380.97</v>
      </c>
      <c r="L801" s="36">
        <f t="shared" si="60"/>
        <v>9619.07</v>
      </c>
      <c r="M801" s="37">
        <f t="shared" si="61"/>
        <v>2.02000672000672</v>
      </c>
      <c r="N801" s="17" t="str">
        <f t="shared" si="62"/>
        <v>Over Budget</v>
      </c>
      <c r="O801" s="38">
        <f t="shared" si="63"/>
        <v>14380.97</v>
      </c>
      <c r="P801" s="39">
        <f t="shared" si="64"/>
        <v>46174</v>
      </c>
    </row>
    <row r="802" spans="1:16" ht="15.5" x14ac:dyDescent="0.35">
      <c r="A802" s="17" t="s">
        <v>850</v>
      </c>
      <c r="B802" s="35">
        <v>46136</v>
      </c>
      <c r="C802" s="17" t="s">
        <v>25</v>
      </c>
      <c r="D802" s="17" t="s">
        <v>36</v>
      </c>
      <c r="E802" s="17" t="s">
        <v>33</v>
      </c>
      <c r="F802" s="17" t="s">
        <v>21</v>
      </c>
      <c r="G802" s="17" t="s">
        <v>29</v>
      </c>
      <c r="H802" s="17" t="s">
        <v>2593</v>
      </c>
      <c r="I802" s="17" t="s">
        <v>23</v>
      </c>
      <c r="J802" s="36">
        <v>8333.33</v>
      </c>
      <c r="K802" s="36">
        <v>5189.17</v>
      </c>
      <c r="L802" s="36">
        <f t="shared" si="60"/>
        <v>-3144.16</v>
      </c>
      <c r="M802" s="37">
        <f t="shared" si="61"/>
        <v>-0.37729935091974037</v>
      </c>
      <c r="N802" s="17" t="str">
        <f t="shared" si="62"/>
        <v>Under Budget</v>
      </c>
      <c r="O802" s="38">
        <f t="shared" si="63"/>
        <v>5189.17</v>
      </c>
      <c r="P802" s="39">
        <f t="shared" si="64"/>
        <v>46113</v>
      </c>
    </row>
    <row r="803" spans="1:16" ht="15.5" x14ac:dyDescent="0.35">
      <c r="A803" s="17" t="s">
        <v>851</v>
      </c>
      <c r="B803" s="35">
        <v>45906</v>
      </c>
      <c r="C803" s="17" t="s">
        <v>25</v>
      </c>
      <c r="D803" s="17" t="s">
        <v>2585</v>
      </c>
      <c r="E803" s="17" t="s">
        <v>33</v>
      </c>
      <c r="F803" s="17" t="s">
        <v>15</v>
      </c>
      <c r="G803" s="17" t="s">
        <v>22</v>
      </c>
      <c r="H803" s="17" t="s">
        <v>2592</v>
      </c>
      <c r="I803" s="17" t="s">
        <v>23</v>
      </c>
      <c r="J803" s="36">
        <v>11904.76</v>
      </c>
      <c r="K803" s="36">
        <v>11076.52</v>
      </c>
      <c r="L803" s="36">
        <f t="shared" si="60"/>
        <v>-828.23999999999978</v>
      </c>
      <c r="M803" s="37">
        <f t="shared" si="61"/>
        <v>-6.9572171131547358E-2</v>
      </c>
      <c r="N803" s="17" t="str">
        <f t="shared" si="62"/>
        <v>Under Budget</v>
      </c>
      <c r="O803" s="38">
        <f t="shared" si="63"/>
        <v>11076.52</v>
      </c>
      <c r="P803" s="39">
        <f t="shared" si="64"/>
        <v>45901</v>
      </c>
    </row>
    <row r="804" spans="1:16" ht="15.5" x14ac:dyDescent="0.35">
      <c r="A804" s="17" t="s">
        <v>852</v>
      </c>
      <c r="B804" s="35">
        <v>45710</v>
      </c>
      <c r="C804" s="17" t="s">
        <v>25</v>
      </c>
      <c r="D804" s="17" t="s">
        <v>26</v>
      </c>
      <c r="E804" s="17" t="s">
        <v>27</v>
      </c>
      <c r="F804" s="17" t="s">
        <v>34</v>
      </c>
      <c r="G804" s="17" t="s">
        <v>43</v>
      </c>
      <c r="H804" s="17" t="s">
        <v>2590</v>
      </c>
      <c r="I804" s="17" t="s">
        <v>17</v>
      </c>
      <c r="J804" s="36">
        <v>4850</v>
      </c>
      <c r="K804" s="36">
        <v>2795.79</v>
      </c>
      <c r="L804" s="36">
        <f t="shared" si="60"/>
        <v>-2054.21</v>
      </c>
      <c r="M804" s="37">
        <f t="shared" si="61"/>
        <v>-0.42354845360824744</v>
      </c>
      <c r="N804" s="17" t="str">
        <f t="shared" si="62"/>
        <v>Under Budget</v>
      </c>
      <c r="O804" s="38">
        <f t="shared" si="63"/>
        <v>2795.79</v>
      </c>
      <c r="P804" s="39">
        <f t="shared" si="64"/>
        <v>45689</v>
      </c>
    </row>
    <row r="805" spans="1:16" ht="15.5" x14ac:dyDescent="0.35">
      <c r="A805" s="17" t="s">
        <v>853</v>
      </c>
      <c r="B805" s="35">
        <v>45799</v>
      </c>
      <c r="C805" s="17" t="s">
        <v>25</v>
      </c>
      <c r="D805" s="17" t="s">
        <v>32</v>
      </c>
      <c r="E805" s="17" t="s">
        <v>33</v>
      </c>
      <c r="F805" s="17" t="s">
        <v>52</v>
      </c>
      <c r="G805" s="17" t="s">
        <v>38</v>
      </c>
      <c r="H805" s="17" t="s">
        <v>2587</v>
      </c>
      <c r="I805" s="17" t="s">
        <v>48</v>
      </c>
      <c r="J805" s="36">
        <v>9615.3799999999992</v>
      </c>
      <c r="K805" s="36">
        <v>11880.98</v>
      </c>
      <c r="L805" s="36">
        <f t="shared" si="60"/>
        <v>2265.6000000000004</v>
      </c>
      <c r="M805" s="37">
        <f t="shared" si="61"/>
        <v>0.23562251309880636</v>
      </c>
      <c r="N805" s="17" t="str">
        <f t="shared" si="62"/>
        <v>Over Budget</v>
      </c>
      <c r="O805" s="38">
        <f t="shared" si="63"/>
        <v>11880.98</v>
      </c>
      <c r="P805" s="39">
        <f t="shared" si="64"/>
        <v>45778</v>
      </c>
    </row>
    <row r="806" spans="1:16" ht="15.5" x14ac:dyDescent="0.35">
      <c r="A806" s="17" t="s">
        <v>854</v>
      </c>
      <c r="B806" s="35">
        <v>45830</v>
      </c>
      <c r="C806" s="17" t="s">
        <v>12</v>
      </c>
      <c r="D806" s="17" t="s">
        <v>26</v>
      </c>
      <c r="E806" s="17" t="s">
        <v>77</v>
      </c>
      <c r="F806" s="17" t="s">
        <v>28</v>
      </c>
      <c r="G806" s="17" t="s">
        <v>82</v>
      </c>
      <c r="H806" s="17" t="s">
        <v>2587</v>
      </c>
      <c r="I806" s="17" t="s">
        <v>39</v>
      </c>
      <c r="J806" s="36">
        <v>3666.67</v>
      </c>
      <c r="K806" s="36">
        <v>2126.25</v>
      </c>
      <c r="L806" s="36">
        <f t="shared" si="60"/>
        <v>-1540.42</v>
      </c>
      <c r="M806" s="37">
        <f t="shared" si="61"/>
        <v>-0.42011416353257863</v>
      </c>
      <c r="N806" s="17" t="str">
        <f t="shared" si="62"/>
        <v>Under Budget</v>
      </c>
      <c r="O806" s="38">
        <f t="shared" si="63"/>
        <v>-2126.25</v>
      </c>
      <c r="P806" s="39">
        <f t="shared" si="64"/>
        <v>45809</v>
      </c>
    </row>
    <row r="807" spans="1:16" ht="15.5" x14ac:dyDescent="0.35">
      <c r="A807" s="17" t="s">
        <v>855</v>
      </c>
      <c r="B807" s="35">
        <v>46066</v>
      </c>
      <c r="C807" s="17" t="s">
        <v>12</v>
      </c>
      <c r="D807" s="17" t="s">
        <v>19</v>
      </c>
      <c r="E807" s="17" t="s">
        <v>14</v>
      </c>
      <c r="F807" s="17" t="s">
        <v>52</v>
      </c>
      <c r="G807" s="17" t="s">
        <v>43</v>
      </c>
      <c r="H807" s="17" t="s">
        <v>2595</v>
      </c>
      <c r="I807" s="17" t="s">
        <v>48</v>
      </c>
      <c r="J807" s="36">
        <v>5173.33</v>
      </c>
      <c r="K807" s="36">
        <v>1695.42</v>
      </c>
      <c r="L807" s="36">
        <f t="shared" si="60"/>
        <v>-3477.91</v>
      </c>
      <c r="M807" s="37">
        <f t="shared" si="61"/>
        <v>-0.67227685069384713</v>
      </c>
      <c r="N807" s="17" t="str">
        <f t="shared" si="62"/>
        <v>Under Budget</v>
      </c>
      <c r="O807" s="38">
        <f t="shared" si="63"/>
        <v>-1695.42</v>
      </c>
      <c r="P807" s="39">
        <f t="shared" si="64"/>
        <v>46054</v>
      </c>
    </row>
    <row r="808" spans="1:16" ht="15.5" x14ac:dyDescent="0.35">
      <c r="A808" s="17" t="s">
        <v>856</v>
      </c>
      <c r="B808" s="35">
        <v>45662</v>
      </c>
      <c r="C808" s="17" t="s">
        <v>12</v>
      </c>
      <c r="D808" s="17" t="s">
        <v>26</v>
      </c>
      <c r="E808" s="17" t="s">
        <v>65</v>
      </c>
      <c r="F808" s="17" t="s">
        <v>52</v>
      </c>
      <c r="G808" s="17" t="s">
        <v>43</v>
      </c>
      <c r="H808" s="17" t="s">
        <v>2591</v>
      </c>
      <c r="I808" s="17" t="s">
        <v>17</v>
      </c>
      <c r="J808" s="36">
        <v>3810.71</v>
      </c>
      <c r="K808" s="36">
        <v>4570.2299999999996</v>
      </c>
      <c r="L808" s="36">
        <f t="shared" si="60"/>
        <v>759.51999999999953</v>
      </c>
      <c r="M808" s="37">
        <f t="shared" si="61"/>
        <v>0.1993119392449175</v>
      </c>
      <c r="N808" s="17" t="str">
        <f t="shared" si="62"/>
        <v>Over Budget</v>
      </c>
      <c r="O808" s="38">
        <f t="shared" si="63"/>
        <v>-4570.2299999999996</v>
      </c>
      <c r="P808" s="39">
        <f t="shared" si="64"/>
        <v>45658</v>
      </c>
    </row>
    <row r="809" spans="1:16" ht="15.5" x14ac:dyDescent="0.35">
      <c r="A809" s="17" t="s">
        <v>857</v>
      </c>
      <c r="B809" s="35">
        <v>46060</v>
      </c>
      <c r="C809" s="17" t="s">
        <v>12</v>
      </c>
      <c r="D809" s="17" t="s">
        <v>13</v>
      </c>
      <c r="E809" s="17" t="s">
        <v>47</v>
      </c>
      <c r="F809" s="17" t="s">
        <v>21</v>
      </c>
      <c r="G809" s="17" t="s">
        <v>43</v>
      </c>
      <c r="H809" s="17" t="s">
        <v>2595</v>
      </c>
      <c r="I809" s="17" t="s">
        <v>23</v>
      </c>
      <c r="J809" s="36">
        <v>5658.33</v>
      </c>
      <c r="K809" s="36">
        <v>1202.3399999999999</v>
      </c>
      <c r="L809" s="36">
        <f t="shared" si="60"/>
        <v>-4455.99</v>
      </c>
      <c r="M809" s="37">
        <f t="shared" si="61"/>
        <v>-0.78750974227378034</v>
      </c>
      <c r="N809" s="17" t="str">
        <f t="shared" si="62"/>
        <v>Under Budget</v>
      </c>
      <c r="O809" s="38">
        <f t="shared" si="63"/>
        <v>-1202.3399999999999</v>
      </c>
      <c r="P809" s="39">
        <f t="shared" si="64"/>
        <v>46054</v>
      </c>
    </row>
    <row r="810" spans="1:16" ht="15.5" x14ac:dyDescent="0.35">
      <c r="A810" s="17" t="s">
        <v>858</v>
      </c>
      <c r="B810" s="35">
        <v>45681</v>
      </c>
      <c r="C810" s="17" t="s">
        <v>12</v>
      </c>
      <c r="D810" s="17" t="s">
        <v>13</v>
      </c>
      <c r="E810" s="17" t="s">
        <v>45</v>
      </c>
      <c r="F810" s="17" t="s">
        <v>15</v>
      </c>
      <c r="G810" s="17" t="s">
        <v>38</v>
      </c>
      <c r="H810" s="17" t="s">
        <v>2588</v>
      </c>
      <c r="I810" s="17" t="s">
        <v>39</v>
      </c>
      <c r="J810" s="36">
        <v>7591.3</v>
      </c>
      <c r="K810" s="36">
        <v>17208.23</v>
      </c>
      <c r="L810" s="36">
        <f t="shared" si="60"/>
        <v>9616.93</v>
      </c>
      <c r="M810" s="37">
        <f t="shared" si="61"/>
        <v>1.266835719837182</v>
      </c>
      <c r="N810" s="17" t="str">
        <f t="shared" si="62"/>
        <v>Over Budget</v>
      </c>
      <c r="O810" s="38">
        <f t="shared" si="63"/>
        <v>-17208.23</v>
      </c>
      <c r="P810" s="39">
        <f t="shared" si="64"/>
        <v>45658</v>
      </c>
    </row>
    <row r="811" spans="1:16" ht="15.5" x14ac:dyDescent="0.35">
      <c r="A811" s="17" t="s">
        <v>859</v>
      </c>
      <c r="B811" s="35">
        <v>46075</v>
      </c>
      <c r="C811" s="17" t="s">
        <v>12</v>
      </c>
      <c r="D811" s="17" t="s">
        <v>32</v>
      </c>
      <c r="E811" s="17" t="s">
        <v>45</v>
      </c>
      <c r="F811" s="17" t="s">
        <v>28</v>
      </c>
      <c r="G811" s="17" t="s">
        <v>38</v>
      </c>
      <c r="H811" s="17" t="s">
        <v>60</v>
      </c>
      <c r="I811" s="17" t="s">
        <v>48</v>
      </c>
      <c r="J811" s="36">
        <v>9189.4699999999993</v>
      </c>
      <c r="K811" s="36">
        <v>14393.41</v>
      </c>
      <c r="L811" s="36">
        <f t="shared" si="60"/>
        <v>5203.9400000000005</v>
      </c>
      <c r="M811" s="37">
        <f t="shared" si="61"/>
        <v>0.56629381237438081</v>
      </c>
      <c r="N811" s="17" t="str">
        <f t="shared" si="62"/>
        <v>Over Budget</v>
      </c>
      <c r="O811" s="38">
        <f t="shared" si="63"/>
        <v>-14393.41</v>
      </c>
      <c r="P811" s="39">
        <f t="shared" si="64"/>
        <v>46054</v>
      </c>
    </row>
    <row r="812" spans="1:16" ht="15.5" x14ac:dyDescent="0.35">
      <c r="A812" s="17" t="s">
        <v>860</v>
      </c>
      <c r="B812" s="35">
        <v>46037</v>
      </c>
      <c r="C812" s="17" t="s">
        <v>12</v>
      </c>
      <c r="D812" s="17" t="s">
        <v>13</v>
      </c>
      <c r="E812" s="17" t="s">
        <v>14</v>
      </c>
      <c r="F812" s="17" t="s">
        <v>15</v>
      </c>
      <c r="G812" s="17" t="s">
        <v>38</v>
      </c>
      <c r="H812" s="17" t="s">
        <v>2586</v>
      </c>
      <c r="I812" s="17" t="s">
        <v>39</v>
      </c>
      <c r="J812" s="36">
        <v>3104</v>
      </c>
      <c r="K812" s="36">
        <v>6822</v>
      </c>
      <c r="L812" s="36">
        <f t="shared" si="60"/>
        <v>3718</v>
      </c>
      <c r="M812" s="37">
        <f t="shared" si="61"/>
        <v>1.1978092783505154</v>
      </c>
      <c r="N812" s="17" t="str">
        <f t="shared" si="62"/>
        <v>Over Budget</v>
      </c>
      <c r="O812" s="38">
        <f t="shared" si="63"/>
        <v>-6822</v>
      </c>
      <c r="P812" s="39">
        <f t="shared" si="64"/>
        <v>46023</v>
      </c>
    </row>
    <row r="813" spans="1:16" ht="15.5" x14ac:dyDescent="0.35">
      <c r="A813" s="17" t="s">
        <v>861</v>
      </c>
      <c r="B813" s="35">
        <v>45908</v>
      </c>
      <c r="C813" s="17" t="s">
        <v>12</v>
      </c>
      <c r="D813" s="17" t="s">
        <v>13</v>
      </c>
      <c r="E813" s="17" t="s">
        <v>65</v>
      </c>
      <c r="F813" s="17" t="s">
        <v>52</v>
      </c>
      <c r="G813" s="17" t="s">
        <v>82</v>
      </c>
      <c r="H813" s="17" t="s">
        <v>2597</v>
      </c>
      <c r="I813" s="17" t="s">
        <v>23</v>
      </c>
      <c r="J813" s="36">
        <v>6111.11</v>
      </c>
      <c r="K813" s="36">
        <v>7687.64</v>
      </c>
      <c r="L813" s="36">
        <f t="shared" si="60"/>
        <v>1576.5300000000007</v>
      </c>
      <c r="M813" s="37">
        <f t="shared" si="61"/>
        <v>0.25797768326866982</v>
      </c>
      <c r="N813" s="17" t="str">
        <f t="shared" si="62"/>
        <v>Over Budget</v>
      </c>
      <c r="O813" s="38">
        <f t="shared" si="63"/>
        <v>-7687.64</v>
      </c>
      <c r="P813" s="39">
        <f t="shared" si="64"/>
        <v>45901</v>
      </c>
    </row>
    <row r="814" spans="1:16" ht="15.5" x14ac:dyDescent="0.35">
      <c r="A814" s="17" t="s">
        <v>862</v>
      </c>
      <c r="B814" s="35">
        <v>46016</v>
      </c>
      <c r="C814" s="17" t="s">
        <v>12</v>
      </c>
      <c r="D814" s="17" t="s">
        <v>2585</v>
      </c>
      <c r="E814" s="17" t="s">
        <v>20</v>
      </c>
      <c r="F814" s="17" t="s">
        <v>28</v>
      </c>
      <c r="G814" s="17" t="s">
        <v>22</v>
      </c>
      <c r="H814" s="17" t="s">
        <v>2590</v>
      </c>
      <c r="I814" s="17" t="s">
        <v>30</v>
      </c>
      <c r="J814" s="36">
        <v>2100</v>
      </c>
      <c r="K814" s="36">
        <v>1650.97</v>
      </c>
      <c r="L814" s="36">
        <f t="shared" si="60"/>
        <v>-449.03</v>
      </c>
      <c r="M814" s="37">
        <f t="shared" si="61"/>
        <v>-0.2138238095238095</v>
      </c>
      <c r="N814" s="17" t="str">
        <f t="shared" si="62"/>
        <v>Under Budget</v>
      </c>
      <c r="O814" s="38">
        <f t="shared" si="63"/>
        <v>-1650.97</v>
      </c>
      <c r="P814" s="39">
        <f t="shared" si="64"/>
        <v>45992</v>
      </c>
    </row>
    <row r="815" spans="1:16" ht="15.5" x14ac:dyDescent="0.35">
      <c r="A815" s="17" t="s">
        <v>863</v>
      </c>
      <c r="B815" s="35">
        <v>46159</v>
      </c>
      <c r="C815" s="17" t="s">
        <v>25</v>
      </c>
      <c r="D815" s="17" t="s">
        <v>32</v>
      </c>
      <c r="E815" s="17" t="s">
        <v>169</v>
      </c>
      <c r="F815" s="17" t="s">
        <v>34</v>
      </c>
      <c r="G815" s="17" t="s">
        <v>16</v>
      </c>
      <c r="H815" s="17" t="s">
        <v>2586</v>
      </c>
      <c r="I815" s="17" t="s">
        <v>23</v>
      </c>
      <c r="J815" s="36">
        <v>5000</v>
      </c>
      <c r="K815" s="36">
        <v>2984.92</v>
      </c>
      <c r="L815" s="36">
        <f t="shared" si="60"/>
        <v>-2015.08</v>
      </c>
      <c r="M815" s="37">
        <f t="shared" si="61"/>
        <v>-0.40301599999999999</v>
      </c>
      <c r="N815" s="17" t="str">
        <f t="shared" si="62"/>
        <v>Under Budget</v>
      </c>
      <c r="O815" s="38">
        <f t="shared" si="63"/>
        <v>2984.92</v>
      </c>
      <c r="P815" s="39">
        <f t="shared" si="64"/>
        <v>46143</v>
      </c>
    </row>
    <row r="816" spans="1:16" ht="15.5" x14ac:dyDescent="0.35">
      <c r="A816" s="17" t="s">
        <v>864</v>
      </c>
      <c r="B816" s="35">
        <v>46083</v>
      </c>
      <c r="C816" s="17" t="s">
        <v>12</v>
      </c>
      <c r="D816" s="17" t="s">
        <v>2584</v>
      </c>
      <c r="E816" s="17" t="s">
        <v>45</v>
      </c>
      <c r="F816" s="17" t="s">
        <v>34</v>
      </c>
      <c r="G816" s="17" t="s">
        <v>38</v>
      </c>
      <c r="H816" s="17" t="s">
        <v>2593</v>
      </c>
      <c r="I816" s="17" t="s">
        <v>48</v>
      </c>
      <c r="J816" s="36">
        <v>7200</v>
      </c>
      <c r="K816" s="36">
        <v>13384.35</v>
      </c>
      <c r="L816" s="36">
        <f t="shared" si="60"/>
        <v>6184.35</v>
      </c>
      <c r="M816" s="37">
        <f t="shared" si="61"/>
        <v>0.85893750000000002</v>
      </c>
      <c r="N816" s="17" t="str">
        <f t="shared" si="62"/>
        <v>Over Budget</v>
      </c>
      <c r="O816" s="38">
        <f t="shared" si="63"/>
        <v>-13384.35</v>
      </c>
      <c r="P816" s="39">
        <f t="shared" si="64"/>
        <v>46082</v>
      </c>
    </row>
    <row r="817" spans="1:16" ht="15.5" x14ac:dyDescent="0.35">
      <c r="A817" s="17" t="s">
        <v>865</v>
      </c>
      <c r="B817" s="35">
        <v>45693</v>
      </c>
      <c r="C817" s="17" t="s">
        <v>12</v>
      </c>
      <c r="D817" s="17" t="s">
        <v>26</v>
      </c>
      <c r="E817" s="17" t="s">
        <v>45</v>
      </c>
      <c r="F817" s="17" t="s">
        <v>15</v>
      </c>
      <c r="G817" s="17" t="s">
        <v>38</v>
      </c>
      <c r="H817" s="17" t="s">
        <v>60</v>
      </c>
      <c r="I817" s="17" t="s">
        <v>23</v>
      </c>
      <c r="J817" s="36">
        <v>11640</v>
      </c>
      <c r="K817" s="36">
        <v>6689.88</v>
      </c>
      <c r="L817" s="36">
        <f t="shared" si="60"/>
        <v>-4950.12</v>
      </c>
      <c r="M817" s="37">
        <f t="shared" si="61"/>
        <v>-0.42526804123711337</v>
      </c>
      <c r="N817" s="17" t="str">
        <f t="shared" si="62"/>
        <v>Under Budget</v>
      </c>
      <c r="O817" s="38">
        <f t="shared" si="63"/>
        <v>-6689.88</v>
      </c>
      <c r="P817" s="39">
        <f t="shared" si="64"/>
        <v>45689</v>
      </c>
    </row>
    <row r="818" spans="1:16" ht="15.5" x14ac:dyDescent="0.35">
      <c r="A818" s="17" t="s">
        <v>866</v>
      </c>
      <c r="B818" s="35">
        <v>45665</v>
      </c>
      <c r="C818" s="17" t="s">
        <v>25</v>
      </c>
      <c r="D818" s="17" t="s">
        <v>19</v>
      </c>
      <c r="E818" s="17" t="s">
        <v>33</v>
      </c>
      <c r="F818" s="17" t="s">
        <v>52</v>
      </c>
      <c r="G818" s="17" t="s">
        <v>22</v>
      </c>
      <c r="H818" s="17" t="s">
        <v>2595</v>
      </c>
      <c r="I818" s="17" t="s">
        <v>23</v>
      </c>
      <c r="J818" s="36">
        <v>11022.73</v>
      </c>
      <c r="K818" s="36">
        <v>17734.11</v>
      </c>
      <c r="L818" s="36">
        <f t="shared" si="60"/>
        <v>6711.380000000001</v>
      </c>
      <c r="M818" s="37">
        <f t="shared" si="61"/>
        <v>0.60886731326994326</v>
      </c>
      <c r="N818" s="17" t="str">
        <f t="shared" si="62"/>
        <v>Over Budget</v>
      </c>
      <c r="O818" s="38">
        <f t="shared" si="63"/>
        <v>17734.11</v>
      </c>
      <c r="P818" s="39">
        <f t="shared" si="64"/>
        <v>45658</v>
      </c>
    </row>
    <row r="819" spans="1:16" ht="15.5" x14ac:dyDescent="0.35">
      <c r="A819" s="17" t="s">
        <v>867</v>
      </c>
      <c r="B819" s="35">
        <v>45911</v>
      </c>
      <c r="C819" s="17" t="s">
        <v>12</v>
      </c>
      <c r="D819" s="17" t="s">
        <v>13</v>
      </c>
      <c r="E819" s="17" t="s">
        <v>47</v>
      </c>
      <c r="F819" s="17" t="s">
        <v>52</v>
      </c>
      <c r="G819" s="17" t="s">
        <v>29</v>
      </c>
      <c r="H819" s="17" t="s">
        <v>2587</v>
      </c>
      <c r="I819" s="17" t="s">
        <v>48</v>
      </c>
      <c r="J819" s="36">
        <v>3500</v>
      </c>
      <c r="K819" s="36">
        <v>4472.3</v>
      </c>
      <c r="L819" s="36">
        <f t="shared" si="60"/>
        <v>972.30000000000018</v>
      </c>
      <c r="M819" s="37">
        <f t="shared" si="61"/>
        <v>0.27780000000000005</v>
      </c>
      <c r="N819" s="17" t="str">
        <f t="shared" si="62"/>
        <v>Over Budget</v>
      </c>
      <c r="O819" s="38">
        <f t="shared" si="63"/>
        <v>-4472.3</v>
      </c>
      <c r="P819" s="39">
        <f t="shared" si="64"/>
        <v>45901</v>
      </c>
    </row>
    <row r="820" spans="1:16" ht="15.5" x14ac:dyDescent="0.35">
      <c r="A820" s="17" t="s">
        <v>868</v>
      </c>
      <c r="B820" s="35">
        <v>46022</v>
      </c>
      <c r="C820" s="17" t="s">
        <v>12</v>
      </c>
      <c r="D820" s="17" t="s">
        <v>2585</v>
      </c>
      <c r="E820" s="17" t="s">
        <v>45</v>
      </c>
      <c r="F820" s="17" t="s">
        <v>52</v>
      </c>
      <c r="G820" s="17" t="s">
        <v>82</v>
      </c>
      <c r="H820" s="17" t="s">
        <v>2598</v>
      </c>
      <c r="I820" s="17" t="s">
        <v>23</v>
      </c>
      <c r="J820" s="36">
        <v>7875</v>
      </c>
      <c r="K820" s="36">
        <v>13211.89</v>
      </c>
      <c r="L820" s="36">
        <f t="shared" si="60"/>
        <v>5336.8899999999994</v>
      </c>
      <c r="M820" s="37">
        <f t="shared" si="61"/>
        <v>0.67770031746031734</v>
      </c>
      <c r="N820" s="17" t="str">
        <f t="shared" si="62"/>
        <v>Over Budget</v>
      </c>
      <c r="O820" s="38">
        <f t="shared" si="63"/>
        <v>-13211.89</v>
      </c>
      <c r="P820" s="39">
        <f t="shared" si="64"/>
        <v>45992</v>
      </c>
    </row>
    <row r="821" spans="1:16" ht="15.5" x14ac:dyDescent="0.35">
      <c r="A821" s="17" t="s">
        <v>869</v>
      </c>
      <c r="B821" s="35">
        <v>45704</v>
      </c>
      <c r="C821" s="17" t="s">
        <v>25</v>
      </c>
      <c r="D821" s="17" t="s">
        <v>32</v>
      </c>
      <c r="E821" s="17" t="s">
        <v>33</v>
      </c>
      <c r="F821" s="17" t="s">
        <v>52</v>
      </c>
      <c r="G821" s="17" t="s">
        <v>82</v>
      </c>
      <c r="H821" s="17" t="s">
        <v>2596</v>
      </c>
      <c r="I821" s="17" t="s">
        <v>23</v>
      </c>
      <c r="J821" s="36">
        <v>13472.22</v>
      </c>
      <c r="K821" s="36">
        <v>21409.77</v>
      </c>
      <c r="L821" s="36">
        <f t="shared" si="60"/>
        <v>7937.5500000000011</v>
      </c>
      <c r="M821" s="37">
        <f t="shared" si="61"/>
        <v>0.58917906625634098</v>
      </c>
      <c r="N821" s="17" t="str">
        <f t="shared" si="62"/>
        <v>Over Budget</v>
      </c>
      <c r="O821" s="38">
        <f t="shared" si="63"/>
        <v>21409.77</v>
      </c>
      <c r="P821" s="39">
        <f t="shared" si="64"/>
        <v>45689</v>
      </c>
    </row>
    <row r="822" spans="1:16" ht="15.5" x14ac:dyDescent="0.35">
      <c r="A822" s="17" t="s">
        <v>870</v>
      </c>
      <c r="B822" s="35">
        <v>45728</v>
      </c>
      <c r="C822" s="17" t="s">
        <v>25</v>
      </c>
      <c r="D822" s="17" t="s">
        <v>19</v>
      </c>
      <c r="E822" s="17" t="s">
        <v>33</v>
      </c>
      <c r="F822" s="17" t="s">
        <v>34</v>
      </c>
      <c r="G822" s="17" t="s">
        <v>22</v>
      </c>
      <c r="H822" s="17" t="s">
        <v>2590</v>
      </c>
      <c r="I822" s="17" t="s">
        <v>48</v>
      </c>
      <c r="J822" s="36">
        <v>8064.52</v>
      </c>
      <c r="K822" s="36">
        <v>11179.19</v>
      </c>
      <c r="L822" s="36">
        <f t="shared" si="60"/>
        <v>3114.67</v>
      </c>
      <c r="M822" s="37">
        <f t="shared" si="61"/>
        <v>0.38621889461493059</v>
      </c>
      <c r="N822" s="17" t="str">
        <f t="shared" si="62"/>
        <v>Over Budget</v>
      </c>
      <c r="O822" s="38">
        <f t="shared" si="63"/>
        <v>11179.19</v>
      </c>
      <c r="P822" s="39">
        <f t="shared" si="64"/>
        <v>45717</v>
      </c>
    </row>
    <row r="823" spans="1:16" ht="15.5" x14ac:dyDescent="0.35">
      <c r="A823" s="17" t="s">
        <v>871</v>
      </c>
      <c r="B823" s="35">
        <v>45997</v>
      </c>
      <c r="C823" s="17" t="s">
        <v>12</v>
      </c>
      <c r="D823" s="17" t="s">
        <v>2585</v>
      </c>
      <c r="E823" s="17" t="s">
        <v>41</v>
      </c>
      <c r="F823" s="17" t="s">
        <v>34</v>
      </c>
      <c r="G823" s="17" t="s">
        <v>22</v>
      </c>
      <c r="H823" s="17" t="s">
        <v>2592</v>
      </c>
      <c r="I823" s="17" t="s">
        <v>39</v>
      </c>
      <c r="J823" s="36">
        <v>5250</v>
      </c>
      <c r="K823" s="36">
        <v>8629.27</v>
      </c>
      <c r="L823" s="36">
        <f t="shared" si="60"/>
        <v>3379.2700000000004</v>
      </c>
      <c r="M823" s="37">
        <f t="shared" si="61"/>
        <v>0.64367047619047624</v>
      </c>
      <c r="N823" s="17" t="str">
        <f t="shared" si="62"/>
        <v>Over Budget</v>
      </c>
      <c r="O823" s="38">
        <f t="shared" si="63"/>
        <v>-8629.27</v>
      </c>
      <c r="P823" s="39">
        <f t="shared" si="64"/>
        <v>45992</v>
      </c>
    </row>
    <row r="824" spans="1:16" ht="15.5" x14ac:dyDescent="0.35">
      <c r="A824" s="17" t="s">
        <v>872</v>
      </c>
      <c r="B824" s="35">
        <v>45766</v>
      </c>
      <c r="C824" s="17" t="s">
        <v>12</v>
      </c>
      <c r="D824" s="17" t="s">
        <v>19</v>
      </c>
      <c r="E824" s="17" t="s">
        <v>74</v>
      </c>
      <c r="F824" s="17" t="s">
        <v>34</v>
      </c>
      <c r="G824" s="17" t="s">
        <v>16</v>
      </c>
      <c r="H824" s="17" t="s">
        <v>2590</v>
      </c>
      <c r="I824" s="17" t="s">
        <v>23</v>
      </c>
      <c r="J824" s="36">
        <v>5714.29</v>
      </c>
      <c r="K824" s="36">
        <v>4951.3</v>
      </c>
      <c r="L824" s="36">
        <f t="shared" si="60"/>
        <v>-762.98999999999978</v>
      </c>
      <c r="M824" s="37">
        <f t="shared" si="61"/>
        <v>-0.13352314985763758</v>
      </c>
      <c r="N824" s="17" t="str">
        <f t="shared" si="62"/>
        <v>Under Budget</v>
      </c>
      <c r="O824" s="38">
        <f t="shared" si="63"/>
        <v>-4951.3</v>
      </c>
      <c r="P824" s="39">
        <f t="shared" si="64"/>
        <v>45748</v>
      </c>
    </row>
    <row r="825" spans="1:16" ht="15.5" x14ac:dyDescent="0.35">
      <c r="A825" s="17" t="s">
        <v>873</v>
      </c>
      <c r="B825" s="35">
        <v>45845</v>
      </c>
      <c r="C825" s="17" t="s">
        <v>25</v>
      </c>
      <c r="D825" s="17" t="s">
        <v>19</v>
      </c>
      <c r="E825" s="17" t="s">
        <v>33</v>
      </c>
      <c r="F825" s="17" t="s">
        <v>34</v>
      </c>
      <c r="G825" s="17" t="s">
        <v>38</v>
      </c>
      <c r="H825" s="17" t="s">
        <v>2595</v>
      </c>
      <c r="I825" s="17" t="s">
        <v>39</v>
      </c>
      <c r="J825" s="36">
        <v>12500</v>
      </c>
      <c r="K825" s="36">
        <v>21650.67</v>
      </c>
      <c r="L825" s="36">
        <f t="shared" si="60"/>
        <v>9150.6699999999983</v>
      </c>
      <c r="M825" s="37">
        <f t="shared" si="61"/>
        <v>0.73205359999999986</v>
      </c>
      <c r="N825" s="17" t="str">
        <f t="shared" si="62"/>
        <v>Over Budget</v>
      </c>
      <c r="O825" s="38">
        <f t="shared" si="63"/>
        <v>21650.67</v>
      </c>
      <c r="P825" s="39">
        <f t="shared" si="64"/>
        <v>45839</v>
      </c>
    </row>
    <row r="826" spans="1:16" ht="15.5" x14ac:dyDescent="0.35">
      <c r="A826" s="17" t="s">
        <v>874</v>
      </c>
      <c r="B826" s="35">
        <v>45880</v>
      </c>
      <c r="C826" s="17" t="s">
        <v>12</v>
      </c>
      <c r="D826" s="17" t="s">
        <v>26</v>
      </c>
      <c r="E826" s="17" t="s">
        <v>74</v>
      </c>
      <c r="F826" s="17" t="s">
        <v>52</v>
      </c>
      <c r="G826" s="17" t="s">
        <v>38</v>
      </c>
      <c r="H826" s="17" t="s">
        <v>2590</v>
      </c>
      <c r="I826" s="17" t="s">
        <v>48</v>
      </c>
      <c r="J826" s="36">
        <v>5714.29</v>
      </c>
      <c r="K826" s="36">
        <v>1579.76</v>
      </c>
      <c r="L826" s="36">
        <f t="shared" si="60"/>
        <v>-4134.53</v>
      </c>
      <c r="M826" s="37">
        <f t="shared" si="61"/>
        <v>-0.7235422073433444</v>
      </c>
      <c r="N826" s="17" t="str">
        <f t="shared" si="62"/>
        <v>Under Budget</v>
      </c>
      <c r="O826" s="38">
        <f t="shared" si="63"/>
        <v>-1579.76</v>
      </c>
      <c r="P826" s="39">
        <f t="shared" si="64"/>
        <v>45870</v>
      </c>
    </row>
    <row r="827" spans="1:16" ht="15.5" x14ac:dyDescent="0.35">
      <c r="A827" s="17" t="s">
        <v>875</v>
      </c>
      <c r="B827" s="35">
        <v>45958</v>
      </c>
      <c r="C827" s="17" t="s">
        <v>25</v>
      </c>
      <c r="D827" s="17" t="s">
        <v>32</v>
      </c>
      <c r="E827" s="17" t="s">
        <v>33</v>
      </c>
      <c r="F827" s="17" t="s">
        <v>52</v>
      </c>
      <c r="G827" s="17" t="s">
        <v>82</v>
      </c>
      <c r="H827" s="17" t="s">
        <v>2597</v>
      </c>
      <c r="I827" s="17" t="s">
        <v>23</v>
      </c>
      <c r="J827" s="36">
        <v>8928.57</v>
      </c>
      <c r="K827" s="36">
        <v>18411.11</v>
      </c>
      <c r="L827" s="36">
        <f t="shared" si="60"/>
        <v>9482.5400000000009</v>
      </c>
      <c r="M827" s="37">
        <f t="shared" si="61"/>
        <v>1.0620446499271441</v>
      </c>
      <c r="N827" s="17" t="str">
        <f t="shared" si="62"/>
        <v>Over Budget</v>
      </c>
      <c r="O827" s="38">
        <f t="shared" si="63"/>
        <v>18411.11</v>
      </c>
      <c r="P827" s="39">
        <f t="shared" si="64"/>
        <v>45931</v>
      </c>
    </row>
    <row r="828" spans="1:16" ht="15.5" x14ac:dyDescent="0.35">
      <c r="A828" s="17" t="s">
        <v>876</v>
      </c>
      <c r="B828" s="35">
        <v>45955</v>
      </c>
      <c r="C828" s="17" t="s">
        <v>25</v>
      </c>
      <c r="D828" s="17" t="s">
        <v>32</v>
      </c>
      <c r="E828" s="17" t="s">
        <v>109</v>
      </c>
      <c r="F828" s="17" t="s">
        <v>52</v>
      </c>
      <c r="G828" s="17" t="s">
        <v>29</v>
      </c>
      <c r="H828" s="17" t="s">
        <v>2587</v>
      </c>
      <c r="I828" s="17" t="s">
        <v>2583</v>
      </c>
      <c r="J828" s="36">
        <v>7692.31</v>
      </c>
      <c r="K828" s="36">
        <v>9416.23</v>
      </c>
      <c r="L828" s="36">
        <f t="shared" si="60"/>
        <v>1723.9199999999992</v>
      </c>
      <c r="M828" s="37">
        <f t="shared" si="61"/>
        <v>0.22410953276714005</v>
      </c>
      <c r="N828" s="17" t="str">
        <f t="shared" si="62"/>
        <v>Over Budget</v>
      </c>
      <c r="O828" s="38">
        <f t="shared" si="63"/>
        <v>9416.23</v>
      </c>
      <c r="P828" s="39">
        <f t="shared" si="64"/>
        <v>45931</v>
      </c>
    </row>
    <row r="829" spans="1:16" ht="15.5" x14ac:dyDescent="0.35">
      <c r="A829" s="17" t="s">
        <v>877</v>
      </c>
      <c r="B829" s="35">
        <v>45822</v>
      </c>
      <c r="C829" s="17" t="s">
        <v>12</v>
      </c>
      <c r="D829" s="17" t="s">
        <v>26</v>
      </c>
      <c r="E829" s="17" t="s">
        <v>45</v>
      </c>
      <c r="F829" s="17" t="s">
        <v>52</v>
      </c>
      <c r="G829" s="17" t="s">
        <v>38</v>
      </c>
      <c r="H829" s="17" t="s">
        <v>2590</v>
      </c>
      <c r="I829" s="17" t="s">
        <v>48</v>
      </c>
      <c r="J829" s="36">
        <v>6428.57</v>
      </c>
      <c r="K829" s="36">
        <v>14706.19</v>
      </c>
      <c r="L829" s="36">
        <f t="shared" si="60"/>
        <v>8277.6200000000008</v>
      </c>
      <c r="M829" s="37">
        <f t="shared" si="61"/>
        <v>1.2876300639177922</v>
      </c>
      <c r="N829" s="17" t="str">
        <f t="shared" si="62"/>
        <v>Over Budget</v>
      </c>
      <c r="O829" s="38">
        <f t="shared" si="63"/>
        <v>-14706.19</v>
      </c>
      <c r="P829" s="39">
        <f t="shared" si="64"/>
        <v>45809</v>
      </c>
    </row>
    <row r="830" spans="1:16" ht="15.5" x14ac:dyDescent="0.35">
      <c r="A830" s="17" t="s">
        <v>878</v>
      </c>
      <c r="B830" s="35">
        <v>45995</v>
      </c>
      <c r="C830" s="17" t="s">
        <v>12</v>
      </c>
      <c r="D830" s="17" t="s">
        <v>2585</v>
      </c>
      <c r="E830" s="17" t="s">
        <v>77</v>
      </c>
      <c r="F830" s="17" t="s">
        <v>34</v>
      </c>
      <c r="G830" s="17" t="s">
        <v>43</v>
      </c>
      <c r="H830" s="17" t="s">
        <v>2597</v>
      </c>
      <c r="I830" s="17" t="s">
        <v>23</v>
      </c>
      <c r="J830" s="36">
        <v>3300</v>
      </c>
      <c r="K830" s="36">
        <v>966.04</v>
      </c>
      <c r="L830" s="36">
        <f t="shared" si="60"/>
        <v>-2333.96</v>
      </c>
      <c r="M830" s="37">
        <f t="shared" si="61"/>
        <v>-0.70726060606060603</v>
      </c>
      <c r="N830" s="17" t="str">
        <f t="shared" si="62"/>
        <v>Under Budget</v>
      </c>
      <c r="O830" s="38">
        <f t="shared" si="63"/>
        <v>-966.04</v>
      </c>
      <c r="P830" s="39">
        <f t="shared" si="64"/>
        <v>45992</v>
      </c>
    </row>
    <row r="831" spans="1:16" ht="15.5" x14ac:dyDescent="0.35">
      <c r="A831" s="17" t="s">
        <v>879</v>
      </c>
      <c r="B831" s="35">
        <v>46000</v>
      </c>
      <c r="C831" s="17" t="s">
        <v>12</v>
      </c>
      <c r="D831" s="17" t="s">
        <v>26</v>
      </c>
      <c r="E831" s="17" t="s">
        <v>51</v>
      </c>
      <c r="F831" s="17" t="s">
        <v>34</v>
      </c>
      <c r="G831" s="17" t="s">
        <v>16</v>
      </c>
      <c r="H831" s="17" t="s">
        <v>80</v>
      </c>
      <c r="I831" s="17" t="s">
        <v>48</v>
      </c>
      <c r="J831" s="36">
        <v>4500</v>
      </c>
      <c r="K831" s="36">
        <v>1415.36</v>
      </c>
      <c r="L831" s="36">
        <f t="shared" si="60"/>
        <v>-3084.6400000000003</v>
      </c>
      <c r="M831" s="37">
        <f t="shared" si="61"/>
        <v>-0.68547555555555562</v>
      </c>
      <c r="N831" s="17" t="str">
        <f t="shared" si="62"/>
        <v>Under Budget</v>
      </c>
      <c r="O831" s="38">
        <f t="shared" si="63"/>
        <v>-1415.36</v>
      </c>
      <c r="P831" s="39">
        <f t="shared" si="64"/>
        <v>45992</v>
      </c>
    </row>
    <row r="832" spans="1:16" ht="15.5" x14ac:dyDescent="0.35">
      <c r="A832" s="17" t="s">
        <v>880</v>
      </c>
      <c r="B832" s="35">
        <v>46013</v>
      </c>
      <c r="C832" s="17" t="s">
        <v>12</v>
      </c>
      <c r="D832" s="17" t="s">
        <v>26</v>
      </c>
      <c r="E832" s="17" t="s">
        <v>45</v>
      </c>
      <c r="F832" s="17" t="s">
        <v>52</v>
      </c>
      <c r="G832" s="17" t="s">
        <v>38</v>
      </c>
      <c r="H832" s="17" t="s">
        <v>2597</v>
      </c>
      <c r="I832" s="17" t="s">
        <v>23</v>
      </c>
      <c r="J832" s="36">
        <v>7875</v>
      </c>
      <c r="K832" s="36">
        <v>11605.57</v>
      </c>
      <c r="L832" s="36">
        <f t="shared" si="60"/>
        <v>3730.5699999999997</v>
      </c>
      <c r="M832" s="37">
        <f t="shared" si="61"/>
        <v>0.47372317460317459</v>
      </c>
      <c r="N832" s="17" t="str">
        <f t="shared" si="62"/>
        <v>Over Budget</v>
      </c>
      <c r="O832" s="38">
        <f t="shared" si="63"/>
        <v>-11605.57</v>
      </c>
      <c r="P832" s="39">
        <f t="shared" si="64"/>
        <v>45992</v>
      </c>
    </row>
    <row r="833" spans="1:16" ht="15.5" x14ac:dyDescent="0.35">
      <c r="A833" s="17" t="s">
        <v>881</v>
      </c>
      <c r="B833" s="35">
        <v>46170</v>
      </c>
      <c r="C833" s="17" t="s">
        <v>25</v>
      </c>
      <c r="D833" s="17" t="s">
        <v>19</v>
      </c>
      <c r="E833" s="17" t="s">
        <v>109</v>
      </c>
      <c r="F833" s="17" t="s">
        <v>34</v>
      </c>
      <c r="G833" s="17" t="s">
        <v>22</v>
      </c>
      <c r="H833" s="17" t="s">
        <v>80</v>
      </c>
      <c r="I833" s="17" t="s">
        <v>48</v>
      </c>
      <c r="J833" s="36">
        <v>5882.35</v>
      </c>
      <c r="K833" s="36">
        <v>12215.39</v>
      </c>
      <c r="L833" s="36">
        <f t="shared" si="60"/>
        <v>6333.0399999999991</v>
      </c>
      <c r="M833" s="37">
        <f t="shared" si="61"/>
        <v>1.076617338308669</v>
      </c>
      <c r="N833" s="17" t="str">
        <f t="shared" si="62"/>
        <v>Over Budget</v>
      </c>
      <c r="O833" s="38">
        <f t="shared" si="63"/>
        <v>12215.39</v>
      </c>
      <c r="P833" s="39">
        <f t="shared" si="64"/>
        <v>46143</v>
      </c>
    </row>
    <row r="834" spans="1:16" ht="15.5" x14ac:dyDescent="0.35">
      <c r="A834" s="17" t="s">
        <v>882</v>
      </c>
      <c r="B834" s="35">
        <v>45730</v>
      </c>
      <c r="C834" s="17" t="s">
        <v>12</v>
      </c>
      <c r="D834" s="17" t="s">
        <v>2584</v>
      </c>
      <c r="E834" s="17" t="s">
        <v>51</v>
      </c>
      <c r="F834" s="17" t="s">
        <v>15</v>
      </c>
      <c r="G834" s="17" t="s">
        <v>38</v>
      </c>
      <c r="H834" s="17" t="s">
        <v>2588</v>
      </c>
      <c r="I834" s="17" t="s">
        <v>30</v>
      </c>
      <c r="J834" s="36">
        <v>3000</v>
      </c>
      <c r="K834" s="36">
        <v>2993.34</v>
      </c>
      <c r="L834" s="36">
        <f t="shared" si="60"/>
        <v>-6.6599999999998545</v>
      </c>
      <c r="M834" s="37">
        <f t="shared" si="61"/>
        <v>-2.2199999999999516E-3</v>
      </c>
      <c r="N834" s="17" t="str">
        <f t="shared" si="62"/>
        <v>Under Budget</v>
      </c>
      <c r="O834" s="38">
        <f t="shared" si="63"/>
        <v>-2993.34</v>
      </c>
      <c r="P834" s="39">
        <f t="shared" si="64"/>
        <v>45717</v>
      </c>
    </row>
    <row r="835" spans="1:16" ht="15.5" x14ac:dyDescent="0.35">
      <c r="A835" s="17" t="s">
        <v>883</v>
      </c>
      <c r="B835" s="35">
        <v>46168</v>
      </c>
      <c r="C835" s="17" t="s">
        <v>12</v>
      </c>
      <c r="D835" s="17" t="s">
        <v>2584</v>
      </c>
      <c r="E835" s="17" t="s">
        <v>51</v>
      </c>
      <c r="F835" s="17" t="s">
        <v>21</v>
      </c>
      <c r="G835" s="17" t="s">
        <v>38</v>
      </c>
      <c r="H835" s="17" t="s">
        <v>2598</v>
      </c>
      <c r="I835" s="17" t="s">
        <v>48</v>
      </c>
      <c r="J835" s="36">
        <v>2727.27</v>
      </c>
      <c r="K835" s="36">
        <v>1942.13</v>
      </c>
      <c r="L835" s="36">
        <f t="shared" ref="L835:L898" si="65">K835-J835</f>
        <v>-785.13999999999987</v>
      </c>
      <c r="M835" s="37">
        <f t="shared" ref="M835:M898" si="66">IF(J835=0,0,L835/J835)</f>
        <v>-0.28788495455162116</v>
      </c>
      <c r="N835" s="17" t="str">
        <f t="shared" ref="N835:N898" si="67">IF(J835=0,"No Budget",IF(K835&gt;J835,"Over Budget",IF(K835&lt;J835,"Under Budget","On Budget")))</f>
        <v>Under Budget</v>
      </c>
      <c r="O835" s="38">
        <f t="shared" ref="O835:O898" si="68">IF(C835="Revenue",K835,-K835)</f>
        <v>-1942.13</v>
      </c>
      <c r="P835" s="39">
        <f t="shared" ref="P835:P898" si="69">DATE(YEAR(B835),MONTH(B835),1)</f>
        <v>46143</v>
      </c>
    </row>
    <row r="836" spans="1:16" ht="15.5" x14ac:dyDescent="0.35">
      <c r="A836" s="17" t="s">
        <v>884</v>
      </c>
      <c r="B836" s="35">
        <v>46006</v>
      </c>
      <c r="C836" s="17" t="s">
        <v>12</v>
      </c>
      <c r="D836" s="17" t="s">
        <v>36</v>
      </c>
      <c r="E836" s="17" t="s">
        <v>41</v>
      </c>
      <c r="F836" s="17" t="s">
        <v>15</v>
      </c>
      <c r="G836" s="17" t="s">
        <v>38</v>
      </c>
      <c r="H836" s="17" t="s">
        <v>2595</v>
      </c>
      <c r="I836" s="17" t="s">
        <v>48</v>
      </c>
      <c r="J836" s="36">
        <v>5250</v>
      </c>
      <c r="K836" s="36">
        <v>6639.05</v>
      </c>
      <c r="L836" s="36">
        <f t="shared" si="65"/>
        <v>1389.0500000000002</v>
      </c>
      <c r="M836" s="37">
        <f t="shared" si="66"/>
        <v>0.26458095238095242</v>
      </c>
      <c r="N836" s="17" t="str">
        <f t="shared" si="67"/>
        <v>Over Budget</v>
      </c>
      <c r="O836" s="38">
        <f t="shared" si="68"/>
        <v>-6639.05</v>
      </c>
      <c r="P836" s="39">
        <f t="shared" si="69"/>
        <v>45992</v>
      </c>
    </row>
    <row r="837" spans="1:16" ht="15.5" x14ac:dyDescent="0.35">
      <c r="A837" s="17" t="s">
        <v>885</v>
      </c>
      <c r="B837" s="35">
        <v>45978</v>
      </c>
      <c r="C837" s="17" t="s">
        <v>12</v>
      </c>
      <c r="D837" s="17" t="s">
        <v>19</v>
      </c>
      <c r="E837" s="17" t="s">
        <v>77</v>
      </c>
      <c r="F837" s="17" t="s">
        <v>28</v>
      </c>
      <c r="G837" s="17" t="s">
        <v>29</v>
      </c>
      <c r="H837" s="17" t="s">
        <v>2592</v>
      </c>
      <c r="I837" s="17" t="s">
        <v>30</v>
      </c>
      <c r="J837" s="36">
        <v>2310</v>
      </c>
      <c r="K837" s="36">
        <v>1046.23</v>
      </c>
      <c r="L837" s="36">
        <f t="shared" si="65"/>
        <v>-1263.77</v>
      </c>
      <c r="M837" s="37">
        <f t="shared" si="66"/>
        <v>-0.54708658008658007</v>
      </c>
      <c r="N837" s="17" t="str">
        <f t="shared" si="67"/>
        <v>Under Budget</v>
      </c>
      <c r="O837" s="38">
        <f t="shared" si="68"/>
        <v>-1046.23</v>
      </c>
      <c r="P837" s="39">
        <f t="shared" si="69"/>
        <v>45962</v>
      </c>
    </row>
    <row r="838" spans="1:16" ht="15.5" x14ac:dyDescent="0.35">
      <c r="A838" s="17" t="s">
        <v>886</v>
      </c>
      <c r="B838" s="35">
        <v>45851</v>
      </c>
      <c r="C838" s="17" t="s">
        <v>12</v>
      </c>
      <c r="D838" s="17" t="s">
        <v>32</v>
      </c>
      <c r="E838" s="17" t="s">
        <v>37</v>
      </c>
      <c r="F838" s="17" t="s">
        <v>21</v>
      </c>
      <c r="G838" s="17" t="s">
        <v>22</v>
      </c>
      <c r="H838" s="17" t="s">
        <v>2588</v>
      </c>
      <c r="I838" s="17" t="s">
        <v>23</v>
      </c>
      <c r="J838" s="36">
        <v>4666.67</v>
      </c>
      <c r="K838" s="36">
        <v>3131.93</v>
      </c>
      <c r="L838" s="36">
        <f t="shared" si="65"/>
        <v>-1534.7400000000002</v>
      </c>
      <c r="M838" s="37">
        <f t="shared" si="66"/>
        <v>-0.32887262223384128</v>
      </c>
      <c r="N838" s="17" t="str">
        <f t="shared" si="67"/>
        <v>Under Budget</v>
      </c>
      <c r="O838" s="38">
        <f t="shared" si="68"/>
        <v>-3131.93</v>
      </c>
      <c r="P838" s="39">
        <f t="shared" si="69"/>
        <v>45839</v>
      </c>
    </row>
    <row r="839" spans="1:16" ht="15.5" x14ac:dyDescent="0.35">
      <c r="A839" s="17" t="s">
        <v>887</v>
      </c>
      <c r="B839" s="35">
        <v>46054</v>
      </c>
      <c r="C839" s="17" t="s">
        <v>25</v>
      </c>
      <c r="D839" s="17" t="s">
        <v>36</v>
      </c>
      <c r="E839" s="17" t="s">
        <v>109</v>
      </c>
      <c r="F839" s="17" t="s">
        <v>34</v>
      </c>
      <c r="G839" s="17" t="s">
        <v>29</v>
      </c>
      <c r="H839" s="17" t="s">
        <v>2594</v>
      </c>
      <c r="I839" s="17" t="s">
        <v>23</v>
      </c>
      <c r="J839" s="36">
        <v>8083.33</v>
      </c>
      <c r="K839" s="36">
        <v>4596.8100000000004</v>
      </c>
      <c r="L839" s="36">
        <f t="shared" si="65"/>
        <v>-3486.5199999999995</v>
      </c>
      <c r="M839" s="37">
        <f t="shared" si="66"/>
        <v>-0.43132223972051115</v>
      </c>
      <c r="N839" s="17" t="str">
        <f t="shared" si="67"/>
        <v>Under Budget</v>
      </c>
      <c r="O839" s="38">
        <f t="shared" si="68"/>
        <v>4596.8100000000004</v>
      </c>
      <c r="P839" s="39">
        <f t="shared" si="69"/>
        <v>46054</v>
      </c>
    </row>
    <row r="840" spans="1:16" ht="15.5" x14ac:dyDescent="0.35">
      <c r="A840" s="17" t="s">
        <v>888</v>
      </c>
      <c r="B840" s="35">
        <v>45844</v>
      </c>
      <c r="C840" s="17" t="s">
        <v>12</v>
      </c>
      <c r="D840" s="17" t="s">
        <v>2585</v>
      </c>
      <c r="E840" s="17" t="s">
        <v>45</v>
      </c>
      <c r="F840" s="17" t="s">
        <v>52</v>
      </c>
      <c r="G840" s="17" t="s">
        <v>38</v>
      </c>
      <c r="H840" s="17" t="s">
        <v>2590</v>
      </c>
      <c r="I840" s="17" t="s">
        <v>30</v>
      </c>
      <c r="J840" s="36">
        <v>6923.08</v>
      </c>
      <c r="K840" s="36">
        <v>11222.81</v>
      </c>
      <c r="L840" s="36">
        <f t="shared" si="65"/>
        <v>4299.7299999999996</v>
      </c>
      <c r="M840" s="37">
        <f t="shared" si="66"/>
        <v>0.6210718350791844</v>
      </c>
      <c r="N840" s="17" t="str">
        <f t="shared" si="67"/>
        <v>Over Budget</v>
      </c>
      <c r="O840" s="38">
        <f t="shared" si="68"/>
        <v>-11222.81</v>
      </c>
      <c r="P840" s="39">
        <f t="shared" si="69"/>
        <v>45839</v>
      </c>
    </row>
    <row r="841" spans="1:16" ht="15.5" x14ac:dyDescent="0.35">
      <c r="A841" s="17" t="s">
        <v>889</v>
      </c>
      <c r="B841" s="35">
        <v>46140</v>
      </c>
      <c r="C841" s="17" t="s">
        <v>12</v>
      </c>
      <c r="D841" s="17" t="s">
        <v>19</v>
      </c>
      <c r="E841" s="17" t="s">
        <v>77</v>
      </c>
      <c r="F841" s="17" t="s">
        <v>21</v>
      </c>
      <c r="G841" s="17" t="s">
        <v>43</v>
      </c>
      <c r="H841" s="17" t="s">
        <v>2589</v>
      </c>
      <c r="I841" s="17" t="s">
        <v>48</v>
      </c>
      <c r="J841" s="36">
        <v>2750</v>
      </c>
      <c r="K841" s="36">
        <v>3011.6</v>
      </c>
      <c r="L841" s="36">
        <f t="shared" si="65"/>
        <v>261.59999999999991</v>
      </c>
      <c r="M841" s="37">
        <f t="shared" si="66"/>
        <v>9.5127272727272699E-2</v>
      </c>
      <c r="N841" s="17" t="str">
        <f t="shared" si="67"/>
        <v>Over Budget</v>
      </c>
      <c r="O841" s="38">
        <f t="shared" si="68"/>
        <v>-3011.6</v>
      </c>
      <c r="P841" s="39">
        <f t="shared" si="69"/>
        <v>46113</v>
      </c>
    </row>
    <row r="842" spans="1:16" ht="15.5" x14ac:dyDescent="0.35">
      <c r="A842" s="17" t="s">
        <v>890</v>
      </c>
      <c r="B842" s="35">
        <v>46116</v>
      </c>
      <c r="C842" s="17" t="s">
        <v>12</v>
      </c>
      <c r="D842" s="17" t="s">
        <v>36</v>
      </c>
      <c r="E842" s="17" t="s">
        <v>20</v>
      </c>
      <c r="F842" s="17" t="s">
        <v>28</v>
      </c>
      <c r="G842" s="17" t="s">
        <v>38</v>
      </c>
      <c r="H842" s="17" t="s">
        <v>2594</v>
      </c>
      <c r="I842" s="17" t="s">
        <v>23</v>
      </c>
      <c r="J842" s="36">
        <v>2250</v>
      </c>
      <c r="K842" s="36">
        <v>791.93</v>
      </c>
      <c r="L842" s="36">
        <f t="shared" si="65"/>
        <v>-1458.0700000000002</v>
      </c>
      <c r="M842" s="37">
        <f t="shared" si="66"/>
        <v>-0.64803111111111122</v>
      </c>
      <c r="N842" s="17" t="str">
        <f t="shared" si="67"/>
        <v>Under Budget</v>
      </c>
      <c r="O842" s="38">
        <f t="shared" si="68"/>
        <v>-791.93</v>
      </c>
      <c r="P842" s="39">
        <f t="shared" si="69"/>
        <v>46113</v>
      </c>
    </row>
    <row r="843" spans="1:16" ht="15.5" x14ac:dyDescent="0.35">
      <c r="A843" s="17" t="s">
        <v>891</v>
      </c>
      <c r="B843" s="35">
        <v>45736</v>
      </c>
      <c r="C843" s="17" t="s">
        <v>12</v>
      </c>
      <c r="D843" s="17" t="s">
        <v>2585</v>
      </c>
      <c r="E843" s="17" t="s">
        <v>51</v>
      </c>
      <c r="F843" s="17" t="s">
        <v>21</v>
      </c>
      <c r="G843" s="17" t="s">
        <v>38</v>
      </c>
      <c r="H843" s="17" t="s">
        <v>2586</v>
      </c>
      <c r="I843" s="17" t="s">
        <v>30</v>
      </c>
      <c r="J843" s="36">
        <v>3000</v>
      </c>
      <c r="K843" s="36">
        <v>6905.63</v>
      </c>
      <c r="L843" s="36">
        <f t="shared" si="65"/>
        <v>3905.63</v>
      </c>
      <c r="M843" s="37">
        <f t="shared" si="66"/>
        <v>1.3018766666666668</v>
      </c>
      <c r="N843" s="17" t="str">
        <f t="shared" si="67"/>
        <v>Over Budget</v>
      </c>
      <c r="O843" s="38">
        <f t="shared" si="68"/>
        <v>-6905.63</v>
      </c>
      <c r="P843" s="39">
        <f t="shared" si="69"/>
        <v>45717</v>
      </c>
    </row>
    <row r="844" spans="1:16" ht="15.5" x14ac:dyDescent="0.35">
      <c r="A844" s="17" t="s">
        <v>892</v>
      </c>
      <c r="B844" s="35">
        <v>45734</v>
      </c>
      <c r="C844" s="17" t="s">
        <v>12</v>
      </c>
      <c r="D844" s="17" t="s">
        <v>26</v>
      </c>
      <c r="E844" s="17" t="s">
        <v>51</v>
      </c>
      <c r="F844" s="17" t="s">
        <v>28</v>
      </c>
      <c r="G844" s="17" t="s">
        <v>38</v>
      </c>
      <c r="H844" s="17" t="s">
        <v>2597</v>
      </c>
      <c r="I844" s="17" t="s">
        <v>23</v>
      </c>
      <c r="J844" s="36">
        <v>3000</v>
      </c>
      <c r="K844" s="36">
        <v>4989.2700000000004</v>
      </c>
      <c r="L844" s="36">
        <f t="shared" si="65"/>
        <v>1989.2700000000004</v>
      </c>
      <c r="M844" s="37">
        <f t="shared" si="66"/>
        <v>0.66309000000000018</v>
      </c>
      <c r="N844" s="17" t="str">
        <f t="shared" si="67"/>
        <v>Over Budget</v>
      </c>
      <c r="O844" s="38">
        <f t="shared" si="68"/>
        <v>-4989.2700000000004</v>
      </c>
      <c r="P844" s="39">
        <f t="shared" si="69"/>
        <v>45717</v>
      </c>
    </row>
    <row r="845" spans="1:16" ht="15.5" x14ac:dyDescent="0.35">
      <c r="A845" s="17" t="s">
        <v>893</v>
      </c>
      <c r="B845" s="35">
        <v>46182</v>
      </c>
      <c r="C845" s="17" t="s">
        <v>25</v>
      </c>
      <c r="D845" s="17" t="s">
        <v>36</v>
      </c>
      <c r="E845" s="17" t="s">
        <v>109</v>
      </c>
      <c r="F845" s="17" t="s">
        <v>34</v>
      </c>
      <c r="G845" s="17" t="s">
        <v>38</v>
      </c>
      <c r="H845" s="17" t="s">
        <v>2587</v>
      </c>
      <c r="I845" s="17" t="s">
        <v>23</v>
      </c>
      <c r="J845" s="36">
        <v>4761.8999999999996</v>
      </c>
      <c r="K845" s="36">
        <v>8470.61</v>
      </c>
      <c r="L845" s="36">
        <f t="shared" si="65"/>
        <v>3708.7100000000009</v>
      </c>
      <c r="M845" s="37">
        <f t="shared" si="66"/>
        <v>0.77882987882987909</v>
      </c>
      <c r="N845" s="17" t="str">
        <f t="shared" si="67"/>
        <v>Over Budget</v>
      </c>
      <c r="O845" s="38">
        <f t="shared" si="68"/>
        <v>8470.61</v>
      </c>
      <c r="P845" s="39">
        <f t="shared" si="69"/>
        <v>46174</v>
      </c>
    </row>
    <row r="846" spans="1:16" ht="15.5" x14ac:dyDescent="0.35">
      <c r="A846" s="17" t="s">
        <v>894</v>
      </c>
      <c r="B846" s="35">
        <v>45673</v>
      </c>
      <c r="C846" s="17" t="s">
        <v>12</v>
      </c>
      <c r="D846" s="17" t="s">
        <v>36</v>
      </c>
      <c r="E846" s="17" t="s">
        <v>37</v>
      </c>
      <c r="F846" s="17" t="s">
        <v>15</v>
      </c>
      <c r="G846" s="17" t="s">
        <v>38</v>
      </c>
      <c r="H846" s="17" t="s">
        <v>2586</v>
      </c>
      <c r="I846" s="17" t="s">
        <v>23</v>
      </c>
      <c r="J846" s="36">
        <v>13580</v>
      </c>
      <c r="K846" s="36">
        <v>2811.65</v>
      </c>
      <c r="L846" s="36">
        <f t="shared" si="65"/>
        <v>-10768.35</v>
      </c>
      <c r="M846" s="37">
        <f t="shared" si="66"/>
        <v>-0.79295655375552287</v>
      </c>
      <c r="N846" s="17" t="str">
        <f t="shared" si="67"/>
        <v>Under Budget</v>
      </c>
      <c r="O846" s="38">
        <f t="shared" si="68"/>
        <v>-2811.65</v>
      </c>
      <c r="P846" s="39">
        <f t="shared" si="69"/>
        <v>45658</v>
      </c>
    </row>
    <row r="847" spans="1:16" ht="15.5" x14ac:dyDescent="0.35">
      <c r="A847" s="17" t="s">
        <v>895</v>
      </c>
      <c r="B847" s="35">
        <v>46186</v>
      </c>
      <c r="C847" s="17" t="s">
        <v>12</v>
      </c>
      <c r="D847" s="17" t="s">
        <v>13</v>
      </c>
      <c r="E847" s="17" t="s">
        <v>14</v>
      </c>
      <c r="F847" s="17" t="s">
        <v>34</v>
      </c>
      <c r="G847" s="17" t="s">
        <v>16</v>
      </c>
      <c r="H847" s="17" t="s">
        <v>2597</v>
      </c>
      <c r="I847" s="17" t="s">
        <v>48</v>
      </c>
      <c r="J847" s="36">
        <v>3555.56</v>
      </c>
      <c r="K847" s="36">
        <v>2323.15</v>
      </c>
      <c r="L847" s="36">
        <f t="shared" si="65"/>
        <v>-1232.4099999999999</v>
      </c>
      <c r="M847" s="37">
        <f t="shared" si="66"/>
        <v>-0.34661487923140094</v>
      </c>
      <c r="N847" s="17" t="str">
        <f t="shared" si="67"/>
        <v>Under Budget</v>
      </c>
      <c r="O847" s="38">
        <f t="shared" si="68"/>
        <v>-2323.15</v>
      </c>
      <c r="P847" s="39">
        <f t="shared" si="69"/>
        <v>46174</v>
      </c>
    </row>
    <row r="848" spans="1:16" ht="15.5" x14ac:dyDescent="0.35">
      <c r="A848" s="17" t="s">
        <v>896</v>
      </c>
      <c r="B848" s="35">
        <v>45923</v>
      </c>
      <c r="C848" s="17" t="s">
        <v>12</v>
      </c>
      <c r="D848" s="17" t="s">
        <v>2585</v>
      </c>
      <c r="E848" s="17" t="s">
        <v>65</v>
      </c>
      <c r="F848" s="17" t="s">
        <v>15</v>
      </c>
      <c r="G848" s="17" t="s">
        <v>22</v>
      </c>
      <c r="H848" s="17" t="s">
        <v>2596</v>
      </c>
      <c r="I848" s="17" t="s">
        <v>48</v>
      </c>
      <c r="J848" s="36">
        <v>6111.11</v>
      </c>
      <c r="K848" s="36">
        <v>4342.7700000000004</v>
      </c>
      <c r="L848" s="36">
        <f t="shared" si="65"/>
        <v>-1768.3399999999992</v>
      </c>
      <c r="M848" s="37">
        <f t="shared" si="66"/>
        <v>-0.28936477988450532</v>
      </c>
      <c r="N848" s="17" t="str">
        <f t="shared" si="67"/>
        <v>Under Budget</v>
      </c>
      <c r="O848" s="38">
        <f t="shared" si="68"/>
        <v>-4342.7700000000004</v>
      </c>
      <c r="P848" s="39">
        <f t="shared" si="69"/>
        <v>45901</v>
      </c>
    </row>
    <row r="849" spans="1:16" ht="15.5" x14ac:dyDescent="0.35">
      <c r="A849" s="17" t="s">
        <v>897</v>
      </c>
      <c r="B849" s="35">
        <v>46111</v>
      </c>
      <c r="C849" s="17" t="s">
        <v>12</v>
      </c>
      <c r="D849" s="17" t="s">
        <v>13</v>
      </c>
      <c r="E849" s="17" t="s">
        <v>65</v>
      </c>
      <c r="F849" s="17" t="s">
        <v>28</v>
      </c>
      <c r="G849" s="17" t="s">
        <v>43</v>
      </c>
      <c r="H849" s="17" t="s">
        <v>2594</v>
      </c>
      <c r="I849" s="17" t="s">
        <v>23</v>
      </c>
      <c r="J849" s="36">
        <v>5000</v>
      </c>
      <c r="K849" s="36">
        <v>3611.77</v>
      </c>
      <c r="L849" s="36">
        <f t="shared" si="65"/>
        <v>-1388.23</v>
      </c>
      <c r="M849" s="37">
        <f t="shared" si="66"/>
        <v>-0.277646</v>
      </c>
      <c r="N849" s="17" t="str">
        <f t="shared" si="67"/>
        <v>Under Budget</v>
      </c>
      <c r="O849" s="38">
        <f t="shared" si="68"/>
        <v>-3611.77</v>
      </c>
      <c r="P849" s="39">
        <f t="shared" si="69"/>
        <v>46082</v>
      </c>
    </row>
    <row r="850" spans="1:16" ht="15.5" x14ac:dyDescent="0.35">
      <c r="A850" s="17" t="s">
        <v>898</v>
      </c>
      <c r="B850" s="35">
        <v>45973</v>
      </c>
      <c r="C850" s="17" t="s">
        <v>12</v>
      </c>
      <c r="D850" s="17" t="s">
        <v>13</v>
      </c>
      <c r="E850" s="17" t="s">
        <v>37</v>
      </c>
      <c r="F850" s="17" t="s">
        <v>21</v>
      </c>
      <c r="G850" s="17" t="s">
        <v>38</v>
      </c>
      <c r="H850" s="17" t="s">
        <v>2592</v>
      </c>
      <c r="I850" s="17" t="s">
        <v>48</v>
      </c>
      <c r="J850" s="36">
        <v>4900</v>
      </c>
      <c r="K850" s="36">
        <v>2673.23</v>
      </c>
      <c r="L850" s="36">
        <f t="shared" si="65"/>
        <v>-2226.77</v>
      </c>
      <c r="M850" s="37">
        <f t="shared" si="66"/>
        <v>-0.45444285714285715</v>
      </c>
      <c r="N850" s="17" t="str">
        <f t="shared" si="67"/>
        <v>Under Budget</v>
      </c>
      <c r="O850" s="38">
        <f t="shared" si="68"/>
        <v>-2673.23</v>
      </c>
      <c r="P850" s="39">
        <f t="shared" si="69"/>
        <v>45962</v>
      </c>
    </row>
    <row r="851" spans="1:16" ht="15.5" x14ac:dyDescent="0.35">
      <c r="A851" s="17" t="s">
        <v>899</v>
      </c>
      <c r="B851" s="35">
        <v>45698</v>
      </c>
      <c r="C851" s="17" t="s">
        <v>12</v>
      </c>
      <c r="D851" s="17" t="s">
        <v>2585</v>
      </c>
      <c r="E851" s="17" t="s">
        <v>77</v>
      </c>
      <c r="F851" s="17" t="s">
        <v>52</v>
      </c>
      <c r="G851" s="17" t="s">
        <v>22</v>
      </c>
      <c r="H851" s="17" t="s">
        <v>2591</v>
      </c>
      <c r="I851" s="17" t="s">
        <v>23</v>
      </c>
      <c r="J851" s="36">
        <v>5335</v>
      </c>
      <c r="K851" s="36">
        <v>3136.23</v>
      </c>
      <c r="L851" s="36">
        <f t="shared" si="65"/>
        <v>-2198.77</v>
      </c>
      <c r="M851" s="37">
        <f t="shared" si="66"/>
        <v>-0.41214058106841611</v>
      </c>
      <c r="N851" s="17" t="str">
        <f t="shared" si="67"/>
        <v>Under Budget</v>
      </c>
      <c r="O851" s="38">
        <f t="shared" si="68"/>
        <v>-3136.23</v>
      </c>
      <c r="P851" s="39">
        <f t="shared" si="69"/>
        <v>45689</v>
      </c>
    </row>
    <row r="852" spans="1:16" ht="15.5" x14ac:dyDescent="0.35">
      <c r="A852" s="17" t="s">
        <v>900</v>
      </c>
      <c r="B852" s="35">
        <v>45924</v>
      </c>
      <c r="C852" s="17" t="s">
        <v>12</v>
      </c>
      <c r="D852" s="17" t="s">
        <v>26</v>
      </c>
      <c r="E852" s="17" t="s">
        <v>37</v>
      </c>
      <c r="F852" s="17" t="s">
        <v>21</v>
      </c>
      <c r="G852" s="17" t="s">
        <v>22</v>
      </c>
      <c r="H852" s="17" t="s">
        <v>2590</v>
      </c>
      <c r="I852" s="17" t="s">
        <v>30</v>
      </c>
      <c r="J852" s="36">
        <v>3500</v>
      </c>
      <c r="K852" s="36">
        <v>3106.6</v>
      </c>
      <c r="L852" s="36">
        <f t="shared" si="65"/>
        <v>-393.40000000000009</v>
      </c>
      <c r="M852" s="37">
        <f t="shared" si="66"/>
        <v>-0.11240000000000003</v>
      </c>
      <c r="N852" s="17" t="str">
        <f t="shared" si="67"/>
        <v>Under Budget</v>
      </c>
      <c r="O852" s="38">
        <f t="shared" si="68"/>
        <v>-3106.6</v>
      </c>
      <c r="P852" s="39">
        <f t="shared" si="69"/>
        <v>45901</v>
      </c>
    </row>
    <row r="853" spans="1:16" ht="15.5" x14ac:dyDescent="0.35">
      <c r="A853" s="17" t="s">
        <v>901</v>
      </c>
      <c r="B853" s="35">
        <v>46029</v>
      </c>
      <c r="C853" s="17" t="s">
        <v>12</v>
      </c>
      <c r="D853" s="17" t="s">
        <v>26</v>
      </c>
      <c r="E853" s="17" t="s">
        <v>45</v>
      </c>
      <c r="F853" s="17" t="s">
        <v>52</v>
      </c>
      <c r="G853" s="17" t="s">
        <v>22</v>
      </c>
      <c r="H853" s="17" t="s">
        <v>2590</v>
      </c>
      <c r="I853" s="17" t="s">
        <v>23</v>
      </c>
      <c r="J853" s="36">
        <v>6715.38</v>
      </c>
      <c r="K853" s="36">
        <v>6615.07</v>
      </c>
      <c r="L853" s="36">
        <f t="shared" si="65"/>
        <v>-100.3100000000004</v>
      </c>
      <c r="M853" s="37">
        <f t="shared" si="66"/>
        <v>-1.4937352763358202E-2</v>
      </c>
      <c r="N853" s="17" t="str">
        <f t="shared" si="67"/>
        <v>Under Budget</v>
      </c>
      <c r="O853" s="38">
        <f t="shared" si="68"/>
        <v>-6615.07</v>
      </c>
      <c r="P853" s="39">
        <f t="shared" si="69"/>
        <v>46023</v>
      </c>
    </row>
    <row r="854" spans="1:16" ht="15.5" x14ac:dyDescent="0.35">
      <c r="A854" s="17" t="s">
        <v>902</v>
      </c>
      <c r="B854" s="35">
        <v>46078</v>
      </c>
      <c r="C854" s="17" t="s">
        <v>25</v>
      </c>
      <c r="D854" s="17" t="s">
        <v>19</v>
      </c>
      <c r="E854" s="17" t="s">
        <v>33</v>
      </c>
      <c r="F854" s="17" t="s">
        <v>15</v>
      </c>
      <c r="G854" s="17" t="s">
        <v>22</v>
      </c>
      <c r="H854" s="17" t="s">
        <v>2592</v>
      </c>
      <c r="I854" s="17" t="s">
        <v>23</v>
      </c>
      <c r="J854" s="36">
        <v>12125</v>
      </c>
      <c r="K854" s="36">
        <v>16592.71</v>
      </c>
      <c r="L854" s="36">
        <f t="shared" si="65"/>
        <v>4467.7099999999991</v>
      </c>
      <c r="M854" s="37">
        <f t="shared" si="66"/>
        <v>0.36847092783505148</v>
      </c>
      <c r="N854" s="17" t="str">
        <f t="shared" si="67"/>
        <v>Over Budget</v>
      </c>
      <c r="O854" s="38">
        <f t="shared" si="68"/>
        <v>16592.71</v>
      </c>
      <c r="P854" s="39">
        <f t="shared" si="69"/>
        <v>46054</v>
      </c>
    </row>
    <row r="855" spans="1:16" ht="15.5" x14ac:dyDescent="0.35">
      <c r="A855" s="17" t="s">
        <v>903</v>
      </c>
      <c r="B855" s="35">
        <v>46077</v>
      </c>
      <c r="C855" s="17" t="s">
        <v>12</v>
      </c>
      <c r="D855" s="17" t="s">
        <v>19</v>
      </c>
      <c r="E855" s="17" t="s">
        <v>45</v>
      </c>
      <c r="F855" s="17" t="s">
        <v>21</v>
      </c>
      <c r="G855" s="17" t="s">
        <v>22</v>
      </c>
      <c r="H855" s="17" t="s">
        <v>2588</v>
      </c>
      <c r="I855" s="17" t="s">
        <v>39</v>
      </c>
      <c r="J855" s="36">
        <v>9189.4699999999993</v>
      </c>
      <c r="K855" s="36">
        <v>11463.5</v>
      </c>
      <c r="L855" s="36">
        <f t="shared" si="65"/>
        <v>2274.0300000000007</v>
      </c>
      <c r="M855" s="37">
        <f t="shared" si="66"/>
        <v>0.24746040848928183</v>
      </c>
      <c r="N855" s="17" t="str">
        <f t="shared" si="67"/>
        <v>Over Budget</v>
      </c>
      <c r="O855" s="38">
        <f t="shared" si="68"/>
        <v>-11463.5</v>
      </c>
      <c r="P855" s="39">
        <f t="shared" si="69"/>
        <v>46054</v>
      </c>
    </row>
    <row r="856" spans="1:16" ht="15.5" x14ac:dyDescent="0.35">
      <c r="A856" s="17" t="s">
        <v>904</v>
      </c>
      <c r="B856" s="35">
        <v>45724</v>
      </c>
      <c r="C856" s="17" t="s">
        <v>12</v>
      </c>
      <c r="D856" s="17" t="s">
        <v>36</v>
      </c>
      <c r="E856" s="17" t="s">
        <v>20</v>
      </c>
      <c r="F856" s="17" t="s">
        <v>34</v>
      </c>
      <c r="G856" s="17" t="s">
        <v>29</v>
      </c>
      <c r="H856" s="17" t="s">
        <v>2598</v>
      </c>
      <c r="I856" s="17" t="s">
        <v>30</v>
      </c>
      <c r="J856" s="36">
        <v>3000</v>
      </c>
      <c r="K856" s="36">
        <v>147.85</v>
      </c>
      <c r="L856" s="36">
        <f t="shared" si="65"/>
        <v>-2852.15</v>
      </c>
      <c r="M856" s="37">
        <f t="shared" si="66"/>
        <v>-0.95071666666666665</v>
      </c>
      <c r="N856" s="17" t="str">
        <f t="shared" si="67"/>
        <v>Under Budget</v>
      </c>
      <c r="O856" s="38">
        <f t="shared" si="68"/>
        <v>-147.85</v>
      </c>
      <c r="P856" s="39">
        <f t="shared" si="69"/>
        <v>45717</v>
      </c>
    </row>
    <row r="857" spans="1:16" ht="15.5" x14ac:dyDescent="0.35">
      <c r="A857" s="17" t="s">
        <v>905</v>
      </c>
      <c r="B857" s="35">
        <v>46054</v>
      </c>
      <c r="C857" s="17" t="s">
        <v>12</v>
      </c>
      <c r="D857" s="17" t="s">
        <v>26</v>
      </c>
      <c r="E857" s="17" t="s">
        <v>41</v>
      </c>
      <c r="F857" s="17" t="s">
        <v>52</v>
      </c>
      <c r="G857" s="17" t="s">
        <v>38</v>
      </c>
      <c r="H857" s="17" t="s">
        <v>2591</v>
      </c>
      <c r="I857" s="17" t="s">
        <v>48</v>
      </c>
      <c r="J857" s="36">
        <v>6305</v>
      </c>
      <c r="K857" s="36">
        <v>8211.57</v>
      </c>
      <c r="L857" s="36">
        <f t="shared" si="65"/>
        <v>1906.5699999999997</v>
      </c>
      <c r="M857" s="37">
        <f t="shared" si="66"/>
        <v>0.30239016653449641</v>
      </c>
      <c r="N857" s="17" t="str">
        <f t="shared" si="67"/>
        <v>Over Budget</v>
      </c>
      <c r="O857" s="38">
        <f t="shared" si="68"/>
        <v>-8211.57</v>
      </c>
      <c r="P857" s="39">
        <f t="shared" si="69"/>
        <v>46054</v>
      </c>
    </row>
    <row r="858" spans="1:16" ht="15.5" x14ac:dyDescent="0.35">
      <c r="A858" s="17" t="s">
        <v>906</v>
      </c>
      <c r="B858" s="35">
        <v>45975</v>
      </c>
      <c r="C858" s="17" t="s">
        <v>12</v>
      </c>
      <c r="D858" s="17" t="s">
        <v>26</v>
      </c>
      <c r="E858" s="17" t="s">
        <v>74</v>
      </c>
      <c r="F858" s="17" t="s">
        <v>28</v>
      </c>
      <c r="G858" s="17" t="s">
        <v>38</v>
      </c>
      <c r="H858" s="17" t="s">
        <v>2598</v>
      </c>
      <c r="I858" s="17" t="s">
        <v>48</v>
      </c>
      <c r="J858" s="36">
        <v>4666.67</v>
      </c>
      <c r="K858" s="36">
        <v>4298.99</v>
      </c>
      <c r="L858" s="36">
        <f t="shared" si="65"/>
        <v>-367.68000000000029</v>
      </c>
      <c r="M858" s="37">
        <f t="shared" si="66"/>
        <v>-7.8788515151060667E-2</v>
      </c>
      <c r="N858" s="17" t="str">
        <f t="shared" si="67"/>
        <v>Under Budget</v>
      </c>
      <c r="O858" s="38">
        <f t="shared" si="68"/>
        <v>-4298.99</v>
      </c>
      <c r="P858" s="39">
        <f t="shared" si="69"/>
        <v>45962</v>
      </c>
    </row>
    <row r="859" spans="1:16" ht="15.5" x14ac:dyDescent="0.35">
      <c r="A859" s="17" t="s">
        <v>907</v>
      </c>
      <c r="B859" s="35">
        <v>46092</v>
      </c>
      <c r="C859" s="17" t="s">
        <v>25</v>
      </c>
      <c r="D859" s="17" t="s">
        <v>32</v>
      </c>
      <c r="E859" s="17" t="s">
        <v>33</v>
      </c>
      <c r="F859" s="17" t="s">
        <v>15</v>
      </c>
      <c r="G859" s="17" t="s">
        <v>38</v>
      </c>
      <c r="H859" s="17" t="s">
        <v>2598</v>
      </c>
      <c r="I859" s="17" t="s">
        <v>48</v>
      </c>
      <c r="J859" s="36">
        <v>11363.64</v>
      </c>
      <c r="K859" s="36">
        <v>5748.74</v>
      </c>
      <c r="L859" s="36">
        <f t="shared" si="65"/>
        <v>-5614.9</v>
      </c>
      <c r="M859" s="37">
        <f t="shared" si="66"/>
        <v>-0.49411104188446658</v>
      </c>
      <c r="N859" s="17" t="str">
        <f t="shared" si="67"/>
        <v>Under Budget</v>
      </c>
      <c r="O859" s="38">
        <f t="shared" si="68"/>
        <v>5748.74</v>
      </c>
      <c r="P859" s="39">
        <f t="shared" si="69"/>
        <v>46082</v>
      </c>
    </row>
    <row r="860" spans="1:16" ht="15.5" x14ac:dyDescent="0.35">
      <c r="A860" s="17" t="s">
        <v>908</v>
      </c>
      <c r="B860" s="35">
        <v>45911</v>
      </c>
      <c r="C860" s="17" t="s">
        <v>25</v>
      </c>
      <c r="D860" s="17" t="s">
        <v>32</v>
      </c>
      <c r="E860" s="17" t="s">
        <v>109</v>
      </c>
      <c r="F860" s="17" t="s">
        <v>34</v>
      </c>
      <c r="G860" s="17" t="s">
        <v>43</v>
      </c>
      <c r="H860" s="17" t="s">
        <v>2595</v>
      </c>
      <c r="I860" s="17" t="s">
        <v>39</v>
      </c>
      <c r="J860" s="36">
        <v>7142.86</v>
      </c>
      <c r="K860" s="36">
        <v>11849.97</v>
      </c>
      <c r="L860" s="36">
        <f t="shared" si="65"/>
        <v>4707.1099999999997</v>
      </c>
      <c r="M860" s="37">
        <f t="shared" si="66"/>
        <v>0.6589951364019454</v>
      </c>
      <c r="N860" s="17" t="str">
        <f t="shared" si="67"/>
        <v>Over Budget</v>
      </c>
      <c r="O860" s="38">
        <f t="shared" si="68"/>
        <v>11849.97</v>
      </c>
      <c r="P860" s="39">
        <f t="shared" si="69"/>
        <v>45901</v>
      </c>
    </row>
    <row r="861" spans="1:16" ht="15.5" x14ac:dyDescent="0.35">
      <c r="A861" s="17" t="s">
        <v>909</v>
      </c>
      <c r="B861" s="35">
        <v>45832</v>
      </c>
      <c r="C861" s="17" t="s">
        <v>25</v>
      </c>
      <c r="D861" s="17" t="s">
        <v>36</v>
      </c>
      <c r="E861" s="17" t="s">
        <v>33</v>
      </c>
      <c r="F861" s="17" t="s">
        <v>28</v>
      </c>
      <c r="G861" s="17" t="s">
        <v>43</v>
      </c>
      <c r="H861" s="17" t="s">
        <v>2590</v>
      </c>
      <c r="I861" s="17" t="s">
        <v>23</v>
      </c>
      <c r="J861" s="36">
        <v>9615.3799999999992</v>
      </c>
      <c r="K861" s="36">
        <v>1040.8900000000001</v>
      </c>
      <c r="L861" s="36">
        <f t="shared" si="65"/>
        <v>-8574.49</v>
      </c>
      <c r="M861" s="37">
        <f t="shared" si="66"/>
        <v>-0.89174738803874631</v>
      </c>
      <c r="N861" s="17" t="str">
        <f t="shared" si="67"/>
        <v>Under Budget</v>
      </c>
      <c r="O861" s="38">
        <f t="shared" si="68"/>
        <v>1040.8900000000001</v>
      </c>
      <c r="P861" s="39">
        <f t="shared" si="69"/>
        <v>45809</v>
      </c>
    </row>
    <row r="862" spans="1:16" ht="15.5" x14ac:dyDescent="0.35">
      <c r="A862" s="17" t="s">
        <v>910</v>
      </c>
      <c r="B862" s="35">
        <v>46186</v>
      </c>
      <c r="C862" s="17" t="s">
        <v>12</v>
      </c>
      <c r="D862" s="17" t="s">
        <v>19</v>
      </c>
      <c r="E862" s="17" t="s">
        <v>20</v>
      </c>
      <c r="F862" s="17" t="s">
        <v>15</v>
      </c>
      <c r="G862" s="17" t="s">
        <v>22</v>
      </c>
      <c r="H862" s="17" t="s">
        <v>2597</v>
      </c>
      <c r="I862" s="17" t="s">
        <v>23</v>
      </c>
      <c r="J862" s="36">
        <v>3000</v>
      </c>
      <c r="K862" s="36">
        <v>1690.29</v>
      </c>
      <c r="L862" s="36">
        <f t="shared" si="65"/>
        <v>-1309.71</v>
      </c>
      <c r="M862" s="37">
        <f t="shared" si="66"/>
        <v>-0.43657000000000001</v>
      </c>
      <c r="N862" s="17" t="str">
        <f t="shared" si="67"/>
        <v>Under Budget</v>
      </c>
      <c r="O862" s="38">
        <f t="shared" si="68"/>
        <v>-1690.29</v>
      </c>
      <c r="P862" s="39">
        <f t="shared" si="69"/>
        <v>46174</v>
      </c>
    </row>
    <row r="863" spans="1:16" ht="15.5" x14ac:dyDescent="0.35">
      <c r="A863" s="17" t="s">
        <v>911</v>
      </c>
      <c r="B863" s="35">
        <v>46092</v>
      </c>
      <c r="C863" s="17" t="s">
        <v>12</v>
      </c>
      <c r="D863" s="17" t="s">
        <v>26</v>
      </c>
      <c r="E863" s="17" t="s">
        <v>77</v>
      </c>
      <c r="F863" s="17" t="s">
        <v>52</v>
      </c>
      <c r="G863" s="17" t="s">
        <v>38</v>
      </c>
      <c r="H863" s="17" t="s">
        <v>2592</v>
      </c>
      <c r="I863" s="17" t="s">
        <v>23</v>
      </c>
      <c r="J863" s="36">
        <v>1833.33</v>
      </c>
      <c r="K863" s="36">
        <v>442.26</v>
      </c>
      <c r="L863" s="36">
        <f t="shared" si="65"/>
        <v>-1391.07</v>
      </c>
      <c r="M863" s="37">
        <f t="shared" si="66"/>
        <v>-0.75876683412151658</v>
      </c>
      <c r="N863" s="17" t="str">
        <f t="shared" si="67"/>
        <v>Under Budget</v>
      </c>
      <c r="O863" s="38">
        <f t="shared" si="68"/>
        <v>-442.26</v>
      </c>
      <c r="P863" s="39">
        <f t="shared" si="69"/>
        <v>46082</v>
      </c>
    </row>
    <row r="864" spans="1:16" ht="15.5" x14ac:dyDescent="0.35">
      <c r="A864" s="17" t="s">
        <v>912</v>
      </c>
      <c r="B864" s="35">
        <v>46112</v>
      </c>
      <c r="C864" s="17" t="s">
        <v>25</v>
      </c>
      <c r="D864" s="17" t="s">
        <v>19</v>
      </c>
      <c r="E864" s="17" t="s">
        <v>109</v>
      </c>
      <c r="F864" s="17" t="s">
        <v>34</v>
      </c>
      <c r="G864" s="17" t="s">
        <v>43</v>
      </c>
      <c r="H864" s="17" t="s">
        <v>80</v>
      </c>
      <c r="I864" s="17" t="s">
        <v>2583</v>
      </c>
      <c r="J864" s="36">
        <v>10000</v>
      </c>
      <c r="K864" s="36">
        <v>6800.93</v>
      </c>
      <c r="L864" s="36">
        <f t="shared" si="65"/>
        <v>-3199.0699999999997</v>
      </c>
      <c r="M864" s="37">
        <f t="shared" si="66"/>
        <v>-0.319907</v>
      </c>
      <c r="N864" s="17" t="str">
        <f t="shared" si="67"/>
        <v>Under Budget</v>
      </c>
      <c r="O864" s="38">
        <f t="shared" si="68"/>
        <v>6800.93</v>
      </c>
      <c r="P864" s="39">
        <f t="shared" si="69"/>
        <v>46082</v>
      </c>
    </row>
    <row r="865" spans="1:16" ht="15.5" x14ac:dyDescent="0.35">
      <c r="A865" s="17" t="s">
        <v>913</v>
      </c>
      <c r="B865" s="35">
        <v>45697</v>
      </c>
      <c r="C865" s="17" t="s">
        <v>12</v>
      </c>
      <c r="D865" s="17" t="s">
        <v>19</v>
      </c>
      <c r="E865" s="17" t="s">
        <v>41</v>
      </c>
      <c r="F865" s="17" t="s">
        <v>28</v>
      </c>
      <c r="G865" s="17" t="s">
        <v>16</v>
      </c>
      <c r="H865" s="17" t="s">
        <v>2595</v>
      </c>
      <c r="I865" s="17" t="s">
        <v>39</v>
      </c>
      <c r="J865" s="36">
        <v>10508.33</v>
      </c>
      <c r="K865" s="36">
        <v>11879.73</v>
      </c>
      <c r="L865" s="36">
        <f t="shared" si="65"/>
        <v>1371.3999999999996</v>
      </c>
      <c r="M865" s="37">
        <f t="shared" si="66"/>
        <v>0.13050598905820426</v>
      </c>
      <c r="N865" s="17" t="str">
        <f t="shared" si="67"/>
        <v>Over Budget</v>
      </c>
      <c r="O865" s="38">
        <f t="shared" si="68"/>
        <v>-11879.73</v>
      </c>
      <c r="P865" s="39">
        <f t="shared" si="69"/>
        <v>45689</v>
      </c>
    </row>
    <row r="866" spans="1:16" ht="15.5" x14ac:dyDescent="0.35">
      <c r="A866" s="17" t="s">
        <v>914</v>
      </c>
      <c r="B866" s="35">
        <v>45970</v>
      </c>
      <c r="C866" s="17" t="s">
        <v>12</v>
      </c>
      <c r="D866" s="17" t="s">
        <v>19</v>
      </c>
      <c r="E866" s="17" t="s">
        <v>41</v>
      </c>
      <c r="F866" s="17" t="s">
        <v>34</v>
      </c>
      <c r="G866" s="17" t="s">
        <v>38</v>
      </c>
      <c r="H866" s="17" t="s">
        <v>2592</v>
      </c>
      <c r="I866" s="17" t="s">
        <v>39</v>
      </c>
      <c r="J866" s="36">
        <v>17062.5</v>
      </c>
      <c r="K866" s="36">
        <v>5818.56</v>
      </c>
      <c r="L866" s="36">
        <f t="shared" si="65"/>
        <v>-11243.939999999999</v>
      </c>
      <c r="M866" s="37">
        <f t="shared" si="66"/>
        <v>-0.65898549450549437</v>
      </c>
      <c r="N866" s="17" t="str">
        <f t="shared" si="67"/>
        <v>Under Budget</v>
      </c>
      <c r="O866" s="38">
        <f t="shared" si="68"/>
        <v>-5818.56</v>
      </c>
      <c r="P866" s="39">
        <f t="shared" si="69"/>
        <v>45962</v>
      </c>
    </row>
    <row r="867" spans="1:16" ht="15.5" x14ac:dyDescent="0.35">
      <c r="A867" s="17" t="s">
        <v>915</v>
      </c>
      <c r="B867" s="35">
        <v>45989</v>
      </c>
      <c r="C867" s="17" t="s">
        <v>12</v>
      </c>
      <c r="D867" s="17" t="s">
        <v>2584</v>
      </c>
      <c r="E867" s="17" t="s">
        <v>20</v>
      </c>
      <c r="F867" s="17" t="s">
        <v>52</v>
      </c>
      <c r="G867" s="17" t="s">
        <v>38</v>
      </c>
      <c r="H867" s="17" t="s">
        <v>2586</v>
      </c>
      <c r="I867" s="17" t="s">
        <v>30</v>
      </c>
      <c r="J867" s="36">
        <v>1890</v>
      </c>
      <c r="K867" s="36">
        <v>634.24</v>
      </c>
      <c r="L867" s="36">
        <f t="shared" si="65"/>
        <v>-1255.76</v>
      </c>
      <c r="M867" s="37">
        <f t="shared" si="66"/>
        <v>-0.66442328042328047</v>
      </c>
      <c r="N867" s="17" t="str">
        <f t="shared" si="67"/>
        <v>Under Budget</v>
      </c>
      <c r="O867" s="38">
        <f t="shared" si="68"/>
        <v>-634.24</v>
      </c>
      <c r="P867" s="39">
        <f t="shared" si="69"/>
        <v>45962</v>
      </c>
    </row>
    <row r="868" spans="1:16" ht="15.5" x14ac:dyDescent="0.35">
      <c r="A868" s="17" t="s">
        <v>916</v>
      </c>
      <c r="B868" s="35">
        <v>45717</v>
      </c>
      <c r="C868" s="17" t="s">
        <v>12</v>
      </c>
      <c r="D868" s="17" t="s">
        <v>13</v>
      </c>
      <c r="E868" s="17" t="s">
        <v>45</v>
      </c>
      <c r="F868" s="17" t="s">
        <v>34</v>
      </c>
      <c r="G868" s="17" t="s">
        <v>43</v>
      </c>
      <c r="H868" s="17" t="s">
        <v>2589</v>
      </c>
      <c r="I868" s="17" t="s">
        <v>39</v>
      </c>
      <c r="J868" s="36">
        <v>6000</v>
      </c>
      <c r="K868" s="36">
        <v>10671.14</v>
      </c>
      <c r="L868" s="36">
        <f t="shared" si="65"/>
        <v>4671.1399999999994</v>
      </c>
      <c r="M868" s="37">
        <f t="shared" si="66"/>
        <v>0.77852333333333323</v>
      </c>
      <c r="N868" s="17" t="str">
        <f t="shared" si="67"/>
        <v>Over Budget</v>
      </c>
      <c r="O868" s="38">
        <f t="shared" si="68"/>
        <v>-10671.14</v>
      </c>
      <c r="P868" s="39">
        <f t="shared" si="69"/>
        <v>45717</v>
      </c>
    </row>
    <row r="869" spans="1:16" ht="15.5" x14ac:dyDescent="0.35">
      <c r="A869" s="17" t="s">
        <v>917</v>
      </c>
      <c r="B869" s="35">
        <v>45668</v>
      </c>
      <c r="C869" s="17" t="s">
        <v>12</v>
      </c>
      <c r="D869" s="17" t="s">
        <v>26</v>
      </c>
      <c r="E869" s="17" t="s">
        <v>45</v>
      </c>
      <c r="F869" s="17" t="s">
        <v>34</v>
      </c>
      <c r="G869" s="17" t="s">
        <v>22</v>
      </c>
      <c r="H869" s="17" t="s">
        <v>80</v>
      </c>
      <c r="I869" s="17" t="s">
        <v>39</v>
      </c>
      <c r="J869" s="36">
        <v>7591.3</v>
      </c>
      <c r="K869" s="36">
        <v>12981.37</v>
      </c>
      <c r="L869" s="36">
        <f t="shared" si="65"/>
        <v>5390.0700000000006</v>
      </c>
      <c r="M869" s="37">
        <f t="shared" si="66"/>
        <v>0.71003253724658499</v>
      </c>
      <c r="N869" s="17" t="str">
        <f t="shared" si="67"/>
        <v>Over Budget</v>
      </c>
      <c r="O869" s="38">
        <f t="shared" si="68"/>
        <v>-12981.37</v>
      </c>
      <c r="P869" s="39">
        <f t="shared" si="69"/>
        <v>45658</v>
      </c>
    </row>
    <row r="870" spans="1:16" ht="15.5" x14ac:dyDescent="0.35">
      <c r="A870" s="17" t="s">
        <v>918</v>
      </c>
      <c r="B870" s="35">
        <v>46182</v>
      </c>
      <c r="C870" s="17" t="s">
        <v>12</v>
      </c>
      <c r="D870" s="17" t="s">
        <v>13</v>
      </c>
      <c r="E870" s="17" t="s">
        <v>41</v>
      </c>
      <c r="F870" s="17" t="s">
        <v>15</v>
      </c>
      <c r="G870" s="17" t="s">
        <v>22</v>
      </c>
      <c r="H870" s="17" t="s">
        <v>2594</v>
      </c>
      <c r="I870" s="17" t="s">
        <v>30</v>
      </c>
      <c r="J870" s="36">
        <v>5416.67</v>
      </c>
      <c r="K870" s="36">
        <v>9295.4500000000007</v>
      </c>
      <c r="L870" s="36">
        <f t="shared" si="65"/>
        <v>3878.7800000000007</v>
      </c>
      <c r="M870" s="37">
        <f t="shared" si="66"/>
        <v>0.71608202087260264</v>
      </c>
      <c r="N870" s="17" t="str">
        <f t="shared" si="67"/>
        <v>Over Budget</v>
      </c>
      <c r="O870" s="38">
        <f t="shared" si="68"/>
        <v>-9295.4500000000007</v>
      </c>
      <c r="P870" s="39">
        <f t="shared" si="69"/>
        <v>46174</v>
      </c>
    </row>
    <row r="871" spans="1:16" ht="15.5" x14ac:dyDescent="0.35">
      <c r="A871" s="17" t="s">
        <v>919</v>
      </c>
      <c r="B871" s="35">
        <v>45865</v>
      </c>
      <c r="C871" s="17" t="s">
        <v>12</v>
      </c>
      <c r="D871" s="17" t="s">
        <v>2584</v>
      </c>
      <c r="E871" s="17" t="s">
        <v>41</v>
      </c>
      <c r="F871" s="17" t="s">
        <v>34</v>
      </c>
      <c r="G871" s="17" t="s">
        <v>38</v>
      </c>
      <c r="H871" s="17" t="s">
        <v>2587</v>
      </c>
      <c r="I871" s="17" t="s">
        <v>30</v>
      </c>
      <c r="J871" s="36">
        <v>5909.09</v>
      </c>
      <c r="K871" s="36">
        <v>5237.9799999999996</v>
      </c>
      <c r="L871" s="36">
        <f t="shared" si="65"/>
        <v>-671.11000000000058</v>
      </c>
      <c r="M871" s="37">
        <f t="shared" si="66"/>
        <v>-0.11357247901115071</v>
      </c>
      <c r="N871" s="17" t="str">
        <f t="shared" si="67"/>
        <v>Under Budget</v>
      </c>
      <c r="O871" s="38">
        <f t="shared" si="68"/>
        <v>-5237.9799999999996</v>
      </c>
      <c r="P871" s="39">
        <f t="shared" si="69"/>
        <v>45839</v>
      </c>
    </row>
    <row r="872" spans="1:16" ht="15.5" x14ac:dyDescent="0.35">
      <c r="A872" s="17" t="s">
        <v>920</v>
      </c>
      <c r="B872" s="35">
        <v>45817</v>
      </c>
      <c r="C872" s="17" t="s">
        <v>25</v>
      </c>
      <c r="D872" s="17" t="s">
        <v>32</v>
      </c>
      <c r="E872" s="17" t="s">
        <v>109</v>
      </c>
      <c r="F872" s="17" t="s">
        <v>34</v>
      </c>
      <c r="G872" s="17" t="s">
        <v>22</v>
      </c>
      <c r="H872" s="17" t="s">
        <v>2594</v>
      </c>
      <c r="I872" s="17" t="s">
        <v>23</v>
      </c>
      <c r="J872" s="36">
        <v>6250</v>
      </c>
      <c r="K872" s="36">
        <v>2178.2199999999998</v>
      </c>
      <c r="L872" s="36">
        <f t="shared" si="65"/>
        <v>-4071.78</v>
      </c>
      <c r="M872" s="37">
        <f t="shared" si="66"/>
        <v>-0.65148480000000009</v>
      </c>
      <c r="N872" s="17" t="str">
        <f t="shared" si="67"/>
        <v>Under Budget</v>
      </c>
      <c r="O872" s="38">
        <f t="shared" si="68"/>
        <v>2178.2199999999998</v>
      </c>
      <c r="P872" s="39">
        <f t="shared" si="69"/>
        <v>45809</v>
      </c>
    </row>
    <row r="873" spans="1:16" ht="15.5" x14ac:dyDescent="0.35">
      <c r="A873" s="17" t="s">
        <v>921</v>
      </c>
      <c r="B873" s="35">
        <v>45944</v>
      </c>
      <c r="C873" s="17" t="s">
        <v>12</v>
      </c>
      <c r="D873" s="17" t="s">
        <v>26</v>
      </c>
      <c r="E873" s="17" t="s">
        <v>51</v>
      </c>
      <c r="F873" s="17" t="s">
        <v>15</v>
      </c>
      <c r="G873" s="17" t="s">
        <v>22</v>
      </c>
      <c r="H873" s="17" t="s">
        <v>2588</v>
      </c>
      <c r="I873" s="17" t="s">
        <v>23</v>
      </c>
      <c r="J873" s="36">
        <v>5000</v>
      </c>
      <c r="K873" s="36">
        <v>2365.6999999999998</v>
      </c>
      <c r="L873" s="36">
        <f t="shared" si="65"/>
        <v>-2634.3</v>
      </c>
      <c r="M873" s="37">
        <f t="shared" si="66"/>
        <v>-0.52685999999999999</v>
      </c>
      <c r="N873" s="17" t="str">
        <f t="shared" si="67"/>
        <v>Under Budget</v>
      </c>
      <c r="O873" s="38">
        <f t="shared" si="68"/>
        <v>-2365.6999999999998</v>
      </c>
      <c r="P873" s="39">
        <f t="shared" si="69"/>
        <v>45931</v>
      </c>
    </row>
    <row r="874" spans="1:16" ht="15.5" x14ac:dyDescent="0.35">
      <c r="A874" s="17" t="s">
        <v>922</v>
      </c>
      <c r="B874" s="35">
        <v>46042</v>
      </c>
      <c r="C874" s="17" t="s">
        <v>25</v>
      </c>
      <c r="D874" s="17" t="s">
        <v>2584</v>
      </c>
      <c r="E874" s="17" t="s">
        <v>27</v>
      </c>
      <c r="F874" s="17" t="s">
        <v>15</v>
      </c>
      <c r="G874" s="17" t="s">
        <v>38</v>
      </c>
      <c r="H874" s="17" t="s">
        <v>2596</v>
      </c>
      <c r="I874" s="17" t="s">
        <v>17</v>
      </c>
      <c r="J874" s="36">
        <v>8622.2199999999993</v>
      </c>
      <c r="K874" s="36">
        <v>7753.63</v>
      </c>
      <c r="L874" s="36">
        <f t="shared" si="65"/>
        <v>-868.58999999999924</v>
      </c>
      <c r="M874" s="37">
        <f t="shared" si="66"/>
        <v>-0.10073855689138056</v>
      </c>
      <c r="N874" s="17" t="str">
        <f t="shared" si="67"/>
        <v>Under Budget</v>
      </c>
      <c r="O874" s="38">
        <f t="shared" si="68"/>
        <v>7753.63</v>
      </c>
      <c r="P874" s="39">
        <f t="shared" si="69"/>
        <v>46023</v>
      </c>
    </row>
    <row r="875" spans="1:16" ht="15.5" x14ac:dyDescent="0.35">
      <c r="A875" s="17" t="s">
        <v>923</v>
      </c>
      <c r="B875" s="35">
        <v>46201</v>
      </c>
      <c r="C875" s="17" t="s">
        <v>12</v>
      </c>
      <c r="D875" s="17" t="s">
        <v>32</v>
      </c>
      <c r="E875" s="17" t="s">
        <v>77</v>
      </c>
      <c r="F875" s="17" t="s">
        <v>52</v>
      </c>
      <c r="G875" s="17" t="s">
        <v>38</v>
      </c>
      <c r="H875" s="17" t="s">
        <v>2589</v>
      </c>
      <c r="I875" s="17" t="s">
        <v>23</v>
      </c>
      <c r="J875" s="36">
        <v>3142.86</v>
      </c>
      <c r="K875" s="36">
        <v>219.69</v>
      </c>
      <c r="L875" s="36">
        <f t="shared" si="65"/>
        <v>-2923.17</v>
      </c>
      <c r="M875" s="37">
        <f t="shared" si="66"/>
        <v>-0.93009869991027283</v>
      </c>
      <c r="N875" s="17" t="str">
        <f t="shared" si="67"/>
        <v>Under Budget</v>
      </c>
      <c r="O875" s="38">
        <f t="shared" si="68"/>
        <v>-219.69</v>
      </c>
      <c r="P875" s="39">
        <f t="shared" si="69"/>
        <v>46174</v>
      </c>
    </row>
    <row r="876" spans="1:16" ht="15.5" x14ac:dyDescent="0.35">
      <c r="A876" s="17" t="s">
        <v>924</v>
      </c>
      <c r="B876" s="35">
        <v>46074</v>
      </c>
      <c r="C876" s="17" t="s">
        <v>12</v>
      </c>
      <c r="D876" s="17" t="s">
        <v>19</v>
      </c>
      <c r="E876" s="17" t="s">
        <v>51</v>
      </c>
      <c r="F876" s="17" t="s">
        <v>28</v>
      </c>
      <c r="G876" s="17" t="s">
        <v>82</v>
      </c>
      <c r="H876" s="17" t="s">
        <v>80</v>
      </c>
      <c r="I876" s="17" t="s">
        <v>17</v>
      </c>
      <c r="J876" s="36">
        <v>2910</v>
      </c>
      <c r="K876" s="36">
        <v>6012.07</v>
      </c>
      <c r="L876" s="36">
        <f t="shared" si="65"/>
        <v>3102.0699999999997</v>
      </c>
      <c r="M876" s="37">
        <f t="shared" si="66"/>
        <v>1.0660034364261168</v>
      </c>
      <c r="N876" s="17" t="str">
        <f t="shared" si="67"/>
        <v>Over Budget</v>
      </c>
      <c r="O876" s="38">
        <f t="shared" si="68"/>
        <v>-6012.07</v>
      </c>
      <c r="P876" s="39">
        <f t="shared" si="69"/>
        <v>46054</v>
      </c>
    </row>
    <row r="877" spans="1:16" ht="15.5" x14ac:dyDescent="0.35">
      <c r="A877" s="17" t="s">
        <v>925</v>
      </c>
      <c r="B877" s="35">
        <v>45876</v>
      </c>
      <c r="C877" s="17" t="s">
        <v>12</v>
      </c>
      <c r="D877" s="17" t="s">
        <v>2585</v>
      </c>
      <c r="E877" s="17" t="s">
        <v>77</v>
      </c>
      <c r="F877" s="17" t="s">
        <v>28</v>
      </c>
      <c r="G877" s="17" t="s">
        <v>16</v>
      </c>
      <c r="H877" s="17" t="s">
        <v>2586</v>
      </c>
      <c r="I877" s="17" t="s">
        <v>23</v>
      </c>
      <c r="J877" s="36">
        <v>3666.67</v>
      </c>
      <c r="K877" s="36">
        <v>3582.62</v>
      </c>
      <c r="L877" s="36">
        <f t="shared" si="65"/>
        <v>-84.050000000000182</v>
      </c>
      <c r="M877" s="37">
        <f t="shared" si="66"/>
        <v>-2.2922706433903289E-2</v>
      </c>
      <c r="N877" s="17" t="str">
        <f t="shared" si="67"/>
        <v>Under Budget</v>
      </c>
      <c r="O877" s="38">
        <f t="shared" si="68"/>
        <v>-3582.62</v>
      </c>
      <c r="P877" s="39">
        <f t="shared" si="69"/>
        <v>45870</v>
      </c>
    </row>
    <row r="878" spans="1:16" ht="15.5" x14ac:dyDescent="0.35">
      <c r="A878" s="17" t="s">
        <v>926</v>
      </c>
      <c r="B878" s="35">
        <v>45796</v>
      </c>
      <c r="C878" s="17" t="s">
        <v>12</v>
      </c>
      <c r="D878" s="17" t="s">
        <v>19</v>
      </c>
      <c r="E878" s="17" t="s">
        <v>45</v>
      </c>
      <c r="F878" s="17" t="s">
        <v>21</v>
      </c>
      <c r="G878" s="17" t="s">
        <v>38</v>
      </c>
      <c r="H878" s="17" t="s">
        <v>2597</v>
      </c>
      <c r="I878" s="17" t="s">
        <v>30</v>
      </c>
      <c r="J878" s="36">
        <v>0</v>
      </c>
      <c r="K878" s="36">
        <v>894.62</v>
      </c>
      <c r="L878" s="36">
        <f t="shared" si="65"/>
        <v>894.62</v>
      </c>
      <c r="M878" s="37">
        <f t="shared" si="66"/>
        <v>0</v>
      </c>
      <c r="N878" s="17" t="str">
        <f t="shared" si="67"/>
        <v>No Budget</v>
      </c>
      <c r="O878" s="38">
        <f t="shared" si="68"/>
        <v>-894.62</v>
      </c>
      <c r="P878" s="39">
        <f t="shared" si="69"/>
        <v>45778</v>
      </c>
    </row>
    <row r="879" spans="1:16" ht="15.5" x14ac:dyDescent="0.35">
      <c r="A879" s="17" t="s">
        <v>927</v>
      </c>
      <c r="B879" s="35">
        <v>45935</v>
      </c>
      <c r="C879" s="17" t="s">
        <v>25</v>
      </c>
      <c r="D879" s="17" t="s">
        <v>36</v>
      </c>
      <c r="E879" s="17" t="s">
        <v>33</v>
      </c>
      <c r="F879" s="17" t="s">
        <v>15</v>
      </c>
      <c r="G879" s="17" t="s">
        <v>38</v>
      </c>
      <c r="H879" s="17" t="s">
        <v>2594</v>
      </c>
      <c r="I879" s="17" t="s">
        <v>48</v>
      </c>
      <c r="J879" s="36">
        <v>8928.57</v>
      </c>
      <c r="K879" s="36">
        <v>24673.11</v>
      </c>
      <c r="L879" s="36">
        <f t="shared" si="65"/>
        <v>15744.54</v>
      </c>
      <c r="M879" s="37">
        <f t="shared" si="66"/>
        <v>1.7633887621422022</v>
      </c>
      <c r="N879" s="17" t="str">
        <f t="shared" si="67"/>
        <v>Over Budget</v>
      </c>
      <c r="O879" s="38">
        <f t="shared" si="68"/>
        <v>24673.11</v>
      </c>
      <c r="P879" s="39">
        <f t="shared" si="69"/>
        <v>45931</v>
      </c>
    </row>
    <row r="880" spans="1:16" ht="15.5" x14ac:dyDescent="0.35">
      <c r="A880" s="17" t="s">
        <v>928</v>
      </c>
      <c r="B880" s="35">
        <v>45982</v>
      </c>
      <c r="C880" s="17" t="s">
        <v>12</v>
      </c>
      <c r="D880" s="17" t="s">
        <v>26</v>
      </c>
      <c r="E880" s="17" t="s">
        <v>77</v>
      </c>
      <c r="F880" s="17" t="s">
        <v>15</v>
      </c>
      <c r="G880" s="17" t="s">
        <v>38</v>
      </c>
      <c r="H880" s="17" t="s">
        <v>2587</v>
      </c>
      <c r="I880" s="17" t="s">
        <v>23</v>
      </c>
      <c r="J880" s="36">
        <v>2310</v>
      </c>
      <c r="K880" s="36">
        <v>2526.0300000000002</v>
      </c>
      <c r="L880" s="36">
        <f t="shared" si="65"/>
        <v>216.0300000000002</v>
      </c>
      <c r="M880" s="37">
        <f t="shared" si="66"/>
        <v>9.3519480519480599E-2</v>
      </c>
      <c r="N880" s="17" t="str">
        <f t="shared" si="67"/>
        <v>Over Budget</v>
      </c>
      <c r="O880" s="38">
        <f t="shared" si="68"/>
        <v>-2526.0300000000002</v>
      </c>
      <c r="P880" s="39">
        <f t="shared" si="69"/>
        <v>45962</v>
      </c>
    </row>
    <row r="881" spans="1:16" ht="15.5" x14ac:dyDescent="0.35">
      <c r="A881" s="17" t="s">
        <v>929</v>
      </c>
      <c r="B881" s="35">
        <v>45803</v>
      </c>
      <c r="C881" s="17" t="s">
        <v>25</v>
      </c>
      <c r="D881" s="17" t="s">
        <v>26</v>
      </c>
      <c r="E881" s="17" t="s">
        <v>33</v>
      </c>
      <c r="F881" s="17" t="s">
        <v>21</v>
      </c>
      <c r="G881" s="17" t="s">
        <v>82</v>
      </c>
      <c r="H881" s="17" t="s">
        <v>2598</v>
      </c>
      <c r="I881" s="17" t="s">
        <v>30</v>
      </c>
      <c r="J881" s="36">
        <v>9615.3799999999992</v>
      </c>
      <c r="K881" s="36">
        <v>2926.28</v>
      </c>
      <c r="L881" s="36">
        <f t="shared" si="65"/>
        <v>-6689.0999999999985</v>
      </c>
      <c r="M881" s="37">
        <f t="shared" si="66"/>
        <v>-0.6956667339200322</v>
      </c>
      <c r="N881" s="17" t="str">
        <f t="shared" si="67"/>
        <v>Under Budget</v>
      </c>
      <c r="O881" s="38">
        <f t="shared" si="68"/>
        <v>2926.28</v>
      </c>
      <c r="P881" s="39">
        <f t="shared" si="69"/>
        <v>45778</v>
      </c>
    </row>
    <row r="882" spans="1:16" ht="15.5" x14ac:dyDescent="0.35">
      <c r="A882" s="17" t="s">
        <v>930</v>
      </c>
      <c r="B882" s="35">
        <v>45719</v>
      </c>
      <c r="C882" s="17" t="s">
        <v>25</v>
      </c>
      <c r="D882" s="17" t="s">
        <v>32</v>
      </c>
      <c r="E882" s="17" t="s">
        <v>33</v>
      </c>
      <c r="F882" s="17" t="s">
        <v>15</v>
      </c>
      <c r="G882" s="17" t="s">
        <v>38</v>
      </c>
      <c r="H882" s="17" t="s">
        <v>2592</v>
      </c>
      <c r="I882" s="17" t="s">
        <v>48</v>
      </c>
      <c r="J882" s="36">
        <v>8064.52</v>
      </c>
      <c r="K882" s="36">
        <v>24064.15</v>
      </c>
      <c r="L882" s="36">
        <f t="shared" si="65"/>
        <v>15999.630000000001</v>
      </c>
      <c r="M882" s="37">
        <f t="shared" si="66"/>
        <v>1.9839531677024795</v>
      </c>
      <c r="N882" s="17" t="str">
        <f t="shared" si="67"/>
        <v>Over Budget</v>
      </c>
      <c r="O882" s="38">
        <f t="shared" si="68"/>
        <v>24064.15</v>
      </c>
      <c r="P882" s="39">
        <f t="shared" si="69"/>
        <v>45717</v>
      </c>
    </row>
    <row r="883" spans="1:16" ht="15.5" x14ac:dyDescent="0.35">
      <c r="A883" s="17" t="s">
        <v>931</v>
      </c>
      <c r="B883" s="35">
        <v>45885</v>
      </c>
      <c r="C883" s="17" t="s">
        <v>25</v>
      </c>
      <c r="D883" s="17" t="s">
        <v>32</v>
      </c>
      <c r="E883" s="17" t="s">
        <v>169</v>
      </c>
      <c r="F883" s="17" t="s">
        <v>28</v>
      </c>
      <c r="G883" s="17" t="s">
        <v>38</v>
      </c>
      <c r="H883" s="17" t="s">
        <v>2595</v>
      </c>
      <c r="I883" s="17" t="s">
        <v>48</v>
      </c>
      <c r="J883" s="36">
        <v>6666.67</v>
      </c>
      <c r="K883" s="36">
        <v>1908.8</v>
      </c>
      <c r="L883" s="36">
        <f t="shared" si="65"/>
        <v>-4757.87</v>
      </c>
      <c r="M883" s="37">
        <f t="shared" si="66"/>
        <v>-0.71368014315992845</v>
      </c>
      <c r="N883" s="17" t="str">
        <f t="shared" si="67"/>
        <v>Under Budget</v>
      </c>
      <c r="O883" s="38">
        <f t="shared" si="68"/>
        <v>1908.8</v>
      </c>
      <c r="P883" s="39">
        <f t="shared" si="69"/>
        <v>45870</v>
      </c>
    </row>
    <row r="884" spans="1:16" ht="15.5" x14ac:dyDescent="0.35">
      <c r="A884" s="17" t="s">
        <v>932</v>
      </c>
      <c r="B884" s="35">
        <v>45830</v>
      </c>
      <c r="C884" s="17" t="s">
        <v>25</v>
      </c>
      <c r="D884" s="17" t="s">
        <v>32</v>
      </c>
      <c r="E884" s="17" t="s">
        <v>109</v>
      </c>
      <c r="F884" s="17" t="s">
        <v>52</v>
      </c>
      <c r="G884" s="17" t="s">
        <v>38</v>
      </c>
      <c r="H884" s="17" t="s">
        <v>2596</v>
      </c>
      <c r="I884" s="17" t="s">
        <v>23</v>
      </c>
      <c r="J884" s="36">
        <v>6250</v>
      </c>
      <c r="K884" s="36">
        <v>3484.39</v>
      </c>
      <c r="L884" s="36">
        <f t="shared" si="65"/>
        <v>-2765.61</v>
      </c>
      <c r="M884" s="37">
        <f t="shared" si="66"/>
        <v>-0.44249760000000005</v>
      </c>
      <c r="N884" s="17" t="str">
        <f t="shared" si="67"/>
        <v>Under Budget</v>
      </c>
      <c r="O884" s="38">
        <f t="shared" si="68"/>
        <v>3484.39</v>
      </c>
      <c r="P884" s="39">
        <f t="shared" si="69"/>
        <v>45809</v>
      </c>
    </row>
    <row r="885" spans="1:16" ht="15.5" x14ac:dyDescent="0.35">
      <c r="A885" s="17" t="s">
        <v>933</v>
      </c>
      <c r="B885" s="35">
        <v>45867</v>
      </c>
      <c r="C885" s="17" t="s">
        <v>12</v>
      </c>
      <c r="D885" s="17" t="s">
        <v>19</v>
      </c>
      <c r="E885" s="17" t="s">
        <v>41</v>
      </c>
      <c r="F885" s="17" t="s">
        <v>34</v>
      </c>
      <c r="G885" s="17" t="s">
        <v>43</v>
      </c>
      <c r="H885" s="17" t="s">
        <v>2594</v>
      </c>
      <c r="I885" s="17" t="s">
        <v>23</v>
      </c>
      <c r="J885" s="36">
        <v>5909.09</v>
      </c>
      <c r="K885" s="36">
        <v>6556.65</v>
      </c>
      <c r="L885" s="36">
        <f t="shared" si="65"/>
        <v>647.55999999999949</v>
      </c>
      <c r="M885" s="37">
        <f t="shared" si="66"/>
        <v>0.10958709378262972</v>
      </c>
      <c r="N885" s="17" t="str">
        <f t="shared" si="67"/>
        <v>Over Budget</v>
      </c>
      <c r="O885" s="38">
        <f t="shared" si="68"/>
        <v>-6556.65</v>
      </c>
      <c r="P885" s="39">
        <f t="shared" si="69"/>
        <v>45839</v>
      </c>
    </row>
    <row r="886" spans="1:16" ht="15.5" x14ac:dyDescent="0.35">
      <c r="A886" s="17" t="s">
        <v>934</v>
      </c>
      <c r="B886" s="35">
        <v>45992</v>
      </c>
      <c r="C886" s="17" t="s">
        <v>12</v>
      </c>
      <c r="D886" s="17" t="s">
        <v>2584</v>
      </c>
      <c r="E886" s="17" t="s">
        <v>51</v>
      </c>
      <c r="F886" s="17" t="s">
        <v>15</v>
      </c>
      <c r="G886" s="17" t="s">
        <v>38</v>
      </c>
      <c r="H886" s="17" t="s">
        <v>2589</v>
      </c>
      <c r="I886" s="17" t="s">
        <v>30</v>
      </c>
      <c r="J886" s="36">
        <v>4500</v>
      </c>
      <c r="K886" s="36">
        <v>2208.06</v>
      </c>
      <c r="L886" s="36">
        <f t="shared" si="65"/>
        <v>-2291.94</v>
      </c>
      <c r="M886" s="37">
        <f t="shared" si="66"/>
        <v>-0.50931999999999999</v>
      </c>
      <c r="N886" s="17" t="str">
        <f t="shared" si="67"/>
        <v>Under Budget</v>
      </c>
      <c r="O886" s="38">
        <f t="shared" si="68"/>
        <v>-2208.06</v>
      </c>
      <c r="P886" s="39">
        <f t="shared" si="69"/>
        <v>45992</v>
      </c>
    </row>
    <row r="887" spans="1:16" ht="15.5" x14ac:dyDescent="0.35">
      <c r="A887" s="17" t="s">
        <v>935</v>
      </c>
      <c r="B887" s="35">
        <v>46072</v>
      </c>
      <c r="C887" s="17" t="s">
        <v>12</v>
      </c>
      <c r="D887" s="17" t="s">
        <v>26</v>
      </c>
      <c r="E887" s="17" t="s">
        <v>51</v>
      </c>
      <c r="F887" s="17" t="s">
        <v>21</v>
      </c>
      <c r="G887" s="17" t="s">
        <v>16</v>
      </c>
      <c r="H887" s="17" t="s">
        <v>2596</v>
      </c>
      <c r="I887" s="17" t="s">
        <v>23</v>
      </c>
      <c r="J887" s="36">
        <v>2910</v>
      </c>
      <c r="K887" s="36">
        <v>5244.37</v>
      </c>
      <c r="L887" s="36">
        <f t="shared" si="65"/>
        <v>2334.37</v>
      </c>
      <c r="M887" s="37">
        <f t="shared" si="66"/>
        <v>0.80218900343642607</v>
      </c>
      <c r="N887" s="17" t="str">
        <f t="shared" si="67"/>
        <v>Over Budget</v>
      </c>
      <c r="O887" s="38">
        <f t="shared" si="68"/>
        <v>-5244.37</v>
      </c>
      <c r="P887" s="39">
        <f t="shared" si="69"/>
        <v>46054</v>
      </c>
    </row>
    <row r="888" spans="1:16" ht="15.5" x14ac:dyDescent="0.35">
      <c r="A888" s="17" t="s">
        <v>936</v>
      </c>
      <c r="B888" s="35">
        <v>45721</v>
      </c>
      <c r="C888" s="17" t="s">
        <v>25</v>
      </c>
      <c r="D888" s="17" t="s">
        <v>36</v>
      </c>
      <c r="E888" s="17" t="s">
        <v>33</v>
      </c>
      <c r="F888" s="17" t="s">
        <v>21</v>
      </c>
      <c r="G888" s="17" t="s">
        <v>43</v>
      </c>
      <c r="H888" s="17" t="s">
        <v>2593</v>
      </c>
      <c r="I888" s="17" t="s">
        <v>23</v>
      </c>
      <c r="J888" s="36">
        <v>8064.52</v>
      </c>
      <c r="K888" s="36">
        <v>20988.98</v>
      </c>
      <c r="L888" s="36">
        <f t="shared" si="65"/>
        <v>12924.46</v>
      </c>
      <c r="M888" s="37">
        <f t="shared" si="66"/>
        <v>1.6026322707365099</v>
      </c>
      <c r="N888" s="17" t="str">
        <f t="shared" si="67"/>
        <v>Over Budget</v>
      </c>
      <c r="O888" s="38">
        <f t="shared" si="68"/>
        <v>20988.98</v>
      </c>
      <c r="P888" s="39">
        <f t="shared" si="69"/>
        <v>45717</v>
      </c>
    </row>
    <row r="889" spans="1:16" ht="15.5" x14ac:dyDescent="0.35">
      <c r="A889" s="17" t="s">
        <v>937</v>
      </c>
      <c r="B889" s="35">
        <v>45995</v>
      </c>
      <c r="C889" s="17" t="s">
        <v>25</v>
      </c>
      <c r="D889" s="17" t="s">
        <v>32</v>
      </c>
      <c r="E889" s="17" t="s">
        <v>33</v>
      </c>
      <c r="F889" s="17" t="s">
        <v>52</v>
      </c>
      <c r="G889" s="17" t="s">
        <v>22</v>
      </c>
      <c r="H889" s="17" t="s">
        <v>2595</v>
      </c>
      <c r="I889" s="17" t="s">
        <v>23</v>
      </c>
      <c r="J889" s="36">
        <v>15441.18</v>
      </c>
      <c r="K889" s="36">
        <v>8750.76</v>
      </c>
      <c r="L889" s="36">
        <f t="shared" si="65"/>
        <v>-6690.42</v>
      </c>
      <c r="M889" s="37">
        <f t="shared" si="66"/>
        <v>-0.43328424382074426</v>
      </c>
      <c r="N889" s="17" t="str">
        <f t="shared" si="67"/>
        <v>Under Budget</v>
      </c>
      <c r="O889" s="38">
        <f t="shared" si="68"/>
        <v>8750.76</v>
      </c>
      <c r="P889" s="39">
        <f t="shared" si="69"/>
        <v>45992</v>
      </c>
    </row>
    <row r="890" spans="1:16" ht="15.5" x14ac:dyDescent="0.35">
      <c r="A890" s="17" t="s">
        <v>938</v>
      </c>
      <c r="B890" s="35">
        <v>46093</v>
      </c>
      <c r="C890" s="17" t="s">
        <v>25</v>
      </c>
      <c r="D890" s="17" t="s">
        <v>36</v>
      </c>
      <c r="E890" s="17" t="s">
        <v>109</v>
      </c>
      <c r="F890" s="17" t="s">
        <v>52</v>
      </c>
      <c r="G890" s="17" t="s">
        <v>29</v>
      </c>
      <c r="H890" s="17" t="s">
        <v>2589</v>
      </c>
      <c r="I890" s="17" t="s">
        <v>39</v>
      </c>
      <c r="J890" s="36">
        <v>10000</v>
      </c>
      <c r="K890" s="36">
        <v>6405.9</v>
      </c>
      <c r="L890" s="36">
        <f t="shared" si="65"/>
        <v>-3594.1000000000004</v>
      </c>
      <c r="M890" s="37">
        <f t="shared" si="66"/>
        <v>-0.35941000000000006</v>
      </c>
      <c r="N890" s="17" t="str">
        <f t="shared" si="67"/>
        <v>Under Budget</v>
      </c>
      <c r="O890" s="38">
        <f t="shared" si="68"/>
        <v>6405.9</v>
      </c>
      <c r="P890" s="39">
        <f t="shared" si="69"/>
        <v>46082</v>
      </c>
    </row>
    <row r="891" spans="1:16" ht="15.5" x14ac:dyDescent="0.35">
      <c r="A891" s="17" t="s">
        <v>939</v>
      </c>
      <c r="B891" s="35">
        <v>46042</v>
      </c>
      <c r="C891" s="17" t="s">
        <v>12</v>
      </c>
      <c r="D891" s="17" t="s">
        <v>19</v>
      </c>
      <c r="E891" s="17" t="s">
        <v>51</v>
      </c>
      <c r="F891" s="17" t="s">
        <v>34</v>
      </c>
      <c r="G891" s="17" t="s">
        <v>38</v>
      </c>
      <c r="H891" s="17" t="s">
        <v>2591</v>
      </c>
      <c r="I891" s="17" t="s">
        <v>39</v>
      </c>
      <c r="J891" s="36">
        <v>3637.5</v>
      </c>
      <c r="K891" s="36">
        <v>3370.33</v>
      </c>
      <c r="L891" s="36">
        <f t="shared" si="65"/>
        <v>-267.17000000000007</v>
      </c>
      <c r="M891" s="37">
        <f t="shared" si="66"/>
        <v>-7.3448797250859121E-2</v>
      </c>
      <c r="N891" s="17" t="str">
        <f t="shared" si="67"/>
        <v>Under Budget</v>
      </c>
      <c r="O891" s="38">
        <f t="shared" si="68"/>
        <v>-3370.33</v>
      </c>
      <c r="P891" s="39">
        <f t="shared" si="69"/>
        <v>46023</v>
      </c>
    </row>
    <row r="892" spans="1:16" ht="15.5" x14ac:dyDescent="0.35">
      <c r="A892" s="17" t="s">
        <v>940</v>
      </c>
      <c r="B892" s="35">
        <v>46074</v>
      </c>
      <c r="C892" s="17" t="s">
        <v>25</v>
      </c>
      <c r="D892" s="17" t="s">
        <v>13</v>
      </c>
      <c r="E892" s="17" t="s">
        <v>169</v>
      </c>
      <c r="F892" s="17" t="s">
        <v>15</v>
      </c>
      <c r="G892" s="17" t="s">
        <v>38</v>
      </c>
      <c r="H892" s="17" t="s">
        <v>2594</v>
      </c>
      <c r="I892" s="17" t="s">
        <v>48</v>
      </c>
      <c r="J892" s="36">
        <v>3880</v>
      </c>
      <c r="K892" s="36">
        <v>1525.1</v>
      </c>
      <c r="L892" s="36">
        <f t="shared" si="65"/>
        <v>-2354.9</v>
      </c>
      <c r="M892" s="37">
        <f t="shared" si="66"/>
        <v>-0.60693298969072162</v>
      </c>
      <c r="N892" s="17" t="str">
        <f t="shared" si="67"/>
        <v>Under Budget</v>
      </c>
      <c r="O892" s="38">
        <f t="shared" si="68"/>
        <v>1525.1</v>
      </c>
      <c r="P892" s="39">
        <f t="shared" si="69"/>
        <v>46054</v>
      </c>
    </row>
    <row r="893" spans="1:16" ht="15.5" x14ac:dyDescent="0.35">
      <c r="A893" s="17" t="s">
        <v>941</v>
      </c>
      <c r="B893" s="35">
        <v>46118</v>
      </c>
      <c r="C893" s="17" t="s">
        <v>25</v>
      </c>
      <c r="D893" s="17" t="s">
        <v>26</v>
      </c>
      <c r="E893" s="17" t="s">
        <v>33</v>
      </c>
      <c r="F893" s="17" t="s">
        <v>28</v>
      </c>
      <c r="G893" s="17" t="s">
        <v>38</v>
      </c>
      <c r="H893" s="17" t="s">
        <v>2596</v>
      </c>
      <c r="I893" s="17" t="s">
        <v>39</v>
      </c>
      <c r="J893" s="36">
        <v>8333.33</v>
      </c>
      <c r="K893" s="36">
        <v>3609.5</v>
      </c>
      <c r="L893" s="36">
        <f t="shared" si="65"/>
        <v>-4723.83</v>
      </c>
      <c r="M893" s="37">
        <f t="shared" si="66"/>
        <v>-0.56685982674393065</v>
      </c>
      <c r="N893" s="17" t="str">
        <f t="shared" si="67"/>
        <v>Under Budget</v>
      </c>
      <c r="O893" s="38">
        <f t="shared" si="68"/>
        <v>3609.5</v>
      </c>
      <c r="P893" s="39">
        <f t="shared" si="69"/>
        <v>46113</v>
      </c>
    </row>
    <row r="894" spans="1:16" ht="15.5" x14ac:dyDescent="0.35">
      <c r="A894" s="17" t="s">
        <v>942</v>
      </c>
      <c r="B894" s="35">
        <v>45967</v>
      </c>
      <c r="C894" s="17" t="s">
        <v>25</v>
      </c>
      <c r="D894" s="17" t="s">
        <v>32</v>
      </c>
      <c r="E894" s="17" t="s">
        <v>109</v>
      </c>
      <c r="F894" s="17" t="s">
        <v>21</v>
      </c>
      <c r="G894" s="17" t="s">
        <v>16</v>
      </c>
      <c r="H894" s="17" t="s">
        <v>2593</v>
      </c>
      <c r="I894" s="17" t="s">
        <v>23</v>
      </c>
      <c r="J894" s="36">
        <v>9545.4500000000007</v>
      </c>
      <c r="K894" s="36">
        <v>7885.34</v>
      </c>
      <c r="L894" s="36">
        <f t="shared" si="65"/>
        <v>-1660.1100000000006</v>
      </c>
      <c r="M894" s="37">
        <f t="shared" si="66"/>
        <v>-0.17391636853160411</v>
      </c>
      <c r="N894" s="17" t="str">
        <f t="shared" si="67"/>
        <v>Under Budget</v>
      </c>
      <c r="O894" s="38">
        <f t="shared" si="68"/>
        <v>7885.34</v>
      </c>
      <c r="P894" s="39">
        <f t="shared" si="69"/>
        <v>45962</v>
      </c>
    </row>
    <row r="895" spans="1:16" ht="15.5" x14ac:dyDescent="0.35">
      <c r="A895" s="17" t="s">
        <v>943</v>
      </c>
      <c r="B895" s="35">
        <v>46090</v>
      </c>
      <c r="C895" s="17" t="s">
        <v>12</v>
      </c>
      <c r="D895" s="17" t="s">
        <v>19</v>
      </c>
      <c r="E895" s="17" t="s">
        <v>65</v>
      </c>
      <c r="F895" s="17" t="s">
        <v>34</v>
      </c>
      <c r="G895" s="17" t="s">
        <v>22</v>
      </c>
      <c r="H895" s="17" t="s">
        <v>2596</v>
      </c>
      <c r="I895" s="17" t="s">
        <v>17</v>
      </c>
      <c r="J895" s="36">
        <v>5000</v>
      </c>
      <c r="K895" s="36">
        <v>6636.2</v>
      </c>
      <c r="L895" s="36">
        <f t="shared" si="65"/>
        <v>1636.1999999999998</v>
      </c>
      <c r="M895" s="37">
        <f t="shared" si="66"/>
        <v>0.32723999999999998</v>
      </c>
      <c r="N895" s="17" t="str">
        <f t="shared" si="67"/>
        <v>Over Budget</v>
      </c>
      <c r="O895" s="38">
        <f t="shared" si="68"/>
        <v>-6636.2</v>
      </c>
      <c r="P895" s="39">
        <f t="shared" si="69"/>
        <v>46082</v>
      </c>
    </row>
    <row r="896" spans="1:16" ht="15.5" x14ac:dyDescent="0.35">
      <c r="A896" s="17" t="s">
        <v>944</v>
      </c>
      <c r="B896" s="35">
        <v>45673</v>
      </c>
      <c r="C896" s="17" t="s">
        <v>12</v>
      </c>
      <c r="D896" s="17" t="s">
        <v>13</v>
      </c>
      <c r="E896" s="17" t="s">
        <v>51</v>
      </c>
      <c r="F896" s="17" t="s">
        <v>15</v>
      </c>
      <c r="G896" s="17" t="s">
        <v>38</v>
      </c>
      <c r="H896" s="17" t="s">
        <v>60</v>
      </c>
      <c r="I896" s="17" t="s">
        <v>23</v>
      </c>
      <c r="J896" s="36">
        <v>3637.5</v>
      </c>
      <c r="K896" s="36">
        <v>6918.56</v>
      </c>
      <c r="L896" s="36">
        <f t="shared" si="65"/>
        <v>3281.0600000000004</v>
      </c>
      <c r="M896" s="37">
        <f t="shared" si="66"/>
        <v>0.90200962199312729</v>
      </c>
      <c r="N896" s="17" t="str">
        <f t="shared" si="67"/>
        <v>Over Budget</v>
      </c>
      <c r="O896" s="38">
        <f t="shared" si="68"/>
        <v>-6918.56</v>
      </c>
      <c r="P896" s="39">
        <f t="shared" si="69"/>
        <v>45658</v>
      </c>
    </row>
    <row r="897" spans="1:16" ht="15.5" x14ac:dyDescent="0.35">
      <c r="A897" s="17" t="s">
        <v>945</v>
      </c>
      <c r="B897" s="35">
        <v>46199</v>
      </c>
      <c r="C897" s="17" t="s">
        <v>12</v>
      </c>
      <c r="D897" s="17" t="s">
        <v>19</v>
      </c>
      <c r="E897" s="17" t="s">
        <v>47</v>
      </c>
      <c r="F897" s="17" t="s">
        <v>28</v>
      </c>
      <c r="G897" s="17" t="s">
        <v>43</v>
      </c>
      <c r="H897" s="17" t="s">
        <v>2588</v>
      </c>
      <c r="I897" s="17" t="s">
        <v>23</v>
      </c>
      <c r="J897" s="36">
        <v>5000</v>
      </c>
      <c r="K897" s="36">
        <v>4665.3999999999996</v>
      </c>
      <c r="L897" s="36">
        <f t="shared" si="65"/>
        <v>-334.60000000000036</v>
      </c>
      <c r="M897" s="37">
        <f t="shared" si="66"/>
        <v>-6.6920000000000077E-2</v>
      </c>
      <c r="N897" s="17" t="str">
        <f t="shared" si="67"/>
        <v>Under Budget</v>
      </c>
      <c r="O897" s="38">
        <f t="shared" si="68"/>
        <v>-4665.3999999999996</v>
      </c>
      <c r="P897" s="39">
        <f t="shared" si="69"/>
        <v>46174</v>
      </c>
    </row>
    <row r="898" spans="1:16" ht="15.5" x14ac:dyDescent="0.35">
      <c r="A898" s="17" t="s">
        <v>946</v>
      </c>
      <c r="B898" s="35">
        <v>45925</v>
      </c>
      <c r="C898" s="17" t="s">
        <v>25</v>
      </c>
      <c r="D898" s="17" t="s">
        <v>36</v>
      </c>
      <c r="E898" s="17" t="s">
        <v>109</v>
      </c>
      <c r="F898" s="17" t="s">
        <v>34</v>
      </c>
      <c r="G898" s="17" t="s">
        <v>38</v>
      </c>
      <c r="H898" s="17" t="s">
        <v>2588</v>
      </c>
      <c r="I898" s="17" t="s">
        <v>23</v>
      </c>
      <c r="J898" s="36">
        <v>7142.86</v>
      </c>
      <c r="K898" s="36">
        <v>13370.29</v>
      </c>
      <c r="L898" s="36">
        <f t="shared" si="65"/>
        <v>6227.4300000000012</v>
      </c>
      <c r="M898" s="37">
        <f t="shared" si="66"/>
        <v>0.87183985126405972</v>
      </c>
      <c r="N898" s="17" t="str">
        <f t="shared" si="67"/>
        <v>Over Budget</v>
      </c>
      <c r="O898" s="38">
        <f t="shared" si="68"/>
        <v>13370.29</v>
      </c>
      <c r="P898" s="39">
        <f t="shared" si="69"/>
        <v>45901</v>
      </c>
    </row>
    <row r="899" spans="1:16" ht="15.5" x14ac:dyDescent="0.35">
      <c r="A899" s="17" t="s">
        <v>947</v>
      </c>
      <c r="B899" s="35">
        <v>45854</v>
      </c>
      <c r="C899" s="17" t="s">
        <v>12</v>
      </c>
      <c r="D899" s="17" t="s">
        <v>26</v>
      </c>
      <c r="E899" s="17" t="s">
        <v>74</v>
      </c>
      <c r="F899" s="17" t="s">
        <v>28</v>
      </c>
      <c r="G899" s="17" t="s">
        <v>43</v>
      </c>
      <c r="H899" s="17" t="s">
        <v>2587</v>
      </c>
      <c r="I899" s="17" t="s">
        <v>48</v>
      </c>
      <c r="J899" s="36">
        <v>3333.33</v>
      </c>
      <c r="K899" s="36">
        <v>1664.29</v>
      </c>
      <c r="L899" s="36">
        <f t="shared" ref="L899:L962" si="70">K899-J899</f>
        <v>-1669.04</v>
      </c>
      <c r="M899" s="37">
        <f t="shared" ref="M899:M962" si="71">IF(J899=0,0,L899/J899)</f>
        <v>-0.50071250071250073</v>
      </c>
      <c r="N899" s="17" t="str">
        <f t="shared" ref="N899:N962" si="72">IF(J899=0,"No Budget",IF(K899&gt;J899,"Over Budget",IF(K899&lt;J899,"Under Budget","On Budget")))</f>
        <v>Under Budget</v>
      </c>
      <c r="O899" s="38">
        <f t="shared" ref="O899:O962" si="73">IF(C899="Revenue",K899,-K899)</f>
        <v>-1664.29</v>
      </c>
      <c r="P899" s="39">
        <f t="shared" ref="P899:P962" si="74">DATE(YEAR(B899),MONTH(B899),1)</f>
        <v>45839</v>
      </c>
    </row>
    <row r="900" spans="1:16" ht="15.5" x14ac:dyDescent="0.35">
      <c r="A900" s="17" t="s">
        <v>948</v>
      </c>
      <c r="B900" s="35">
        <v>45782</v>
      </c>
      <c r="C900" s="17" t="s">
        <v>12</v>
      </c>
      <c r="D900" s="17" t="s">
        <v>26</v>
      </c>
      <c r="E900" s="17" t="s">
        <v>65</v>
      </c>
      <c r="F900" s="17" t="s">
        <v>34</v>
      </c>
      <c r="G900" s="17" t="s">
        <v>22</v>
      </c>
      <c r="H900" s="17" t="s">
        <v>2587</v>
      </c>
      <c r="I900" s="17" t="s">
        <v>23</v>
      </c>
      <c r="J900" s="36">
        <v>5500</v>
      </c>
      <c r="K900" s="36">
        <v>1717.73</v>
      </c>
      <c r="L900" s="36">
        <f t="shared" si="70"/>
        <v>-3782.27</v>
      </c>
      <c r="M900" s="37">
        <f t="shared" si="71"/>
        <v>-0.68768545454545449</v>
      </c>
      <c r="N900" s="17" t="str">
        <f t="shared" si="72"/>
        <v>Under Budget</v>
      </c>
      <c r="O900" s="38">
        <f t="shared" si="73"/>
        <v>-1717.73</v>
      </c>
      <c r="P900" s="39">
        <f t="shared" si="74"/>
        <v>45778</v>
      </c>
    </row>
    <row r="901" spans="1:16" ht="15.5" x14ac:dyDescent="0.35">
      <c r="A901" s="17" t="s">
        <v>949</v>
      </c>
      <c r="B901" s="35">
        <v>46035</v>
      </c>
      <c r="C901" s="17" t="s">
        <v>12</v>
      </c>
      <c r="D901" s="17" t="s">
        <v>19</v>
      </c>
      <c r="E901" s="17" t="s">
        <v>51</v>
      </c>
      <c r="F901" s="17" t="s">
        <v>15</v>
      </c>
      <c r="G901" s="17" t="s">
        <v>43</v>
      </c>
      <c r="H901" s="17" t="s">
        <v>2588</v>
      </c>
      <c r="I901" s="17" t="s">
        <v>39</v>
      </c>
      <c r="J901" s="36">
        <v>3637.5</v>
      </c>
      <c r="K901" s="36">
        <v>1480.03</v>
      </c>
      <c r="L901" s="36">
        <f t="shared" si="70"/>
        <v>-2157.4700000000003</v>
      </c>
      <c r="M901" s="37">
        <f t="shared" si="71"/>
        <v>-0.59311890034364267</v>
      </c>
      <c r="N901" s="17" t="str">
        <f t="shared" si="72"/>
        <v>Under Budget</v>
      </c>
      <c r="O901" s="38">
        <f t="shared" si="73"/>
        <v>-1480.03</v>
      </c>
      <c r="P901" s="39">
        <f t="shared" si="74"/>
        <v>46023</v>
      </c>
    </row>
    <row r="902" spans="1:16" ht="15.5" x14ac:dyDescent="0.35">
      <c r="A902" s="17" t="s">
        <v>950</v>
      </c>
      <c r="B902" s="35">
        <v>45707</v>
      </c>
      <c r="C902" s="17" t="s">
        <v>25</v>
      </c>
      <c r="D902" s="17" t="s">
        <v>19</v>
      </c>
      <c r="E902" s="17" t="s">
        <v>33</v>
      </c>
      <c r="F902" s="17" t="s">
        <v>28</v>
      </c>
      <c r="G902" s="17" t="s">
        <v>22</v>
      </c>
      <c r="H902" s="17" t="s">
        <v>2594</v>
      </c>
      <c r="I902" s="17" t="s">
        <v>23</v>
      </c>
      <c r="J902" s="36">
        <v>13472.22</v>
      </c>
      <c r="K902" s="36">
        <v>15320.04</v>
      </c>
      <c r="L902" s="36">
        <f t="shared" si="70"/>
        <v>1847.8200000000015</v>
      </c>
      <c r="M902" s="37">
        <f t="shared" si="71"/>
        <v>0.13715779581984272</v>
      </c>
      <c r="N902" s="17" t="str">
        <f t="shared" si="72"/>
        <v>Over Budget</v>
      </c>
      <c r="O902" s="38">
        <f t="shared" si="73"/>
        <v>15320.04</v>
      </c>
      <c r="P902" s="39">
        <f t="shared" si="74"/>
        <v>45689</v>
      </c>
    </row>
    <row r="903" spans="1:16" ht="15.5" x14ac:dyDescent="0.35">
      <c r="A903" s="17" t="s">
        <v>951</v>
      </c>
      <c r="B903" s="35">
        <v>46147</v>
      </c>
      <c r="C903" s="17" t="s">
        <v>12</v>
      </c>
      <c r="D903" s="17" t="s">
        <v>19</v>
      </c>
      <c r="E903" s="17" t="s">
        <v>47</v>
      </c>
      <c r="F903" s="17" t="s">
        <v>34</v>
      </c>
      <c r="G903" s="17" t="s">
        <v>16</v>
      </c>
      <c r="H903" s="17" t="s">
        <v>2593</v>
      </c>
      <c r="I903" s="17" t="s">
        <v>23</v>
      </c>
      <c r="J903" s="36">
        <v>2692.31</v>
      </c>
      <c r="K903" s="36">
        <v>3327.84</v>
      </c>
      <c r="L903" s="36">
        <f t="shared" si="70"/>
        <v>635.5300000000002</v>
      </c>
      <c r="M903" s="37">
        <f t="shared" si="71"/>
        <v>0.2360537976681735</v>
      </c>
      <c r="N903" s="17" t="str">
        <f t="shared" si="72"/>
        <v>Over Budget</v>
      </c>
      <c r="O903" s="38">
        <f t="shared" si="73"/>
        <v>-3327.84</v>
      </c>
      <c r="P903" s="39">
        <f t="shared" si="74"/>
        <v>46143</v>
      </c>
    </row>
    <row r="904" spans="1:16" ht="15.5" x14ac:dyDescent="0.35">
      <c r="A904" s="17" t="s">
        <v>952</v>
      </c>
      <c r="B904" s="35">
        <v>46155</v>
      </c>
      <c r="C904" s="17" t="s">
        <v>12</v>
      </c>
      <c r="D904" s="17" t="s">
        <v>36</v>
      </c>
      <c r="E904" s="17" t="s">
        <v>65</v>
      </c>
      <c r="F904" s="17" t="s">
        <v>52</v>
      </c>
      <c r="G904" s="17" t="s">
        <v>22</v>
      </c>
      <c r="H904" s="17" t="s">
        <v>2591</v>
      </c>
      <c r="I904" s="17" t="s">
        <v>23</v>
      </c>
      <c r="J904" s="36">
        <v>7857.14</v>
      </c>
      <c r="K904" s="36">
        <v>2160.52</v>
      </c>
      <c r="L904" s="36">
        <f t="shared" si="70"/>
        <v>-5696.6200000000008</v>
      </c>
      <c r="M904" s="37">
        <f t="shared" si="71"/>
        <v>-0.72502462728168271</v>
      </c>
      <c r="N904" s="17" t="str">
        <f t="shared" si="72"/>
        <v>Under Budget</v>
      </c>
      <c r="O904" s="38">
        <f t="shared" si="73"/>
        <v>-2160.52</v>
      </c>
      <c r="P904" s="39">
        <f t="shared" si="74"/>
        <v>46143</v>
      </c>
    </row>
    <row r="905" spans="1:16" ht="15.5" x14ac:dyDescent="0.35">
      <c r="A905" s="17" t="s">
        <v>953</v>
      </c>
      <c r="B905" s="35">
        <v>45937</v>
      </c>
      <c r="C905" s="17" t="s">
        <v>25</v>
      </c>
      <c r="D905" s="17" t="s">
        <v>32</v>
      </c>
      <c r="E905" s="17" t="s">
        <v>33</v>
      </c>
      <c r="F905" s="17" t="s">
        <v>15</v>
      </c>
      <c r="G905" s="17" t="s">
        <v>38</v>
      </c>
      <c r="H905" s="17" t="s">
        <v>2592</v>
      </c>
      <c r="I905" s="17" t="s">
        <v>23</v>
      </c>
      <c r="J905" s="36">
        <v>8928.57</v>
      </c>
      <c r="K905" s="36">
        <v>5119.75</v>
      </c>
      <c r="L905" s="36">
        <f t="shared" si="70"/>
        <v>-3808.8199999999997</v>
      </c>
      <c r="M905" s="37">
        <f t="shared" si="71"/>
        <v>-0.42658790825406528</v>
      </c>
      <c r="N905" s="17" t="str">
        <f t="shared" si="72"/>
        <v>Under Budget</v>
      </c>
      <c r="O905" s="38">
        <f t="shared" si="73"/>
        <v>5119.75</v>
      </c>
      <c r="P905" s="39">
        <f t="shared" si="74"/>
        <v>45931</v>
      </c>
    </row>
    <row r="906" spans="1:16" ht="15.5" x14ac:dyDescent="0.35">
      <c r="A906" s="17" t="s">
        <v>954</v>
      </c>
      <c r="B906" s="35">
        <v>46077</v>
      </c>
      <c r="C906" s="17" t="s">
        <v>12</v>
      </c>
      <c r="D906" s="17" t="s">
        <v>19</v>
      </c>
      <c r="E906" s="17" t="s">
        <v>2583</v>
      </c>
      <c r="F906" s="17" t="s">
        <v>34</v>
      </c>
      <c r="G906" s="17" t="s">
        <v>22</v>
      </c>
      <c r="H906" s="17" t="s">
        <v>2593</v>
      </c>
      <c r="I906" s="17" t="s">
        <v>30</v>
      </c>
      <c r="J906" s="36">
        <v>2667.5</v>
      </c>
      <c r="K906" s="36">
        <v>1585.39</v>
      </c>
      <c r="L906" s="36">
        <f t="shared" si="70"/>
        <v>-1082.1099999999999</v>
      </c>
      <c r="M906" s="37">
        <f t="shared" si="71"/>
        <v>-0.40566447985004683</v>
      </c>
      <c r="N906" s="17" t="str">
        <f t="shared" si="72"/>
        <v>Under Budget</v>
      </c>
      <c r="O906" s="38">
        <f t="shared" si="73"/>
        <v>-1585.39</v>
      </c>
      <c r="P906" s="39">
        <f t="shared" si="74"/>
        <v>46054</v>
      </c>
    </row>
    <row r="907" spans="1:16" ht="15.5" x14ac:dyDescent="0.35">
      <c r="A907" s="17" t="s">
        <v>955</v>
      </c>
      <c r="B907" s="35">
        <v>46178</v>
      </c>
      <c r="C907" s="17" t="s">
        <v>25</v>
      </c>
      <c r="D907" s="17" t="s">
        <v>13</v>
      </c>
      <c r="E907" s="17" t="s">
        <v>109</v>
      </c>
      <c r="F907" s="17" t="s">
        <v>15</v>
      </c>
      <c r="G907" s="17" t="s">
        <v>82</v>
      </c>
      <c r="H907" s="17" t="s">
        <v>2588</v>
      </c>
      <c r="I907" s="17" t="s">
        <v>23</v>
      </c>
      <c r="J907" s="36">
        <v>4761.8999999999996</v>
      </c>
      <c r="K907" s="36">
        <v>8645.2099999999991</v>
      </c>
      <c r="L907" s="36">
        <f t="shared" si="70"/>
        <v>3883.3099999999995</v>
      </c>
      <c r="M907" s="37">
        <f t="shared" si="71"/>
        <v>0.81549591549591549</v>
      </c>
      <c r="N907" s="17" t="str">
        <f t="shared" si="72"/>
        <v>Over Budget</v>
      </c>
      <c r="O907" s="38">
        <f t="shared" si="73"/>
        <v>8645.2099999999991</v>
      </c>
      <c r="P907" s="39">
        <f t="shared" si="74"/>
        <v>46174</v>
      </c>
    </row>
    <row r="908" spans="1:16" ht="15.5" x14ac:dyDescent="0.35">
      <c r="A908" s="17" t="s">
        <v>956</v>
      </c>
      <c r="B908" s="35">
        <v>46120</v>
      </c>
      <c r="C908" s="17" t="s">
        <v>12</v>
      </c>
      <c r="D908" s="17" t="s">
        <v>2584</v>
      </c>
      <c r="E908" s="17" t="s">
        <v>47</v>
      </c>
      <c r="F908" s="17" t="s">
        <v>34</v>
      </c>
      <c r="G908" s="17" t="s">
        <v>22</v>
      </c>
      <c r="H908" s="17" t="s">
        <v>2586</v>
      </c>
      <c r="I908" s="17" t="s">
        <v>23</v>
      </c>
      <c r="J908" s="36">
        <v>5833.33</v>
      </c>
      <c r="K908" s="36">
        <v>4281.71</v>
      </c>
      <c r="L908" s="36">
        <f t="shared" si="70"/>
        <v>-1551.62</v>
      </c>
      <c r="M908" s="37">
        <f t="shared" si="71"/>
        <v>-0.2659921519955154</v>
      </c>
      <c r="N908" s="17" t="str">
        <f t="shared" si="72"/>
        <v>Under Budget</v>
      </c>
      <c r="O908" s="38">
        <f t="shared" si="73"/>
        <v>-4281.71</v>
      </c>
      <c r="P908" s="39">
        <f t="shared" si="74"/>
        <v>46113</v>
      </c>
    </row>
    <row r="909" spans="1:16" ht="15.5" x14ac:dyDescent="0.35">
      <c r="A909" s="17" t="s">
        <v>957</v>
      </c>
      <c r="B909" s="35">
        <v>45830</v>
      </c>
      <c r="C909" s="17" t="s">
        <v>12</v>
      </c>
      <c r="D909" s="17" t="s">
        <v>32</v>
      </c>
      <c r="E909" s="17" t="s">
        <v>41</v>
      </c>
      <c r="F909" s="17" t="s">
        <v>21</v>
      </c>
      <c r="G909" s="17" t="s">
        <v>22</v>
      </c>
      <c r="H909" s="17" t="s">
        <v>2590</v>
      </c>
      <c r="I909" s="17" t="s">
        <v>23</v>
      </c>
      <c r="J909" s="36">
        <v>8125</v>
      </c>
      <c r="K909" s="36">
        <v>10897.93</v>
      </c>
      <c r="L909" s="36">
        <f t="shared" si="70"/>
        <v>2772.9300000000003</v>
      </c>
      <c r="M909" s="37">
        <f t="shared" si="71"/>
        <v>0.34128369230769234</v>
      </c>
      <c r="N909" s="17" t="str">
        <f t="shared" si="72"/>
        <v>Over Budget</v>
      </c>
      <c r="O909" s="38">
        <f t="shared" si="73"/>
        <v>-10897.93</v>
      </c>
      <c r="P909" s="39">
        <f t="shared" si="74"/>
        <v>45809</v>
      </c>
    </row>
    <row r="910" spans="1:16" ht="15.5" x14ac:dyDescent="0.35">
      <c r="A910" s="17" t="s">
        <v>958</v>
      </c>
      <c r="B910" s="35">
        <v>46071</v>
      </c>
      <c r="C910" s="17" t="s">
        <v>25</v>
      </c>
      <c r="D910" s="17" t="s">
        <v>26</v>
      </c>
      <c r="E910" s="17" t="s">
        <v>33</v>
      </c>
      <c r="F910" s="17" t="s">
        <v>28</v>
      </c>
      <c r="G910" s="17" t="s">
        <v>82</v>
      </c>
      <c r="H910" s="17" t="s">
        <v>2588</v>
      </c>
      <c r="I910" s="17" t="s">
        <v>30</v>
      </c>
      <c r="J910" s="36">
        <v>12125</v>
      </c>
      <c r="K910" s="36">
        <v>22857.66</v>
      </c>
      <c r="L910" s="36">
        <f t="shared" si="70"/>
        <v>10732.66</v>
      </c>
      <c r="M910" s="37">
        <f t="shared" si="71"/>
        <v>0.88516783505154639</v>
      </c>
      <c r="N910" s="17" t="str">
        <f t="shared" si="72"/>
        <v>Over Budget</v>
      </c>
      <c r="O910" s="38">
        <f t="shared" si="73"/>
        <v>22857.66</v>
      </c>
      <c r="P910" s="39">
        <f t="shared" si="74"/>
        <v>46054</v>
      </c>
    </row>
    <row r="911" spans="1:16" ht="15.5" x14ac:dyDescent="0.35">
      <c r="A911" s="17" t="s">
        <v>959</v>
      </c>
      <c r="B911" s="35">
        <v>45846</v>
      </c>
      <c r="C911" s="17" t="s">
        <v>25</v>
      </c>
      <c r="D911" s="17" t="s">
        <v>2585</v>
      </c>
      <c r="E911" s="17" t="s">
        <v>109</v>
      </c>
      <c r="F911" s="17" t="s">
        <v>34</v>
      </c>
      <c r="G911" s="17" t="s">
        <v>43</v>
      </c>
      <c r="H911" s="17" t="s">
        <v>2597</v>
      </c>
      <c r="I911" s="17" t="s">
        <v>17</v>
      </c>
      <c r="J911" s="36">
        <v>7142.86</v>
      </c>
      <c r="K911" s="36">
        <v>7367.29</v>
      </c>
      <c r="L911" s="36">
        <f t="shared" si="70"/>
        <v>224.43000000000029</v>
      </c>
      <c r="M911" s="37">
        <f t="shared" si="71"/>
        <v>3.1420187431925067E-2</v>
      </c>
      <c r="N911" s="17" t="str">
        <f t="shared" si="72"/>
        <v>Over Budget</v>
      </c>
      <c r="O911" s="38">
        <f t="shared" si="73"/>
        <v>7367.29</v>
      </c>
      <c r="P911" s="39">
        <f t="shared" si="74"/>
        <v>45839</v>
      </c>
    </row>
    <row r="912" spans="1:16" ht="15.5" x14ac:dyDescent="0.35">
      <c r="A912" s="17" t="s">
        <v>960</v>
      </c>
      <c r="B912" s="35">
        <v>45745</v>
      </c>
      <c r="C912" s="17" t="s">
        <v>25</v>
      </c>
      <c r="D912" s="17" t="s">
        <v>32</v>
      </c>
      <c r="E912" s="17" t="s">
        <v>33</v>
      </c>
      <c r="F912" s="17" t="s">
        <v>15</v>
      </c>
      <c r="G912" s="17" t="s">
        <v>16</v>
      </c>
      <c r="H912" s="17" t="s">
        <v>2591</v>
      </c>
      <c r="I912" s="17" t="s">
        <v>23</v>
      </c>
      <c r="J912" s="36">
        <v>8064.52</v>
      </c>
      <c r="K912" s="36">
        <v>23339.01</v>
      </c>
      <c r="L912" s="36">
        <f t="shared" si="70"/>
        <v>15274.489999999998</v>
      </c>
      <c r="M912" s="37">
        <f t="shared" si="71"/>
        <v>1.8940358508627912</v>
      </c>
      <c r="N912" s="17" t="str">
        <f t="shared" si="72"/>
        <v>Over Budget</v>
      </c>
      <c r="O912" s="38">
        <f t="shared" si="73"/>
        <v>23339.01</v>
      </c>
      <c r="P912" s="39">
        <f t="shared" si="74"/>
        <v>45717</v>
      </c>
    </row>
    <row r="913" spans="1:16" ht="15.5" x14ac:dyDescent="0.35">
      <c r="A913" s="17" t="s">
        <v>961</v>
      </c>
      <c r="B913" s="35">
        <v>45838</v>
      </c>
      <c r="C913" s="17" t="s">
        <v>25</v>
      </c>
      <c r="D913" s="17" t="s">
        <v>32</v>
      </c>
      <c r="E913" s="17" t="s">
        <v>33</v>
      </c>
      <c r="F913" s="17" t="s">
        <v>52</v>
      </c>
      <c r="G913" s="17" t="s">
        <v>43</v>
      </c>
      <c r="H913" s="17" t="s">
        <v>2588</v>
      </c>
      <c r="I913" s="17" t="s">
        <v>30</v>
      </c>
      <c r="J913" s="36">
        <v>9615.3799999999992</v>
      </c>
      <c r="K913" s="36">
        <v>20791.7</v>
      </c>
      <c r="L913" s="36">
        <f t="shared" si="70"/>
        <v>11176.320000000002</v>
      </c>
      <c r="M913" s="37">
        <f t="shared" si="71"/>
        <v>1.1623378379221625</v>
      </c>
      <c r="N913" s="17" t="str">
        <f t="shared" si="72"/>
        <v>Over Budget</v>
      </c>
      <c r="O913" s="38">
        <f t="shared" si="73"/>
        <v>20791.7</v>
      </c>
      <c r="P913" s="39">
        <f t="shared" si="74"/>
        <v>45809</v>
      </c>
    </row>
    <row r="914" spans="1:16" ht="15.5" x14ac:dyDescent="0.35">
      <c r="A914" s="17" t="s">
        <v>962</v>
      </c>
      <c r="B914" s="35">
        <v>46008</v>
      </c>
      <c r="C914" s="17" t="s">
        <v>25</v>
      </c>
      <c r="D914" s="17" t="s">
        <v>26</v>
      </c>
      <c r="E914" s="17" t="s">
        <v>27</v>
      </c>
      <c r="F914" s="17" t="s">
        <v>34</v>
      </c>
      <c r="G914" s="17" t="s">
        <v>82</v>
      </c>
      <c r="H914" s="17" t="s">
        <v>2591</v>
      </c>
      <c r="I914" s="17" t="s">
        <v>48</v>
      </c>
      <c r="J914" s="36">
        <v>9333.33</v>
      </c>
      <c r="K914" s="36">
        <v>3704.86</v>
      </c>
      <c r="L914" s="36">
        <f t="shared" si="70"/>
        <v>-5628.4699999999993</v>
      </c>
      <c r="M914" s="37">
        <f t="shared" si="71"/>
        <v>-0.6030505725180616</v>
      </c>
      <c r="N914" s="17" t="str">
        <f t="shared" si="72"/>
        <v>Under Budget</v>
      </c>
      <c r="O914" s="38">
        <f t="shared" si="73"/>
        <v>3704.86</v>
      </c>
      <c r="P914" s="39">
        <f t="shared" si="74"/>
        <v>45992</v>
      </c>
    </row>
    <row r="915" spans="1:16" ht="15.5" x14ac:dyDescent="0.35">
      <c r="A915" s="17" t="s">
        <v>963</v>
      </c>
      <c r="B915" s="35">
        <v>45844</v>
      </c>
      <c r="C915" s="17" t="s">
        <v>12</v>
      </c>
      <c r="D915" s="17" t="s">
        <v>19</v>
      </c>
      <c r="E915" s="17" t="s">
        <v>45</v>
      </c>
      <c r="F915" s="17" t="s">
        <v>28</v>
      </c>
      <c r="G915" s="17" t="s">
        <v>38</v>
      </c>
      <c r="H915" s="17" t="s">
        <v>2595</v>
      </c>
      <c r="I915" s="17" t="s">
        <v>23</v>
      </c>
      <c r="J915" s="36">
        <v>6923.08</v>
      </c>
      <c r="K915" s="36">
        <v>2974.28</v>
      </c>
      <c r="L915" s="36">
        <f t="shared" si="70"/>
        <v>-3948.7999999999997</v>
      </c>
      <c r="M915" s="37">
        <f t="shared" si="71"/>
        <v>-0.57038196871912494</v>
      </c>
      <c r="N915" s="17" t="str">
        <f t="shared" si="72"/>
        <v>Under Budget</v>
      </c>
      <c r="O915" s="38">
        <f t="shared" si="73"/>
        <v>-2974.28</v>
      </c>
      <c r="P915" s="39">
        <f t="shared" si="74"/>
        <v>45839</v>
      </c>
    </row>
    <row r="916" spans="1:16" ht="15.5" x14ac:dyDescent="0.35">
      <c r="A916" s="17" t="s">
        <v>964</v>
      </c>
      <c r="B916" s="35">
        <v>45725</v>
      </c>
      <c r="C916" s="17" t="s">
        <v>12</v>
      </c>
      <c r="D916" s="17" t="s">
        <v>36</v>
      </c>
      <c r="E916" s="17" t="s">
        <v>65</v>
      </c>
      <c r="F916" s="17" t="s">
        <v>15</v>
      </c>
      <c r="G916" s="17" t="s">
        <v>22</v>
      </c>
      <c r="H916" s="17" t="s">
        <v>2590</v>
      </c>
      <c r="I916" s="17" t="s">
        <v>48</v>
      </c>
      <c r="J916" s="36">
        <v>3928.57</v>
      </c>
      <c r="K916" s="36">
        <v>7863.5</v>
      </c>
      <c r="L916" s="36">
        <f t="shared" si="70"/>
        <v>3934.93</v>
      </c>
      <c r="M916" s="37">
        <f t="shared" si="71"/>
        <v>1.0016189096796035</v>
      </c>
      <c r="N916" s="17" t="str">
        <f t="shared" si="72"/>
        <v>Over Budget</v>
      </c>
      <c r="O916" s="38">
        <f t="shared" si="73"/>
        <v>-7863.5</v>
      </c>
      <c r="P916" s="39">
        <f t="shared" si="74"/>
        <v>45717</v>
      </c>
    </row>
    <row r="917" spans="1:16" ht="15.5" x14ac:dyDescent="0.35">
      <c r="A917" s="17" t="s">
        <v>965</v>
      </c>
      <c r="B917" s="35">
        <v>45769</v>
      </c>
      <c r="C917" s="17" t="s">
        <v>25</v>
      </c>
      <c r="D917" s="17" t="s">
        <v>19</v>
      </c>
      <c r="E917" s="17" t="s">
        <v>33</v>
      </c>
      <c r="F917" s="17" t="s">
        <v>28</v>
      </c>
      <c r="G917" s="17" t="s">
        <v>29</v>
      </c>
      <c r="H917" s="17" t="s">
        <v>2597</v>
      </c>
      <c r="I917" s="17" t="s">
        <v>48</v>
      </c>
      <c r="J917" s="36">
        <v>11363.64</v>
      </c>
      <c r="K917" s="36">
        <v>18375.43</v>
      </c>
      <c r="L917" s="36">
        <f t="shared" si="70"/>
        <v>7011.7900000000009</v>
      </c>
      <c r="M917" s="37">
        <f t="shared" si="71"/>
        <v>0.61703732254805688</v>
      </c>
      <c r="N917" s="17" t="str">
        <f t="shared" si="72"/>
        <v>Over Budget</v>
      </c>
      <c r="O917" s="38">
        <f t="shared" si="73"/>
        <v>18375.43</v>
      </c>
      <c r="P917" s="39">
        <f t="shared" si="74"/>
        <v>45748</v>
      </c>
    </row>
    <row r="918" spans="1:16" ht="15.5" x14ac:dyDescent="0.35">
      <c r="A918" s="17" t="s">
        <v>966</v>
      </c>
      <c r="B918" s="35">
        <v>45735</v>
      </c>
      <c r="C918" s="17" t="s">
        <v>12</v>
      </c>
      <c r="D918" s="17" t="s">
        <v>19</v>
      </c>
      <c r="E918" s="17" t="s">
        <v>45</v>
      </c>
      <c r="F918" s="17" t="s">
        <v>34</v>
      </c>
      <c r="G918" s="17" t="s">
        <v>38</v>
      </c>
      <c r="H918" s="17" t="s">
        <v>2589</v>
      </c>
      <c r="I918" s="17" t="s">
        <v>30</v>
      </c>
      <c r="J918" s="36">
        <v>6000</v>
      </c>
      <c r="K918" s="36">
        <v>7012.18</v>
      </c>
      <c r="L918" s="36">
        <f t="shared" si="70"/>
        <v>1012.1800000000003</v>
      </c>
      <c r="M918" s="37">
        <f t="shared" si="71"/>
        <v>0.16869666666666672</v>
      </c>
      <c r="N918" s="17" t="str">
        <f t="shared" si="72"/>
        <v>Over Budget</v>
      </c>
      <c r="O918" s="38">
        <f t="shared" si="73"/>
        <v>-7012.18</v>
      </c>
      <c r="P918" s="39">
        <f t="shared" si="74"/>
        <v>45717</v>
      </c>
    </row>
    <row r="919" spans="1:16" ht="15.5" x14ac:dyDescent="0.35">
      <c r="A919" s="17" t="s">
        <v>967</v>
      </c>
      <c r="B919" s="35">
        <v>45766</v>
      </c>
      <c r="C919" s="17" t="s">
        <v>12</v>
      </c>
      <c r="D919" s="17" t="s">
        <v>19</v>
      </c>
      <c r="E919" s="17" t="s">
        <v>45</v>
      </c>
      <c r="F919" s="17" t="s">
        <v>28</v>
      </c>
      <c r="G919" s="17" t="s">
        <v>82</v>
      </c>
      <c r="H919" s="17" t="s">
        <v>2592</v>
      </c>
      <c r="I919" s="17" t="s">
        <v>23</v>
      </c>
      <c r="J919" s="36">
        <v>13846.15</v>
      </c>
      <c r="K919" s="36">
        <v>10205.25</v>
      </c>
      <c r="L919" s="36">
        <f t="shared" si="70"/>
        <v>-3640.8999999999996</v>
      </c>
      <c r="M919" s="37">
        <f t="shared" si="71"/>
        <v>-0.2629539619316561</v>
      </c>
      <c r="N919" s="17" t="str">
        <f t="shared" si="72"/>
        <v>Under Budget</v>
      </c>
      <c r="O919" s="38">
        <f t="shared" si="73"/>
        <v>-10205.25</v>
      </c>
      <c r="P919" s="39">
        <f t="shared" si="74"/>
        <v>45748</v>
      </c>
    </row>
    <row r="920" spans="1:16" ht="15.5" x14ac:dyDescent="0.35">
      <c r="A920" s="17" t="s">
        <v>968</v>
      </c>
      <c r="B920" s="35">
        <v>45854</v>
      </c>
      <c r="C920" s="17" t="s">
        <v>12</v>
      </c>
      <c r="D920" s="17" t="s">
        <v>2584</v>
      </c>
      <c r="E920" s="17" t="s">
        <v>65</v>
      </c>
      <c r="F920" s="17" t="s">
        <v>52</v>
      </c>
      <c r="G920" s="17" t="s">
        <v>38</v>
      </c>
      <c r="H920" s="17" t="s">
        <v>2589</v>
      </c>
      <c r="I920" s="17" t="s">
        <v>23</v>
      </c>
      <c r="J920" s="36">
        <v>3437.5</v>
      </c>
      <c r="K920" s="36">
        <v>2599.5500000000002</v>
      </c>
      <c r="L920" s="36">
        <f t="shared" si="70"/>
        <v>-837.94999999999982</v>
      </c>
      <c r="M920" s="37">
        <f t="shared" si="71"/>
        <v>-0.24376727272727267</v>
      </c>
      <c r="N920" s="17" t="str">
        <f t="shared" si="72"/>
        <v>Under Budget</v>
      </c>
      <c r="O920" s="38">
        <f t="shared" si="73"/>
        <v>-2599.5500000000002</v>
      </c>
      <c r="P920" s="39">
        <f t="shared" si="74"/>
        <v>45839</v>
      </c>
    </row>
    <row r="921" spans="1:16" ht="15.5" x14ac:dyDescent="0.35">
      <c r="A921" s="17" t="s">
        <v>969</v>
      </c>
      <c r="B921" s="35">
        <v>45971</v>
      </c>
      <c r="C921" s="17" t="s">
        <v>12</v>
      </c>
      <c r="D921" s="17" t="s">
        <v>26</v>
      </c>
      <c r="E921" s="17" t="s">
        <v>37</v>
      </c>
      <c r="F921" s="17" t="s">
        <v>52</v>
      </c>
      <c r="G921" s="17" t="s">
        <v>38</v>
      </c>
      <c r="H921" s="17" t="s">
        <v>60</v>
      </c>
      <c r="I921" s="17" t="s">
        <v>39</v>
      </c>
      <c r="J921" s="36">
        <v>4900</v>
      </c>
      <c r="K921" s="36">
        <v>2502.8000000000002</v>
      </c>
      <c r="L921" s="36">
        <f t="shared" si="70"/>
        <v>-2397.1999999999998</v>
      </c>
      <c r="M921" s="37">
        <f t="shared" si="71"/>
        <v>-0.48922448979591832</v>
      </c>
      <c r="N921" s="17" t="str">
        <f t="shared" si="72"/>
        <v>Under Budget</v>
      </c>
      <c r="O921" s="38">
        <f t="shared" si="73"/>
        <v>-2502.8000000000002</v>
      </c>
      <c r="P921" s="39">
        <f t="shared" si="74"/>
        <v>45962</v>
      </c>
    </row>
    <row r="922" spans="1:16" ht="15.5" x14ac:dyDescent="0.35">
      <c r="A922" s="17" t="s">
        <v>970</v>
      </c>
      <c r="B922" s="35">
        <v>45970</v>
      </c>
      <c r="C922" s="17" t="s">
        <v>12</v>
      </c>
      <c r="D922" s="17" t="s">
        <v>19</v>
      </c>
      <c r="E922" s="17" t="s">
        <v>14</v>
      </c>
      <c r="F922" s="17" t="s">
        <v>52</v>
      </c>
      <c r="G922" s="17" t="s">
        <v>38</v>
      </c>
      <c r="H922" s="17" t="s">
        <v>2595</v>
      </c>
      <c r="I922" s="17" t="s">
        <v>17</v>
      </c>
      <c r="J922" s="36">
        <v>5600</v>
      </c>
      <c r="K922" s="36">
        <v>1411.82</v>
      </c>
      <c r="L922" s="36">
        <f t="shared" si="70"/>
        <v>-4188.18</v>
      </c>
      <c r="M922" s="37">
        <f t="shared" si="71"/>
        <v>-0.74788928571428581</v>
      </c>
      <c r="N922" s="17" t="str">
        <f t="shared" si="72"/>
        <v>Under Budget</v>
      </c>
      <c r="O922" s="38">
        <f t="shared" si="73"/>
        <v>-1411.82</v>
      </c>
      <c r="P922" s="39">
        <f t="shared" si="74"/>
        <v>45962</v>
      </c>
    </row>
    <row r="923" spans="1:16" ht="15.5" x14ac:dyDescent="0.35">
      <c r="A923" s="17" t="s">
        <v>971</v>
      </c>
      <c r="B923" s="35">
        <v>45897</v>
      </c>
      <c r="C923" s="17" t="s">
        <v>12</v>
      </c>
      <c r="D923" s="17" t="s">
        <v>19</v>
      </c>
      <c r="E923" s="17" t="s">
        <v>65</v>
      </c>
      <c r="F923" s="17" t="s">
        <v>21</v>
      </c>
      <c r="G923" s="17" t="s">
        <v>22</v>
      </c>
      <c r="H923" s="17" t="s">
        <v>80</v>
      </c>
      <c r="I923" s="17" t="s">
        <v>23</v>
      </c>
      <c r="J923" s="36">
        <v>3928.57</v>
      </c>
      <c r="K923" s="36">
        <v>4965.25</v>
      </c>
      <c r="L923" s="36">
        <f t="shared" si="70"/>
        <v>1036.6799999999998</v>
      </c>
      <c r="M923" s="37">
        <f t="shared" si="71"/>
        <v>0.26388227777537371</v>
      </c>
      <c r="N923" s="17" t="str">
        <f t="shared" si="72"/>
        <v>Over Budget</v>
      </c>
      <c r="O923" s="38">
        <f t="shared" si="73"/>
        <v>-4965.25</v>
      </c>
      <c r="P923" s="39">
        <f t="shared" si="74"/>
        <v>45870</v>
      </c>
    </row>
    <row r="924" spans="1:16" ht="15.5" x14ac:dyDescent="0.35">
      <c r="A924" s="17" t="s">
        <v>972</v>
      </c>
      <c r="B924" s="35">
        <v>45692</v>
      </c>
      <c r="C924" s="17" t="s">
        <v>12</v>
      </c>
      <c r="D924" s="17" t="s">
        <v>26</v>
      </c>
      <c r="E924" s="17" t="s">
        <v>20</v>
      </c>
      <c r="F924" s="17" t="s">
        <v>28</v>
      </c>
      <c r="G924" s="17" t="s">
        <v>29</v>
      </c>
      <c r="H924" s="17" t="s">
        <v>2587</v>
      </c>
      <c r="I924" s="17" t="s">
        <v>23</v>
      </c>
      <c r="J924" s="36">
        <v>1940</v>
      </c>
      <c r="K924" s="36">
        <v>673.53</v>
      </c>
      <c r="L924" s="36">
        <f t="shared" si="70"/>
        <v>-1266.47</v>
      </c>
      <c r="M924" s="37">
        <f t="shared" si="71"/>
        <v>-0.65281958762886594</v>
      </c>
      <c r="N924" s="17" t="str">
        <f t="shared" si="72"/>
        <v>Under Budget</v>
      </c>
      <c r="O924" s="38">
        <f t="shared" si="73"/>
        <v>-673.53</v>
      </c>
      <c r="P924" s="39">
        <f t="shared" si="74"/>
        <v>45689</v>
      </c>
    </row>
    <row r="925" spans="1:16" ht="15.5" x14ac:dyDescent="0.35">
      <c r="A925" s="17" t="s">
        <v>973</v>
      </c>
      <c r="B925" s="35">
        <v>45945</v>
      </c>
      <c r="C925" s="17" t="s">
        <v>12</v>
      </c>
      <c r="D925" s="17" t="s">
        <v>36</v>
      </c>
      <c r="E925" s="17" t="s">
        <v>47</v>
      </c>
      <c r="F925" s="17" t="s">
        <v>52</v>
      </c>
      <c r="G925" s="17" t="s">
        <v>38</v>
      </c>
      <c r="H925" s="17" t="s">
        <v>2587</v>
      </c>
      <c r="I925" s="17" t="s">
        <v>23</v>
      </c>
      <c r="J925" s="36">
        <v>3500</v>
      </c>
      <c r="K925" s="36">
        <v>268.85000000000002</v>
      </c>
      <c r="L925" s="36">
        <f t="shared" si="70"/>
        <v>-3231.15</v>
      </c>
      <c r="M925" s="37">
        <f t="shared" si="71"/>
        <v>-0.92318571428571428</v>
      </c>
      <c r="N925" s="17" t="str">
        <f t="shared" si="72"/>
        <v>Under Budget</v>
      </c>
      <c r="O925" s="38">
        <f t="shared" si="73"/>
        <v>-268.85000000000002</v>
      </c>
      <c r="P925" s="39">
        <f t="shared" si="74"/>
        <v>45931</v>
      </c>
    </row>
    <row r="926" spans="1:16" ht="15.5" x14ac:dyDescent="0.35">
      <c r="A926" s="17" t="s">
        <v>974</v>
      </c>
      <c r="B926" s="35">
        <v>45730</v>
      </c>
      <c r="C926" s="17" t="s">
        <v>12</v>
      </c>
      <c r="D926" s="17" t="s">
        <v>19</v>
      </c>
      <c r="E926" s="17" t="s">
        <v>14</v>
      </c>
      <c r="F926" s="17" t="s">
        <v>28</v>
      </c>
      <c r="G926" s="17" t="s">
        <v>29</v>
      </c>
      <c r="H926" s="17" t="s">
        <v>2598</v>
      </c>
      <c r="I926" s="17" t="s">
        <v>17</v>
      </c>
      <c r="J926" s="36">
        <v>4571.43</v>
      </c>
      <c r="K926" s="36">
        <v>2820.91</v>
      </c>
      <c r="L926" s="36">
        <f t="shared" si="70"/>
        <v>-1750.5200000000004</v>
      </c>
      <c r="M926" s="37">
        <f t="shared" si="71"/>
        <v>-0.38292613033558431</v>
      </c>
      <c r="N926" s="17" t="str">
        <f t="shared" si="72"/>
        <v>Under Budget</v>
      </c>
      <c r="O926" s="38">
        <f t="shared" si="73"/>
        <v>-2820.91</v>
      </c>
      <c r="P926" s="39">
        <f t="shared" si="74"/>
        <v>45717</v>
      </c>
    </row>
    <row r="927" spans="1:16" ht="15.5" x14ac:dyDescent="0.35">
      <c r="A927" s="17" t="s">
        <v>975</v>
      </c>
      <c r="B927" s="35">
        <v>46168</v>
      </c>
      <c r="C927" s="17" t="s">
        <v>25</v>
      </c>
      <c r="D927" s="17" t="s">
        <v>36</v>
      </c>
      <c r="E927" s="17" t="s">
        <v>33</v>
      </c>
      <c r="F927" s="17" t="s">
        <v>52</v>
      </c>
      <c r="G927" s="17" t="s">
        <v>29</v>
      </c>
      <c r="H927" s="17" t="s">
        <v>2588</v>
      </c>
      <c r="I927" s="17" t="s">
        <v>39</v>
      </c>
      <c r="J927" s="36">
        <v>10869.57</v>
      </c>
      <c r="K927" s="36">
        <v>13735.24</v>
      </c>
      <c r="L927" s="36">
        <f t="shared" si="70"/>
        <v>2865.67</v>
      </c>
      <c r="M927" s="37">
        <f t="shared" si="71"/>
        <v>0.26364152399772944</v>
      </c>
      <c r="N927" s="17" t="str">
        <f t="shared" si="72"/>
        <v>Over Budget</v>
      </c>
      <c r="O927" s="38">
        <f t="shared" si="73"/>
        <v>13735.24</v>
      </c>
      <c r="P927" s="39">
        <f t="shared" si="74"/>
        <v>46143</v>
      </c>
    </row>
    <row r="928" spans="1:16" ht="15.5" x14ac:dyDescent="0.35">
      <c r="A928" s="17" t="s">
        <v>976</v>
      </c>
      <c r="B928" s="35">
        <v>46152</v>
      </c>
      <c r="C928" s="17" t="s">
        <v>25</v>
      </c>
      <c r="D928" s="17" t="s">
        <v>2585</v>
      </c>
      <c r="E928" s="17" t="s">
        <v>27</v>
      </c>
      <c r="F928" s="17" t="s">
        <v>34</v>
      </c>
      <c r="G928" s="17" t="s">
        <v>43</v>
      </c>
      <c r="H928" s="17" t="s">
        <v>2588</v>
      </c>
      <c r="I928" s="17" t="s">
        <v>30</v>
      </c>
      <c r="J928" s="36">
        <v>6153.85</v>
      </c>
      <c r="K928" s="36">
        <v>851.75</v>
      </c>
      <c r="L928" s="36">
        <f t="shared" si="70"/>
        <v>-5302.1</v>
      </c>
      <c r="M928" s="37">
        <f t="shared" si="71"/>
        <v>-0.86159071150580535</v>
      </c>
      <c r="N928" s="17" t="str">
        <f t="shared" si="72"/>
        <v>Under Budget</v>
      </c>
      <c r="O928" s="38">
        <f t="shared" si="73"/>
        <v>851.75</v>
      </c>
      <c r="P928" s="39">
        <f t="shared" si="74"/>
        <v>46143</v>
      </c>
    </row>
    <row r="929" spans="1:16" ht="15.5" x14ac:dyDescent="0.35">
      <c r="A929" s="17" t="s">
        <v>977</v>
      </c>
      <c r="B929" s="35">
        <v>45901</v>
      </c>
      <c r="C929" s="17" t="s">
        <v>12</v>
      </c>
      <c r="D929" s="17" t="s">
        <v>36</v>
      </c>
      <c r="E929" s="17" t="s">
        <v>37</v>
      </c>
      <c r="F929" s="17" t="s">
        <v>52</v>
      </c>
      <c r="G929" s="17" t="s">
        <v>38</v>
      </c>
      <c r="H929" s="17" t="s">
        <v>2598</v>
      </c>
      <c r="I929" s="17" t="s">
        <v>48</v>
      </c>
      <c r="J929" s="36">
        <v>3500</v>
      </c>
      <c r="K929" s="36">
        <v>441.22</v>
      </c>
      <c r="L929" s="36">
        <f t="shared" si="70"/>
        <v>-3058.7799999999997</v>
      </c>
      <c r="M929" s="37">
        <f t="shared" si="71"/>
        <v>-0.87393714285714275</v>
      </c>
      <c r="N929" s="17" t="str">
        <f t="shared" si="72"/>
        <v>Under Budget</v>
      </c>
      <c r="O929" s="38">
        <f t="shared" si="73"/>
        <v>-441.22</v>
      </c>
      <c r="P929" s="39">
        <f t="shared" si="74"/>
        <v>45901</v>
      </c>
    </row>
    <row r="930" spans="1:16" ht="15.5" x14ac:dyDescent="0.35">
      <c r="A930" s="17" t="s">
        <v>978</v>
      </c>
      <c r="B930" s="35">
        <v>45741</v>
      </c>
      <c r="C930" s="17" t="s">
        <v>25</v>
      </c>
      <c r="D930" s="17" t="s">
        <v>32</v>
      </c>
      <c r="E930" s="17" t="s">
        <v>169</v>
      </c>
      <c r="F930" s="17" t="s">
        <v>15</v>
      </c>
      <c r="G930" s="17" t="s">
        <v>16</v>
      </c>
      <c r="H930" s="17" t="s">
        <v>2586</v>
      </c>
      <c r="I930" s="17" t="s">
        <v>39</v>
      </c>
      <c r="J930" s="36">
        <v>2857.14</v>
      </c>
      <c r="K930" s="36">
        <v>3036.95</v>
      </c>
      <c r="L930" s="36">
        <f t="shared" si="70"/>
        <v>179.80999999999995</v>
      </c>
      <c r="M930" s="37">
        <f t="shared" si="71"/>
        <v>6.293356293356292E-2</v>
      </c>
      <c r="N930" s="17" t="str">
        <f t="shared" si="72"/>
        <v>Over Budget</v>
      </c>
      <c r="O930" s="38">
        <f t="shared" si="73"/>
        <v>3036.95</v>
      </c>
      <c r="P930" s="39">
        <f t="shared" si="74"/>
        <v>45717</v>
      </c>
    </row>
    <row r="931" spans="1:16" ht="15.5" x14ac:dyDescent="0.35">
      <c r="A931" s="17" t="s">
        <v>979</v>
      </c>
      <c r="B931" s="35">
        <v>46058</v>
      </c>
      <c r="C931" s="17" t="s">
        <v>25</v>
      </c>
      <c r="D931" s="17" t="s">
        <v>32</v>
      </c>
      <c r="E931" s="17" t="s">
        <v>33</v>
      </c>
      <c r="F931" s="17" t="s">
        <v>28</v>
      </c>
      <c r="G931" s="17" t="s">
        <v>38</v>
      </c>
      <c r="H931" s="17" t="s">
        <v>2591</v>
      </c>
      <c r="I931" s="17" t="s">
        <v>30</v>
      </c>
      <c r="J931" s="36">
        <v>12125</v>
      </c>
      <c r="K931" s="36">
        <v>2602.17</v>
      </c>
      <c r="L931" s="36">
        <f t="shared" si="70"/>
        <v>-9522.83</v>
      </c>
      <c r="M931" s="37">
        <f t="shared" si="71"/>
        <v>-0.78538804123711337</v>
      </c>
      <c r="N931" s="17" t="str">
        <f t="shared" si="72"/>
        <v>Under Budget</v>
      </c>
      <c r="O931" s="38">
        <f t="shared" si="73"/>
        <v>2602.17</v>
      </c>
      <c r="P931" s="39">
        <f t="shared" si="74"/>
        <v>46054</v>
      </c>
    </row>
    <row r="932" spans="1:16" ht="15.5" x14ac:dyDescent="0.35">
      <c r="A932" s="17" t="s">
        <v>980</v>
      </c>
      <c r="B932" s="35">
        <v>45869</v>
      </c>
      <c r="C932" s="17" t="s">
        <v>12</v>
      </c>
      <c r="D932" s="17" t="s">
        <v>36</v>
      </c>
      <c r="E932" s="17" t="s">
        <v>41</v>
      </c>
      <c r="F932" s="17" t="s">
        <v>34</v>
      </c>
      <c r="G932" s="17" t="s">
        <v>43</v>
      </c>
      <c r="H932" s="17" t="s">
        <v>80</v>
      </c>
      <c r="I932" s="17" t="s">
        <v>48</v>
      </c>
      <c r="J932" s="36">
        <v>5909.09</v>
      </c>
      <c r="K932" s="36">
        <v>2959.49</v>
      </c>
      <c r="L932" s="36">
        <f t="shared" si="70"/>
        <v>-2949.6000000000004</v>
      </c>
      <c r="M932" s="37">
        <f t="shared" si="71"/>
        <v>-0.49916315371740833</v>
      </c>
      <c r="N932" s="17" t="str">
        <f t="shared" si="72"/>
        <v>Under Budget</v>
      </c>
      <c r="O932" s="38">
        <f t="shared" si="73"/>
        <v>-2959.49</v>
      </c>
      <c r="P932" s="39">
        <f t="shared" si="74"/>
        <v>45839</v>
      </c>
    </row>
    <row r="933" spans="1:16" ht="15.5" x14ac:dyDescent="0.35">
      <c r="A933" s="17" t="s">
        <v>981</v>
      </c>
      <c r="B933" s="35">
        <v>45983</v>
      </c>
      <c r="C933" s="17" t="s">
        <v>12</v>
      </c>
      <c r="D933" s="17" t="s">
        <v>26</v>
      </c>
      <c r="E933" s="17" t="s">
        <v>45</v>
      </c>
      <c r="F933" s="17" t="s">
        <v>34</v>
      </c>
      <c r="G933" s="17" t="s">
        <v>29</v>
      </c>
      <c r="H933" s="17" t="s">
        <v>2595</v>
      </c>
      <c r="I933" s="17" t="s">
        <v>39</v>
      </c>
      <c r="J933" s="36">
        <v>9947.3700000000008</v>
      </c>
      <c r="K933" s="36">
        <v>7996.3</v>
      </c>
      <c r="L933" s="36">
        <f t="shared" si="70"/>
        <v>-1951.0700000000006</v>
      </c>
      <c r="M933" s="37">
        <f t="shared" si="71"/>
        <v>-0.19613928103609302</v>
      </c>
      <c r="N933" s="17" t="str">
        <f t="shared" si="72"/>
        <v>Under Budget</v>
      </c>
      <c r="O933" s="38">
        <f t="shared" si="73"/>
        <v>-7996.3</v>
      </c>
      <c r="P933" s="39">
        <f t="shared" si="74"/>
        <v>45962</v>
      </c>
    </row>
    <row r="934" spans="1:16" ht="15.5" x14ac:dyDescent="0.35">
      <c r="A934" s="17" t="s">
        <v>982</v>
      </c>
      <c r="B934" s="35">
        <v>45932</v>
      </c>
      <c r="C934" s="17" t="s">
        <v>12</v>
      </c>
      <c r="D934" s="17" t="s">
        <v>13</v>
      </c>
      <c r="E934" s="17" t="s">
        <v>45</v>
      </c>
      <c r="F934" s="17" t="s">
        <v>34</v>
      </c>
      <c r="G934" s="17" t="s">
        <v>38</v>
      </c>
      <c r="H934" s="17" t="s">
        <v>2591</v>
      </c>
      <c r="I934" s="17" t="s">
        <v>30</v>
      </c>
      <c r="J934" s="36">
        <v>7826.09</v>
      </c>
      <c r="K934" s="36">
        <v>9092.2999999999993</v>
      </c>
      <c r="L934" s="36">
        <f t="shared" si="70"/>
        <v>1266.2099999999991</v>
      </c>
      <c r="M934" s="37">
        <f t="shared" si="71"/>
        <v>0.16179343708032992</v>
      </c>
      <c r="N934" s="17" t="str">
        <f t="shared" si="72"/>
        <v>Over Budget</v>
      </c>
      <c r="O934" s="38">
        <f t="shared" si="73"/>
        <v>-9092.2999999999993</v>
      </c>
      <c r="P934" s="39">
        <f t="shared" si="74"/>
        <v>45931</v>
      </c>
    </row>
    <row r="935" spans="1:16" ht="15.5" x14ac:dyDescent="0.35">
      <c r="A935" s="17" t="s">
        <v>983</v>
      </c>
      <c r="B935" s="35">
        <v>45971</v>
      </c>
      <c r="C935" s="17" t="s">
        <v>25</v>
      </c>
      <c r="D935" s="17" t="s">
        <v>32</v>
      </c>
      <c r="E935" s="17" t="s">
        <v>33</v>
      </c>
      <c r="F935" s="17" t="s">
        <v>34</v>
      </c>
      <c r="G935" s="17" t="s">
        <v>38</v>
      </c>
      <c r="H935" s="17" t="s">
        <v>60</v>
      </c>
      <c r="I935" s="17" t="s">
        <v>30</v>
      </c>
      <c r="J935" s="36">
        <v>13125</v>
      </c>
      <c r="K935" s="36">
        <v>19620.09</v>
      </c>
      <c r="L935" s="36">
        <f t="shared" si="70"/>
        <v>6495.09</v>
      </c>
      <c r="M935" s="37">
        <f t="shared" si="71"/>
        <v>0.49486400000000003</v>
      </c>
      <c r="N935" s="17" t="str">
        <f t="shared" si="72"/>
        <v>Over Budget</v>
      </c>
      <c r="O935" s="38">
        <f t="shared" si="73"/>
        <v>19620.09</v>
      </c>
      <c r="P935" s="39">
        <f t="shared" si="74"/>
        <v>45962</v>
      </c>
    </row>
    <row r="936" spans="1:16" ht="15.5" x14ac:dyDescent="0.35">
      <c r="A936" s="17" t="s">
        <v>984</v>
      </c>
      <c r="B936" s="35">
        <v>45856</v>
      </c>
      <c r="C936" s="17" t="s">
        <v>12</v>
      </c>
      <c r="D936" s="17" t="s">
        <v>2585</v>
      </c>
      <c r="E936" s="17" t="s">
        <v>20</v>
      </c>
      <c r="F936" s="17" t="s">
        <v>52</v>
      </c>
      <c r="G936" s="17" t="s">
        <v>22</v>
      </c>
      <c r="H936" s="17" t="s">
        <v>2594</v>
      </c>
      <c r="I936" s="17" t="s">
        <v>30</v>
      </c>
      <c r="J936" s="36">
        <v>2250</v>
      </c>
      <c r="K936" s="36">
        <v>890.25</v>
      </c>
      <c r="L936" s="36">
        <f t="shared" si="70"/>
        <v>-1359.75</v>
      </c>
      <c r="M936" s="37">
        <f t="shared" si="71"/>
        <v>-0.60433333333333328</v>
      </c>
      <c r="N936" s="17" t="str">
        <f t="shared" si="72"/>
        <v>Under Budget</v>
      </c>
      <c r="O936" s="38">
        <f t="shared" si="73"/>
        <v>-890.25</v>
      </c>
      <c r="P936" s="39">
        <f t="shared" si="74"/>
        <v>45839</v>
      </c>
    </row>
    <row r="937" spans="1:16" ht="15.5" x14ac:dyDescent="0.35">
      <c r="A937" s="17" t="s">
        <v>985</v>
      </c>
      <c r="B937" s="35">
        <v>45946</v>
      </c>
      <c r="C937" s="17" t="s">
        <v>12</v>
      </c>
      <c r="D937" s="17" t="s">
        <v>19</v>
      </c>
      <c r="E937" s="17" t="s">
        <v>47</v>
      </c>
      <c r="F937" s="17" t="s">
        <v>21</v>
      </c>
      <c r="G937" s="17" t="s">
        <v>38</v>
      </c>
      <c r="H937" s="17" t="s">
        <v>2595</v>
      </c>
      <c r="I937" s="17" t="s">
        <v>23</v>
      </c>
      <c r="J937" s="36">
        <v>3500</v>
      </c>
      <c r="K937" s="36">
        <v>1538.6</v>
      </c>
      <c r="L937" s="36">
        <f t="shared" si="70"/>
        <v>-1961.4</v>
      </c>
      <c r="M937" s="37">
        <f t="shared" si="71"/>
        <v>-0.56040000000000001</v>
      </c>
      <c r="N937" s="17" t="str">
        <f t="shared" si="72"/>
        <v>Under Budget</v>
      </c>
      <c r="O937" s="38">
        <f t="shared" si="73"/>
        <v>-1538.6</v>
      </c>
      <c r="P937" s="39">
        <f t="shared" si="74"/>
        <v>45931</v>
      </c>
    </row>
    <row r="938" spans="1:16" ht="15.5" x14ac:dyDescent="0.35">
      <c r="A938" s="17" t="s">
        <v>986</v>
      </c>
      <c r="B938" s="35">
        <v>45913</v>
      </c>
      <c r="C938" s="17" t="s">
        <v>25</v>
      </c>
      <c r="D938" s="17" t="s">
        <v>19</v>
      </c>
      <c r="E938" s="17" t="s">
        <v>169</v>
      </c>
      <c r="F938" s="17" t="s">
        <v>52</v>
      </c>
      <c r="G938" s="17" t="s">
        <v>82</v>
      </c>
      <c r="H938" s="17" t="s">
        <v>2593</v>
      </c>
      <c r="I938" s="17" t="s">
        <v>17</v>
      </c>
      <c r="J938" s="36">
        <v>3333.33</v>
      </c>
      <c r="K938" s="36">
        <v>3834.93</v>
      </c>
      <c r="L938" s="36">
        <f t="shared" si="70"/>
        <v>501.59999999999991</v>
      </c>
      <c r="M938" s="37">
        <f t="shared" si="71"/>
        <v>0.15048015048015045</v>
      </c>
      <c r="N938" s="17" t="str">
        <f t="shared" si="72"/>
        <v>Over Budget</v>
      </c>
      <c r="O938" s="38">
        <f t="shared" si="73"/>
        <v>3834.93</v>
      </c>
      <c r="P938" s="39">
        <f t="shared" si="74"/>
        <v>45901</v>
      </c>
    </row>
    <row r="939" spans="1:16" ht="15.5" x14ac:dyDescent="0.35">
      <c r="A939" s="17" t="s">
        <v>987</v>
      </c>
      <c r="B939" s="35">
        <v>46164</v>
      </c>
      <c r="C939" s="17" t="s">
        <v>12</v>
      </c>
      <c r="D939" s="17" t="s">
        <v>32</v>
      </c>
      <c r="E939" s="17" t="s">
        <v>41</v>
      </c>
      <c r="F939" s="17" t="s">
        <v>21</v>
      </c>
      <c r="G939" s="17" t="s">
        <v>38</v>
      </c>
      <c r="H939" s="17" t="s">
        <v>2589</v>
      </c>
      <c r="I939" s="17" t="s">
        <v>48</v>
      </c>
      <c r="J939" s="36">
        <v>6500</v>
      </c>
      <c r="K939" s="36">
        <v>7264.64</v>
      </c>
      <c r="L939" s="36">
        <f t="shared" si="70"/>
        <v>764.64000000000033</v>
      </c>
      <c r="M939" s="37">
        <f t="shared" si="71"/>
        <v>0.11763692307692312</v>
      </c>
      <c r="N939" s="17" t="str">
        <f t="shared" si="72"/>
        <v>Over Budget</v>
      </c>
      <c r="O939" s="38">
        <f t="shared" si="73"/>
        <v>-7264.64</v>
      </c>
      <c r="P939" s="39">
        <f t="shared" si="74"/>
        <v>46143</v>
      </c>
    </row>
    <row r="940" spans="1:16" ht="15.5" x14ac:dyDescent="0.35">
      <c r="A940" s="17" t="s">
        <v>988</v>
      </c>
      <c r="B940" s="35">
        <v>46195</v>
      </c>
      <c r="C940" s="17" t="s">
        <v>12</v>
      </c>
      <c r="D940" s="17" t="s">
        <v>19</v>
      </c>
      <c r="E940" s="17" t="s">
        <v>74</v>
      </c>
      <c r="F940" s="17" t="s">
        <v>34</v>
      </c>
      <c r="G940" s="17" t="s">
        <v>43</v>
      </c>
      <c r="H940" s="17" t="s">
        <v>2595</v>
      </c>
      <c r="I940" s="17" t="s">
        <v>39</v>
      </c>
      <c r="J940" s="36">
        <v>3076.92</v>
      </c>
      <c r="K940" s="36">
        <v>3785.88</v>
      </c>
      <c r="L940" s="36">
        <f t="shared" si="70"/>
        <v>708.96</v>
      </c>
      <c r="M940" s="37">
        <f t="shared" si="71"/>
        <v>0.23041223041223041</v>
      </c>
      <c r="N940" s="17" t="str">
        <f t="shared" si="72"/>
        <v>Over Budget</v>
      </c>
      <c r="O940" s="38">
        <f t="shared" si="73"/>
        <v>-3785.88</v>
      </c>
      <c r="P940" s="39">
        <f t="shared" si="74"/>
        <v>46174</v>
      </c>
    </row>
    <row r="941" spans="1:16" ht="15.5" x14ac:dyDescent="0.35">
      <c r="A941" s="17" t="s">
        <v>989</v>
      </c>
      <c r="B941" s="35">
        <v>45826</v>
      </c>
      <c r="C941" s="17" t="s">
        <v>12</v>
      </c>
      <c r="D941" s="17" t="s">
        <v>2584</v>
      </c>
      <c r="E941" s="17" t="s">
        <v>41</v>
      </c>
      <c r="F941" s="17" t="s">
        <v>34</v>
      </c>
      <c r="G941" s="17" t="s">
        <v>38</v>
      </c>
      <c r="H941" s="17" t="s">
        <v>2597</v>
      </c>
      <c r="I941" s="17" t="s">
        <v>23</v>
      </c>
      <c r="J941" s="36">
        <v>8125</v>
      </c>
      <c r="K941" s="36">
        <v>10768.68</v>
      </c>
      <c r="L941" s="36">
        <f t="shared" si="70"/>
        <v>2643.6800000000003</v>
      </c>
      <c r="M941" s="37">
        <f t="shared" si="71"/>
        <v>0.32537600000000005</v>
      </c>
      <c r="N941" s="17" t="str">
        <f t="shared" si="72"/>
        <v>Over Budget</v>
      </c>
      <c r="O941" s="38">
        <f t="shared" si="73"/>
        <v>-10768.68</v>
      </c>
      <c r="P941" s="39">
        <f t="shared" si="74"/>
        <v>45809</v>
      </c>
    </row>
    <row r="942" spans="1:16" ht="15.5" x14ac:dyDescent="0.35">
      <c r="A942" s="17" t="s">
        <v>990</v>
      </c>
      <c r="B942" s="35">
        <v>46141</v>
      </c>
      <c r="C942" s="17" t="s">
        <v>25</v>
      </c>
      <c r="D942" s="17" t="s">
        <v>32</v>
      </c>
      <c r="E942" s="17" t="s">
        <v>33</v>
      </c>
      <c r="F942" s="17" t="s">
        <v>52</v>
      </c>
      <c r="G942" s="17" t="s">
        <v>16</v>
      </c>
      <c r="H942" s="17" t="s">
        <v>2597</v>
      </c>
      <c r="I942" s="17" t="s">
        <v>17</v>
      </c>
      <c r="J942" s="36">
        <v>8333.33</v>
      </c>
      <c r="K942" s="36">
        <v>5057.4799999999996</v>
      </c>
      <c r="L942" s="36">
        <f t="shared" si="70"/>
        <v>-3275.8500000000004</v>
      </c>
      <c r="M942" s="37">
        <f t="shared" si="71"/>
        <v>-0.39310215724086295</v>
      </c>
      <c r="N942" s="17" t="str">
        <f t="shared" si="72"/>
        <v>Under Budget</v>
      </c>
      <c r="O942" s="38">
        <f t="shared" si="73"/>
        <v>5057.4799999999996</v>
      </c>
      <c r="P942" s="39">
        <f t="shared" si="74"/>
        <v>46113</v>
      </c>
    </row>
    <row r="943" spans="1:16" ht="15.5" x14ac:dyDescent="0.35">
      <c r="A943" s="17" t="s">
        <v>991</v>
      </c>
      <c r="B943" s="35">
        <v>46048</v>
      </c>
      <c r="C943" s="17" t="s">
        <v>25</v>
      </c>
      <c r="D943" s="17" t="s">
        <v>32</v>
      </c>
      <c r="E943" s="17" t="s">
        <v>33</v>
      </c>
      <c r="F943" s="17" t="s">
        <v>52</v>
      </c>
      <c r="G943" s="17" t="s">
        <v>38</v>
      </c>
      <c r="H943" s="17" t="s">
        <v>2594</v>
      </c>
      <c r="I943" s="17" t="s">
        <v>30</v>
      </c>
      <c r="J943" s="36">
        <v>11547.62</v>
      </c>
      <c r="K943" s="36">
        <v>10025.469999999999</v>
      </c>
      <c r="L943" s="36">
        <f t="shared" si="70"/>
        <v>-1522.1500000000015</v>
      </c>
      <c r="M943" s="37">
        <f t="shared" si="71"/>
        <v>-0.13181504067504832</v>
      </c>
      <c r="N943" s="17" t="str">
        <f t="shared" si="72"/>
        <v>Under Budget</v>
      </c>
      <c r="O943" s="38">
        <f t="shared" si="73"/>
        <v>10025.469999999999</v>
      </c>
      <c r="P943" s="39">
        <f t="shared" si="74"/>
        <v>46023</v>
      </c>
    </row>
    <row r="944" spans="1:16" ht="15.5" x14ac:dyDescent="0.35">
      <c r="A944" s="17" t="s">
        <v>992</v>
      </c>
      <c r="B944" s="35">
        <v>45993</v>
      </c>
      <c r="C944" s="17" t="s">
        <v>12</v>
      </c>
      <c r="D944" s="17" t="s">
        <v>26</v>
      </c>
      <c r="E944" s="17" t="s">
        <v>45</v>
      </c>
      <c r="F944" s="17" t="s">
        <v>28</v>
      </c>
      <c r="G944" s="17" t="s">
        <v>43</v>
      </c>
      <c r="H944" s="17" t="s">
        <v>2595</v>
      </c>
      <c r="I944" s="17" t="s">
        <v>30</v>
      </c>
      <c r="J944" s="36">
        <v>7875</v>
      </c>
      <c r="K944" s="36">
        <v>17080.599999999999</v>
      </c>
      <c r="L944" s="36">
        <f t="shared" si="70"/>
        <v>9205.5999999999985</v>
      </c>
      <c r="M944" s="37">
        <f t="shared" si="71"/>
        <v>1.1689650793650792</v>
      </c>
      <c r="N944" s="17" t="str">
        <f t="shared" si="72"/>
        <v>Over Budget</v>
      </c>
      <c r="O944" s="38">
        <f t="shared" si="73"/>
        <v>-17080.599999999999</v>
      </c>
      <c r="P944" s="39">
        <f t="shared" si="74"/>
        <v>45992</v>
      </c>
    </row>
    <row r="945" spans="1:16" ht="15.5" x14ac:dyDescent="0.35">
      <c r="A945" s="17" t="s">
        <v>993</v>
      </c>
      <c r="B945" s="35">
        <v>45918</v>
      </c>
      <c r="C945" s="17" t="s">
        <v>25</v>
      </c>
      <c r="D945" s="17" t="s">
        <v>32</v>
      </c>
      <c r="E945" s="17" t="s">
        <v>109</v>
      </c>
      <c r="F945" s="17" t="s">
        <v>52</v>
      </c>
      <c r="G945" s="17" t="s">
        <v>82</v>
      </c>
      <c r="H945" s="17" t="s">
        <v>2588</v>
      </c>
      <c r="I945" s="17" t="s">
        <v>39</v>
      </c>
      <c r="J945" s="36">
        <v>7142.86</v>
      </c>
      <c r="K945" s="36">
        <v>2466.4699999999998</v>
      </c>
      <c r="L945" s="36">
        <f t="shared" si="70"/>
        <v>-4676.3899999999994</v>
      </c>
      <c r="M945" s="37">
        <f t="shared" si="71"/>
        <v>-0.65469433812226474</v>
      </c>
      <c r="N945" s="17" t="str">
        <f t="shared" si="72"/>
        <v>Under Budget</v>
      </c>
      <c r="O945" s="38">
        <f t="shared" si="73"/>
        <v>2466.4699999999998</v>
      </c>
      <c r="P945" s="39">
        <f t="shared" si="74"/>
        <v>45901</v>
      </c>
    </row>
    <row r="946" spans="1:16" ht="15.5" x14ac:dyDescent="0.35">
      <c r="A946" s="17" t="s">
        <v>994</v>
      </c>
      <c r="B946" s="35">
        <v>46023</v>
      </c>
      <c r="C946" s="17" t="s">
        <v>25</v>
      </c>
      <c r="D946" s="17" t="s">
        <v>19</v>
      </c>
      <c r="E946" s="17" t="s">
        <v>109</v>
      </c>
      <c r="F946" s="17" t="s">
        <v>28</v>
      </c>
      <c r="G946" s="17" t="s">
        <v>82</v>
      </c>
      <c r="H946" s="17" t="s">
        <v>2589</v>
      </c>
      <c r="I946" s="17" t="s">
        <v>30</v>
      </c>
      <c r="J946" s="36">
        <v>6062.5</v>
      </c>
      <c r="K946" s="36">
        <v>5734.93</v>
      </c>
      <c r="L946" s="36">
        <f t="shared" si="70"/>
        <v>-327.56999999999971</v>
      </c>
      <c r="M946" s="37">
        <f t="shared" si="71"/>
        <v>-5.4032164948453559E-2</v>
      </c>
      <c r="N946" s="17" t="str">
        <f t="shared" si="72"/>
        <v>Under Budget</v>
      </c>
      <c r="O946" s="38">
        <f t="shared" si="73"/>
        <v>5734.93</v>
      </c>
      <c r="P946" s="39">
        <f t="shared" si="74"/>
        <v>46023</v>
      </c>
    </row>
    <row r="947" spans="1:16" ht="15.5" x14ac:dyDescent="0.35">
      <c r="A947" s="17" t="s">
        <v>995</v>
      </c>
      <c r="B947" s="35">
        <v>46139</v>
      </c>
      <c r="C947" s="17" t="s">
        <v>25</v>
      </c>
      <c r="D947" s="17" t="s">
        <v>32</v>
      </c>
      <c r="E947" s="17" t="s">
        <v>33</v>
      </c>
      <c r="F947" s="17" t="s">
        <v>15</v>
      </c>
      <c r="G947" s="17" t="s">
        <v>38</v>
      </c>
      <c r="H947" s="17" t="s">
        <v>80</v>
      </c>
      <c r="I947" s="17" t="s">
        <v>39</v>
      </c>
      <c r="J947" s="36">
        <v>8333.33</v>
      </c>
      <c r="K947" s="36">
        <v>7675.82</v>
      </c>
      <c r="L947" s="36">
        <f t="shared" si="70"/>
        <v>-657.51000000000022</v>
      </c>
      <c r="M947" s="37">
        <f t="shared" si="71"/>
        <v>-7.8901231560492655E-2</v>
      </c>
      <c r="N947" s="17" t="str">
        <f t="shared" si="72"/>
        <v>Under Budget</v>
      </c>
      <c r="O947" s="38">
        <f t="shared" si="73"/>
        <v>7675.82</v>
      </c>
      <c r="P947" s="39">
        <f t="shared" si="74"/>
        <v>46113</v>
      </c>
    </row>
    <row r="948" spans="1:16" ht="15.5" x14ac:dyDescent="0.35">
      <c r="A948" s="17" t="s">
        <v>996</v>
      </c>
      <c r="B948" s="35">
        <v>45730</v>
      </c>
      <c r="C948" s="17" t="s">
        <v>12</v>
      </c>
      <c r="D948" s="17" t="s">
        <v>19</v>
      </c>
      <c r="E948" s="17" t="s">
        <v>77</v>
      </c>
      <c r="F948" s="17" t="s">
        <v>28</v>
      </c>
      <c r="G948" s="17" t="s">
        <v>38</v>
      </c>
      <c r="H948" s="17" t="s">
        <v>80</v>
      </c>
      <c r="I948" s="17" t="s">
        <v>30</v>
      </c>
      <c r="J948" s="36">
        <v>3142.86</v>
      </c>
      <c r="K948" s="36">
        <v>487.51</v>
      </c>
      <c r="L948" s="36">
        <f t="shared" si="70"/>
        <v>-2655.3500000000004</v>
      </c>
      <c r="M948" s="37">
        <f t="shared" si="71"/>
        <v>-0.844883322833343</v>
      </c>
      <c r="N948" s="17" t="str">
        <f t="shared" si="72"/>
        <v>Under Budget</v>
      </c>
      <c r="O948" s="38">
        <f t="shared" si="73"/>
        <v>-487.51</v>
      </c>
      <c r="P948" s="39">
        <f t="shared" si="74"/>
        <v>45717</v>
      </c>
    </row>
    <row r="949" spans="1:16" ht="15.5" x14ac:dyDescent="0.35">
      <c r="A949" s="17" t="s">
        <v>997</v>
      </c>
      <c r="B949" s="35">
        <v>45950</v>
      </c>
      <c r="C949" s="17" t="s">
        <v>25</v>
      </c>
      <c r="D949" s="17" t="s">
        <v>32</v>
      </c>
      <c r="E949" s="17" t="s">
        <v>33</v>
      </c>
      <c r="F949" s="17" t="s">
        <v>21</v>
      </c>
      <c r="G949" s="17" t="s">
        <v>38</v>
      </c>
      <c r="H949" s="17" t="s">
        <v>80</v>
      </c>
      <c r="I949" s="17" t="s">
        <v>30</v>
      </c>
      <c r="J949" s="36">
        <v>8928.57</v>
      </c>
      <c r="K949" s="36">
        <v>6760.03</v>
      </c>
      <c r="L949" s="36">
        <f t="shared" si="70"/>
        <v>-2168.54</v>
      </c>
      <c r="M949" s="37">
        <f t="shared" si="71"/>
        <v>-0.24287651886024303</v>
      </c>
      <c r="N949" s="17" t="str">
        <f t="shared" si="72"/>
        <v>Under Budget</v>
      </c>
      <c r="O949" s="38">
        <f t="shared" si="73"/>
        <v>6760.03</v>
      </c>
      <c r="P949" s="39">
        <f t="shared" si="74"/>
        <v>45931</v>
      </c>
    </row>
    <row r="950" spans="1:16" ht="15.5" x14ac:dyDescent="0.35">
      <c r="A950" s="17" t="s">
        <v>998</v>
      </c>
      <c r="B950" s="35">
        <v>45881</v>
      </c>
      <c r="C950" s="17" t="s">
        <v>12</v>
      </c>
      <c r="D950" s="17" t="s">
        <v>19</v>
      </c>
      <c r="E950" s="17" t="s">
        <v>45</v>
      </c>
      <c r="F950" s="17" t="s">
        <v>28</v>
      </c>
      <c r="G950" s="17" t="s">
        <v>38</v>
      </c>
      <c r="H950" s="17" t="s">
        <v>2588</v>
      </c>
      <c r="I950" s="17" t="s">
        <v>30</v>
      </c>
      <c r="J950" s="36">
        <v>8181.82</v>
      </c>
      <c r="K950" s="36">
        <v>11429.36</v>
      </c>
      <c r="L950" s="36">
        <f t="shared" si="70"/>
        <v>3247.5400000000009</v>
      </c>
      <c r="M950" s="37">
        <f t="shared" si="71"/>
        <v>0.39692146735078515</v>
      </c>
      <c r="N950" s="17" t="str">
        <f t="shared" si="72"/>
        <v>Over Budget</v>
      </c>
      <c r="O950" s="38">
        <f t="shared" si="73"/>
        <v>-11429.36</v>
      </c>
      <c r="P950" s="39">
        <f t="shared" si="74"/>
        <v>45870</v>
      </c>
    </row>
    <row r="951" spans="1:16" ht="15.5" x14ac:dyDescent="0.35">
      <c r="A951" s="17" t="s">
        <v>999</v>
      </c>
      <c r="B951" s="35">
        <v>46161</v>
      </c>
      <c r="C951" s="17" t="s">
        <v>12</v>
      </c>
      <c r="D951" s="17" t="s">
        <v>19</v>
      </c>
      <c r="E951" s="17" t="s">
        <v>77</v>
      </c>
      <c r="F951" s="17" t="s">
        <v>34</v>
      </c>
      <c r="G951" s="17" t="s">
        <v>38</v>
      </c>
      <c r="H951" s="17" t="s">
        <v>2596</v>
      </c>
      <c r="I951" s="17" t="s">
        <v>39</v>
      </c>
      <c r="J951" s="36">
        <v>4400</v>
      </c>
      <c r="K951" s="36">
        <v>1337.26</v>
      </c>
      <c r="L951" s="36">
        <f t="shared" si="70"/>
        <v>-3062.74</v>
      </c>
      <c r="M951" s="37">
        <f t="shared" si="71"/>
        <v>-0.69607727272727271</v>
      </c>
      <c r="N951" s="17" t="str">
        <f t="shared" si="72"/>
        <v>Under Budget</v>
      </c>
      <c r="O951" s="38">
        <f t="shared" si="73"/>
        <v>-1337.26</v>
      </c>
      <c r="P951" s="39">
        <f t="shared" si="74"/>
        <v>46143</v>
      </c>
    </row>
    <row r="952" spans="1:16" ht="15.5" x14ac:dyDescent="0.35">
      <c r="A952" s="17" t="s">
        <v>1000</v>
      </c>
      <c r="B952" s="35">
        <v>45677</v>
      </c>
      <c r="C952" s="17" t="s">
        <v>12</v>
      </c>
      <c r="D952" s="17" t="s">
        <v>2585</v>
      </c>
      <c r="E952" s="17" t="s">
        <v>47</v>
      </c>
      <c r="F952" s="17" t="s">
        <v>15</v>
      </c>
      <c r="G952" s="17" t="s">
        <v>16</v>
      </c>
      <c r="H952" s="17" t="s">
        <v>60</v>
      </c>
      <c r="I952" s="17" t="s">
        <v>23</v>
      </c>
      <c r="J952" s="36">
        <v>5658.33</v>
      </c>
      <c r="K952" s="36">
        <v>4496.88</v>
      </c>
      <c r="L952" s="36">
        <f t="shared" si="70"/>
        <v>-1161.4499999999998</v>
      </c>
      <c r="M952" s="37">
        <f t="shared" si="71"/>
        <v>-0.20526374389616722</v>
      </c>
      <c r="N952" s="17" t="str">
        <f t="shared" si="72"/>
        <v>Under Budget</v>
      </c>
      <c r="O952" s="38">
        <f t="shared" si="73"/>
        <v>-4496.88</v>
      </c>
      <c r="P952" s="39">
        <f t="shared" si="74"/>
        <v>45658</v>
      </c>
    </row>
    <row r="953" spans="1:16" ht="15.5" x14ac:dyDescent="0.35">
      <c r="A953" s="17" t="s">
        <v>1001</v>
      </c>
      <c r="B953" s="35">
        <v>45874</v>
      </c>
      <c r="C953" s="17" t="s">
        <v>12</v>
      </c>
      <c r="D953" s="17" t="s">
        <v>13</v>
      </c>
      <c r="E953" s="17" t="s">
        <v>51</v>
      </c>
      <c r="F953" s="17" t="s">
        <v>28</v>
      </c>
      <c r="G953" s="17" t="s">
        <v>38</v>
      </c>
      <c r="H953" s="17" t="s">
        <v>2589</v>
      </c>
      <c r="I953" s="17" t="s">
        <v>30</v>
      </c>
      <c r="J953" s="36">
        <v>15000</v>
      </c>
      <c r="K953" s="36">
        <v>5509.42</v>
      </c>
      <c r="L953" s="36">
        <f t="shared" si="70"/>
        <v>-9490.58</v>
      </c>
      <c r="M953" s="37">
        <f t="shared" si="71"/>
        <v>-0.63270533333333334</v>
      </c>
      <c r="N953" s="17" t="str">
        <f t="shared" si="72"/>
        <v>Under Budget</v>
      </c>
      <c r="O953" s="38">
        <f t="shared" si="73"/>
        <v>-5509.42</v>
      </c>
      <c r="P953" s="39">
        <f t="shared" si="74"/>
        <v>45870</v>
      </c>
    </row>
    <row r="954" spans="1:16" ht="15.5" x14ac:dyDescent="0.35">
      <c r="A954" s="17" t="s">
        <v>1002</v>
      </c>
      <c r="B954" s="35">
        <v>45843</v>
      </c>
      <c r="C954" s="17" t="s">
        <v>12</v>
      </c>
      <c r="D954" s="17" t="s">
        <v>19</v>
      </c>
      <c r="E954" s="17" t="s">
        <v>41</v>
      </c>
      <c r="F954" s="17" t="s">
        <v>21</v>
      </c>
      <c r="G954" s="17" t="s">
        <v>38</v>
      </c>
      <c r="H954" s="17" t="s">
        <v>2589</v>
      </c>
      <c r="I954" s="17" t="s">
        <v>23</v>
      </c>
      <c r="J954" s="36">
        <v>5909.09</v>
      </c>
      <c r="K954" s="36">
        <v>5538.91</v>
      </c>
      <c r="L954" s="36">
        <f t="shared" si="70"/>
        <v>-370.18000000000029</v>
      </c>
      <c r="M954" s="37">
        <f t="shared" si="71"/>
        <v>-6.2645855791670174E-2</v>
      </c>
      <c r="N954" s="17" t="str">
        <f t="shared" si="72"/>
        <v>Under Budget</v>
      </c>
      <c r="O954" s="38">
        <f t="shared" si="73"/>
        <v>-5538.91</v>
      </c>
      <c r="P954" s="39">
        <f t="shared" si="74"/>
        <v>45839</v>
      </c>
    </row>
    <row r="955" spans="1:16" ht="15.5" x14ac:dyDescent="0.35">
      <c r="A955" s="17" t="s">
        <v>1003</v>
      </c>
      <c r="B955" s="35">
        <v>46196</v>
      </c>
      <c r="C955" s="17" t="s">
        <v>25</v>
      </c>
      <c r="D955" s="17" t="s">
        <v>19</v>
      </c>
      <c r="E955" s="17" t="s">
        <v>169</v>
      </c>
      <c r="F955" s="17" t="s">
        <v>21</v>
      </c>
      <c r="G955" s="17" t="s">
        <v>22</v>
      </c>
      <c r="H955" s="17" t="s">
        <v>2590</v>
      </c>
      <c r="I955" s="17" t="s">
        <v>39</v>
      </c>
      <c r="J955" s="36">
        <v>10000</v>
      </c>
      <c r="K955" s="36">
        <v>339.78</v>
      </c>
      <c r="L955" s="36">
        <f t="shared" si="70"/>
        <v>-9660.2199999999993</v>
      </c>
      <c r="M955" s="37">
        <f t="shared" si="71"/>
        <v>-0.96602199999999994</v>
      </c>
      <c r="N955" s="17" t="str">
        <f t="shared" si="72"/>
        <v>Under Budget</v>
      </c>
      <c r="O955" s="38">
        <f t="shared" si="73"/>
        <v>339.78</v>
      </c>
      <c r="P955" s="39">
        <f t="shared" si="74"/>
        <v>46174</v>
      </c>
    </row>
    <row r="956" spans="1:16" ht="15.5" x14ac:dyDescent="0.35">
      <c r="A956" s="17" t="s">
        <v>1004</v>
      </c>
      <c r="B956" s="35">
        <v>46170</v>
      </c>
      <c r="C956" s="17" t="s">
        <v>12</v>
      </c>
      <c r="D956" s="17" t="s">
        <v>32</v>
      </c>
      <c r="E956" s="17" t="s">
        <v>45</v>
      </c>
      <c r="F956" s="17" t="s">
        <v>15</v>
      </c>
      <c r="G956" s="17" t="s">
        <v>22</v>
      </c>
      <c r="H956" s="17" t="s">
        <v>80</v>
      </c>
      <c r="I956" s="17" t="s">
        <v>48</v>
      </c>
      <c r="J956" s="36">
        <v>16363.64</v>
      </c>
      <c r="K956" s="36">
        <v>9347.0499999999993</v>
      </c>
      <c r="L956" s="36">
        <f t="shared" si="70"/>
        <v>-7016.59</v>
      </c>
      <c r="M956" s="37">
        <f t="shared" si="71"/>
        <v>-0.42879151582410763</v>
      </c>
      <c r="N956" s="17" t="str">
        <f t="shared" si="72"/>
        <v>Under Budget</v>
      </c>
      <c r="O956" s="38">
        <f t="shared" si="73"/>
        <v>-9347.0499999999993</v>
      </c>
      <c r="P956" s="39">
        <f t="shared" si="74"/>
        <v>46143</v>
      </c>
    </row>
    <row r="957" spans="1:16" ht="15.5" x14ac:dyDescent="0.35">
      <c r="A957" s="17" t="s">
        <v>1005</v>
      </c>
      <c r="B957" s="35">
        <v>45706</v>
      </c>
      <c r="C957" s="17" t="s">
        <v>12</v>
      </c>
      <c r="D957" s="17" t="s">
        <v>13</v>
      </c>
      <c r="E957" s="17" t="s">
        <v>65</v>
      </c>
      <c r="F957" s="17" t="s">
        <v>52</v>
      </c>
      <c r="G957" s="17" t="s">
        <v>38</v>
      </c>
      <c r="H957" s="17" t="s">
        <v>2597</v>
      </c>
      <c r="I957" s="17" t="s">
        <v>48</v>
      </c>
      <c r="J957" s="36">
        <v>7621.43</v>
      </c>
      <c r="K957" s="36">
        <v>6339.86</v>
      </c>
      <c r="L957" s="36">
        <f t="shared" si="70"/>
        <v>-1281.5700000000006</v>
      </c>
      <c r="M957" s="37">
        <f t="shared" si="71"/>
        <v>-0.16815348300778207</v>
      </c>
      <c r="N957" s="17" t="str">
        <f t="shared" si="72"/>
        <v>Under Budget</v>
      </c>
      <c r="O957" s="38">
        <f t="shared" si="73"/>
        <v>-6339.86</v>
      </c>
      <c r="P957" s="39">
        <f t="shared" si="74"/>
        <v>45689</v>
      </c>
    </row>
    <row r="958" spans="1:16" ht="15.5" x14ac:dyDescent="0.35">
      <c r="A958" s="17" t="s">
        <v>1006</v>
      </c>
      <c r="B958" s="35">
        <v>46192</v>
      </c>
      <c r="C958" s="17" t="s">
        <v>12</v>
      </c>
      <c r="D958" s="17" t="s">
        <v>26</v>
      </c>
      <c r="E958" s="17" t="s">
        <v>51</v>
      </c>
      <c r="F958" s="17" t="s">
        <v>52</v>
      </c>
      <c r="G958" s="17" t="s">
        <v>38</v>
      </c>
      <c r="H958" s="17" t="s">
        <v>2589</v>
      </c>
      <c r="I958" s="17" t="s">
        <v>17</v>
      </c>
      <c r="J958" s="36">
        <v>6000</v>
      </c>
      <c r="K958" s="36">
        <v>4461.7299999999996</v>
      </c>
      <c r="L958" s="36">
        <f t="shared" si="70"/>
        <v>-1538.2700000000004</v>
      </c>
      <c r="M958" s="37">
        <f t="shared" si="71"/>
        <v>-0.25637833333333343</v>
      </c>
      <c r="N958" s="17" t="str">
        <f t="shared" si="72"/>
        <v>Under Budget</v>
      </c>
      <c r="O958" s="38">
        <f t="shared" si="73"/>
        <v>-4461.7299999999996</v>
      </c>
      <c r="P958" s="39">
        <f t="shared" si="74"/>
        <v>46174</v>
      </c>
    </row>
    <row r="959" spans="1:16" ht="15.5" x14ac:dyDescent="0.35">
      <c r="A959" s="17" t="s">
        <v>1007</v>
      </c>
      <c r="B959" s="35">
        <v>45768</v>
      </c>
      <c r="C959" s="17" t="s">
        <v>12</v>
      </c>
      <c r="D959" s="17" t="s">
        <v>2585</v>
      </c>
      <c r="E959" s="17" t="s">
        <v>45</v>
      </c>
      <c r="F959" s="17" t="s">
        <v>15</v>
      </c>
      <c r="G959" s="17" t="s">
        <v>43</v>
      </c>
      <c r="H959" s="17" t="s">
        <v>2586</v>
      </c>
      <c r="I959" s="17" t="s">
        <v>30</v>
      </c>
      <c r="J959" s="36">
        <v>13846.15</v>
      </c>
      <c r="K959" s="36">
        <v>8070.58</v>
      </c>
      <c r="L959" s="36">
        <f t="shared" si="70"/>
        <v>-5775.57</v>
      </c>
      <c r="M959" s="37">
        <f t="shared" si="71"/>
        <v>-0.41712461586794886</v>
      </c>
      <c r="N959" s="17" t="str">
        <f t="shared" si="72"/>
        <v>Under Budget</v>
      </c>
      <c r="O959" s="38">
        <f t="shared" si="73"/>
        <v>-8070.58</v>
      </c>
      <c r="P959" s="39">
        <f t="shared" si="74"/>
        <v>45748</v>
      </c>
    </row>
    <row r="960" spans="1:16" ht="15.5" x14ac:dyDescent="0.35">
      <c r="A960" s="17" t="s">
        <v>1008</v>
      </c>
      <c r="B960" s="35">
        <v>45917</v>
      </c>
      <c r="C960" s="17" t="s">
        <v>12</v>
      </c>
      <c r="D960" s="17" t="s">
        <v>26</v>
      </c>
      <c r="E960" s="17" t="s">
        <v>51</v>
      </c>
      <c r="F960" s="17" t="s">
        <v>34</v>
      </c>
      <c r="G960" s="17" t="s">
        <v>29</v>
      </c>
      <c r="H960" s="17" t="s">
        <v>2593</v>
      </c>
      <c r="I960" s="17" t="s">
        <v>23</v>
      </c>
      <c r="J960" s="36">
        <v>5000</v>
      </c>
      <c r="K960" s="36">
        <v>5243.81</v>
      </c>
      <c r="L960" s="36">
        <f t="shared" si="70"/>
        <v>243.8100000000004</v>
      </c>
      <c r="M960" s="37">
        <f t="shared" si="71"/>
        <v>4.8762000000000083E-2</v>
      </c>
      <c r="N960" s="17" t="str">
        <f t="shared" si="72"/>
        <v>Over Budget</v>
      </c>
      <c r="O960" s="38">
        <f t="shared" si="73"/>
        <v>-5243.81</v>
      </c>
      <c r="P960" s="39">
        <f t="shared" si="74"/>
        <v>45901</v>
      </c>
    </row>
    <row r="961" spans="1:16" ht="15.5" x14ac:dyDescent="0.35">
      <c r="A961" s="17" t="s">
        <v>1009</v>
      </c>
      <c r="B961" s="35">
        <v>46094</v>
      </c>
      <c r="C961" s="17" t="s">
        <v>12</v>
      </c>
      <c r="D961" s="17" t="s">
        <v>2585</v>
      </c>
      <c r="E961" s="17" t="s">
        <v>37</v>
      </c>
      <c r="F961" s="17" t="s">
        <v>15</v>
      </c>
      <c r="G961" s="17" t="s">
        <v>82</v>
      </c>
      <c r="H961" s="17" t="s">
        <v>60</v>
      </c>
      <c r="I961" s="17" t="s">
        <v>30</v>
      </c>
      <c r="J961" s="36">
        <v>4000</v>
      </c>
      <c r="K961" s="36">
        <v>987.55</v>
      </c>
      <c r="L961" s="36">
        <f t="shared" si="70"/>
        <v>-3012.45</v>
      </c>
      <c r="M961" s="37">
        <f t="shared" si="71"/>
        <v>-0.75311249999999996</v>
      </c>
      <c r="N961" s="17" t="str">
        <f t="shared" si="72"/>
        <v>Under Budget</v>
      </c>
      <c r="O961" s="38">
        <f t="shared" si="73"/>
        <v>-987.55</v>
      </c>
      <c r="P961" s="39">
        <f t="shared" si="74"/>
        <v>46082</v>
      </c>
    </row>
    <row r="962" spans="1:16" ht="15.5" x14ac:dyDescent="0.35">
      <c r="A962" s="17" t="s">
        <v>1010</v>
      </c>
      <c r="B962" s="35">
        <v>45866</v>
      </c>
      <c r="C962" s="17" t="s">
        <v>12</v>
      </c>
      <c r="D962" s="17" t="s">
        <v>19</v>
      </c>
      <c r="E962" s="17" t="s">
        <v>37</v>
      </c>
      <c r="F962" s="17" t="s">
        <v>21</v>
      </c>
      <c r="G962" s="17" t="s">
        <v>22</v>
      </c>
      <c r="H962" s="17" t="s">
        <v>60</v>
      </c>
      <c r="I962" s="17" t="s">
        <v>39</v>
      </c>
      <c r="J962" s="36">
        <v>4666.67</v>
      </c>
      <c r="K962" s="36">
        <v>161.41</v>
      </c>
      <c r="L962" s="36">
        <f t="shared" si="70"/>
        <v>-4505.26</v>
      </c>
      <c r="M962" s="37">
        <f t="shared" si="71"/>
        <v>-0.96541216756273751</v>
      </c>
      <c r="N962" s="17" t="str">
        <f t="shared" si="72"/>
        <v>Under Budget</v>
      </c>
      <c r="O962" s="38">
        <f t="shared" si="73"/>
        <v>-161.41</v>
      </c>
      <c r="P962" s="39">
        <f t="shared" si="74"/>
        <v>45839</v>
      </c>
    </row>
    <row r="963" spans="1:16" ht="15.5" x14ac:dyDescent="0.35">
      <c r="A963" s="17" t="s">
        <v>1011</v>
      </c>
      <c r="B963" s="35">
        <v>46020</v>
      </c>
      <c r="C963" s="17" t="s">
        <v>12</v>
      </c>
      <c r="D963" s="17" t="s">
        <v>2584</v>
      </c>
      <c r="E963" s="17" t="s">
        <v>45</v>
      </c>
      <c r="F963" s="17" t="s">
        <v>52</v>
      </c>
      <c r="G963" s="17" t="s">
        <v>38</v>
      </c>
      <c r="H963" s="17" t="s">
        <v>2594</v>
      </c>
      <c r="I963" s="17" t="s">
        <v>39</v>
      </c>
      <c r="J963" s="36">
        <v>7875</v>
      </c>
      <c r="K963" s="36">
        <v>7823.69</v>
      </c>
      <c r="L963" s="36">
        <f t="shared" ref="L963:L1026" si="75">K963-J963</f>
        <v>-51.3100000000004</v>
      </c>
      <c r="M963" s="37">
        <f t="shared" ref="M963:M1026" si="76">IF(J963=0,0,L963/J963)</f>
        <v>-6.515555555555606E-3</v>
      </c>
      <c r="N963" s="17" t="str">
        <f t="shared" ref="N963:N1026" si="77">IF(J963=0,"No Budget",IF(K963&gt;J963,"Over Budget",IF(K963&lt;J963,"Under Budget","On Budget")))</f>
        <v>Under Budget</v>
      </c>
      <c r="O963" s="38">
        <f t="shared" ref="O963:O1026" si="78">IF(C963="Revenue",K963,-K963)</f>
        <v>-7823.69</v>
      </c>
      <c r="P963" s="39">
        <f t="shared" ref="P963:P1026" si="79">DATE(YEAR(B963),MONTH(B963),1)</f>
        <v>45992</v>
      </c>
    </row>
    <row r="964" spans="1:16" ht="15.5" x14ac:dyDescent="0.35">
      <c r="A964" s="17" t="s">
        <v>1012</v>
      </c>
      <c r="B964" s="35">
        <v>45827</v>
      </c>
      <c r="C964" s="17" t="s">
        <v>12</v>
      </c>
      <c r="D964" s="17" t="s">
        <v>2585</v>
      </c>
      <c r="E964" s="17" t="s">
        <v>45</v>
      </c>
      <c r="F964" s="17" t="s">
        <v>34</v>
      </c>
      <c r="G964" s="17" t="s">
        <v>22</v>
      </c>
      <c r="H964" s="17" t="s">
        <v>2589</v>
      </c>
      <c r="I964" s="17" t="s">
        <v>39</v>
      </c>
      <c r="J964" s="36">
        <v>6428.57</v>
      </c>
      <c r="K964" s="36">
        <v>3552.77</v>
      </c>
      <c r="L964" s="36">
        <f t="shared" si="75"/>
        <v>-2875.7999999999997</v>
      </c>
      <c r="M964" s="37">
        <f t="shared" si="76"/>
        <v>-0.44734676607705909</v>
      </c>
      <c r="N964" s="17" t="str">
        <f t="shared" si="77"/>
        <v>Under Budget</v>
      </c>
      <c r="O964" s="38">
        <f t="shared" si="78"/>
        <v>-3552.77</v>
      </c>
      <c r="P964" s="39">
        <f t="shared" si="79"/>
        <v>45809</v>
      </c>
    </row>
    <row r="965" spans="1:16" ht="15.5" x14ac:dyDescent="0.35">
      <c r="A965" s="17" t="s">
        <v>1013</v>
      </c>
      <c r="B965" s="35">
        <v>45675</v>
      </c>
      <c r="C965" s="17" t="s">
        <v>12</v>
      </c>
      <c r="D965" s="17" t="s">
        <v>2584</v>
      </c>
      <c r="E965" s="17" t="s">
        <v>45</v>
      </c>
      <c r="F965" s="17" t="s">
        <v>34</v>
      </c>
      <c r="G965" s="17" t="s">
        <v>22</v>
      </c>
      <c r="H965" s="17" t="s">
        <v>2590</v>
      </c>
      <c r="I965" s="17" t="s">
        <v>17</v>
      </c>
      <c r="J965" s="36">
        <v>7591.3</v>
      </c>
      <c r="K965" s="36">
        <v>7216.12</v>
      </c>
      <c r="L965" s="36">
        <f t="shared" si="75"/>
        <v>-375.18000000000029</v>
      </c>
      <c r="M965" s="37">
        <f t="shared" si="76"/>
        <v>-4.9422365075810507E-2</v>
      </c>
      <c r="N965" s="17" t="str">
        <f t="shared" si="77"/>
        <v>Under Budget</v>
      </c>
      <c r="O965" s="38">
        <f t="shared" si="78"/>
        <v>-7216.12</v>
      </c>
      <c r="P965" s="39">
        <f t="shared" si="79"/>
        <v>45658</v>
      </c>
    </row>
    <row r="966" spans="1:16" ht="15.5" x14ac:dyDescent="0.35">
      <c r="A966" s="17" t="s">
        <v>1014</v>
      </c>
      <c r="B966" s="35">
        <v>46055</v>
      </c>
      <c r="C966" s="17" t="s">
        <v>25</v>
      </c>
      <c r="D966" s="17" t="s">
        <v>32</v>
      </c>
      <c r="E966" s="17" t="s">
        <v>33</v>
      </c>
      <c r="F966" s="17" t="s">
        <v>21</v>
      </c>
      <c r="G966" s="17" t="s">
        <v>16</v>
      </c>
      <c r="H966" s="17" t="s">
        <v>2590</v>
      </c>
      <c r="I966" s="17" t="s">
        <v>48</v>
      </c>
      <c r="J966" s="36">
        <v>12125</v>
      </c>
      <c r="K966" s="36">
        <v>13682</v>
      </c>
      <c r="L966" s="36">
        <f t="shared" si="75"/>
        <v>1557</v>
      </c>
      <c r="M966" s="37">
        <f t="shared" si="76"/>
        <v>0.12841237113402063</v>
      </c>
      <c r="N966" s="17" t="str">
        <f t="shared" si="77"/>
        <v>Over Budget</v>
      </c>
      <c r="O966" s="38">
        <f t="shared" si="78"/>
        <v>13682</v>
      </c>
      <c r="P966" s="39">
        <f t="shared" si="79"/>
        <v>46054</v>
      </c>
    </row>
    <row r="967" spans="1:16" ht="15.5" x14ac:dyDescent="0.35">
      <c r="A967" s="17" t="s">
        <v>1015</v>
      </c>
      <c r="B967" s="35">
        <v>45890</v>
      </c>
      <c r="C967" s="17" t="s">
        <v>12</v>
      </c>
      <c r="D967" s="17" t="s">
        <v>26</v>
      </c>
      <c r="E967" s="17" t="s">
        <v>45</v>
      </c>
      <c r="F967" s="17" t="s">
        <v>28</v>
      </c>
      <c r="G967" s="17" t="s">
        <v>38</v>
      </c>
      <c r="H967" s="17" t="s">
        <v>2593</v>
      </c>
      <c r="I967" s="17" t="s">
        <v>23</v>
      </c>
      <c r="J967" s="36">
        <v>8181.82</v>
      </c>
      <c r="K967" s="36">
        <v>15533.78</v>
      </c>
      <c r="L967" s="36">
        <f t="shared" si="75"/>
        <v>7351.9600000000009</v>
      </c>
      <c r="M967" s="37">
        <f t="shared" si="76"/>
        <v>0.89857268920606925</v>
      </c>
      <c r="N967" s="17" t="str">
        <f t="shared" si="77"/>
        <v>Over Budget</v>
      </c>
      <c r="O967" s="38">
        <f t="shared" si="78"/>
        <v>-15533.78</v>
      </c>
      <c r="P967" s="39">
        <f t="shared" si="79"/>
        <v>45870</v>
      </c>
    </row>
    <row r="968" spans="1:16" ht="15.5" x14ac:dyDescent="0.35">
      <c r="A968" s="17" t="s">
        <v>1016</v>
      </c>
      <c r="B968" s="35">
        <v>46162</v>
      </c>
      <c r="C968" s="17" t="s">
        <v>25</v>
      </c>
      <c r="D968" s="17" t="s">
        <v>32</v>
      </c>
      <c r="E968" s="17" t="s">
        <v>109</v>
      </c>
      <c r="F968" s="17" t="s">
        <v>52</v>
      </c>
      <c r="G968" s="17" t="s">
        <v>16</v>
      </c>
      <c r="H968" s="17" t="s">
        <v>2592</v>
      </c>
      <c r="I968" s="17" t="s">
        <v>48</v>
      </c>
      <c r="J968" s="36">
        <v>5882.35</v>
      </c>
      <c r="K968" s="36">
        <v>6351.82</v>
      </c>
      <c r="L968" s="36">
        <f t="shared" si="75"/>
        <v>469.46999999999935</v>
      </c>
      <c r="M968" s="37">
        <f t="shared" si="76"/>
        <v>7.9809939904969832E-2</v>
      </c>
      <c r="N968" s="17" t="str">
        <f t="shared" si="77"/>
        <v>Over Budget</v>
      </c>
      <c r="O968" s="38">
        <f t="shared" si="78"/>
        <v>6351.82</v>
      </c>
      <c r="P968" s="39">
        <f t="shared" si="79"/>
        <v>46143</v>
      </c>
    </row>
    <row r="969" spans="1:16" ht="15.5" x14ac:dyDescent="0.35">
      <c r="A969" s="17" t="s">
        <v>1017</v>
      </c>
      <c r="B969" s="35">
        <v>45959</v>
      </c>
      <c r="C969" s="17" t="s">
        <v>12</v>
      </c>
      <c r="D969" s="17" t="s">
        <v>2584</v>
      </c>
      <c r="E969" s="17" t="s">
        <v>45</v>
      </c>
      <c r="F969" s="17" t="s">
        <v>28</v>
      </c>
      <c r="G969" s="17" t="s">
        <v>16</v>
      </c>
      <c r="H969" s="17" t="s">
        <v>2586</v>
      </c>
      <c r="I969" s="17" t="s">
        <v>30</v>
      </c>
      <c r="J969" s="36">
        <v>7826.09</v>
      </c>
      <c r="K969" s="36">
        <v>9532.23</v>
      </c>
      <c r="L969" s="36">
        <f t="shared" si="75"/>
        <v>1706.1399999999994</v>
      </c>
      <c r="M969" s="37">
        <f t="shared" si="76"/>
        <v>0.21800669299739708</v>
      </c>
      <c r="N969" s="17" t="str">
        <f t="shared" si="77"/>
        <v>Over Budget</v>
      </c>
      <c r="O969" s="38">
        <f t="shared" si="78"/>
        <v>-9532.23</v>
      </c>
      <c r="P969" s="39">
        <f t="shared" si="79"/>
        <v>45931</v>
      </c>
    </row>
    <row r="970" spans="1:16" ht="15.5" x14ac:dyDescent="0.35">
      <c r="A970" s="17" t="s">
        <v>1018</v>
      </c>
      <c r="B970" s="35">
        <v>45778</v>
      </c>
      <c r="C970" s="17" t="s">
        <v>12</v>
      </c>
      <c r="D970" s="17" t="s">
        <v>2585</v>
      </c>
      <c r="E970" s="17" t="s">
        <v>47</v>
      </c>
      <c r="F970" s="17" t="s">
        <v>21</v>
      </c>
      <c r="G970" s="17" t="s">
        <v>82</v>
      </c>
      <c r="H970" s="17" t="s">
        <v>2586</v>
      </c>
      <c r="I970" s="17" t="s">
        <v>23</v>
      </c>
      <c r="J970" s="36">
        <v>3888.89</v>
      </c>
      <c r="K970" s="36">
        <v>1510.37</v>
      </c>
      <c r="L970" s="36">
        <f t="shared" si="75"/>
        <v>-2378.52</v>
      </c>
      <c r="M970" s="37">
        <f t="shared" si="76"/>
        <v>-0.61161925382307036</v>
      </c>
      <c r="N970" s="17" t="str">
        <f t="shared" si="77"/>
        <v>Under Budget</v>
      </c>
      <c r="O970" s="38">
        <f t="shared" si="78"/>
        <v>-1510.37</v>
      </c>
      <c r="P970" s="39">
        <f t="shared" si="79"/>
        <v>45778</v>
      </c>
    </row>
    <row r="971" spans="1:16" ht="15.5" x14ac:dyDescent="0.35">
      <c r="A971" s="17" t="s">
        <v>1019</v>
      </c>
      <c r="B971" s="35">
        <v>45764</v>
      </c>
      <c r="C971" s="17" t="s">
        <v>12</v>
      </c>
      <c r="D971" s="17" t="s">
        <v>19</v>
      </c>
      <c r="E971" s="17" t="s">
        <v>20</v>
      </c>
      <c r="F971" s="17" t="s">
        <v>52</v>
      </c>
      <c r="G971" s="17" t="s">
        <v>38</v>
      </c>
      <c r="H971" s="17" t="s">
        <v>80</v>
      </c>
      <c r="I971" s="17" t="s">
        <v>39</v>
      </c>
      <c r="J971" s="36">
        <v>2250</v>
      </c>
      <c r="K971" s="36">
        <v>260.77</v>
      </c>
      <c r="L971" s="36">
        <f t="shared" si="75"/>
        <v>-1989.23</v>
      </c>
      <c r="M971" s="37">
        <f t="shared" si="76"/>
        <v>-0.88410222222222223</v>
      </c>
      <c r="N971" s="17" t="str">
        <f t="shared" si="77"/>
        <v>Under Budget</v>
      </c>
      <c r="O971" s="38">
        <f t="shared" si="78"/>
        <v>-260.77</v>
      </c>
      <c r="P971" s="39">
        <f t="shared" si="79"/>
        <v>45748</v>
      </c>
    </row>
    <row r="972" spans="1:16" ht="15.5" x14ac:dyDescent="0.35">
      <c r="A972" s="17" t="s">
        <v>1020</v>
      </c>
      <c r="B972" s="35">
        <v>46116</v>
      </c>
      <c r="C972" s="17" t="s">
        <v>12</v>
      </c>
      <c r="D972" s="17" t="s">
        <v>26</v>
      </c>
      <c r="E972" s="17" t="s">
        <v>65</v>
      </c>
      <c r="F972" s="17" t="s">
        <v>52</v>
      </c>
      <c r="G972" s="17" t="s">
        <v>43</v>
      </c>
      <c r="H972" s="17" t="s">
        <v>2594</v>
      </c>
      <c r="I972" s="17" t="s">
        <v>48</v>
      </c>
      <c r="J972" s="36">
        <v>9166.67</v>
      </c>
      <c r="K972" s="36">
        <v>5823</v>
      </c>
      <c r="L972" s="36">
        <f t="shared" si="75"/>
        <v>-3343.67</v>
      </c>
      <c r="M972" s="37">
        <f t="shared" si="76"/>
        <v>-0.36476386735859367</v>
      </c>
      <c r="N972" s="17" t="str">
        <f t="shared" si="77"/>
        <v>Under Budget</v>
      </c>
      <c r="O972" s="38">
        <f t="shared" si="78"/>
        <v>-5823</v>
      </c>
      <c r="P972" s="39">
        <f t="shared" si="79"/>
        <v>46113</v>
      </c>
    </row>
    <row r="973" spans="1:16" ht="15.5" x14ac:dyDescent="0.35">
      <c r="A973" s="17" t="s">
        <v>1021</v>
      </c>
      <c r="B973" s="35">
        <v>45800</v>
      </c>
      <c r="C973" s="17" t="s">
        <v>12</v>
      </c>
      <c r="D973" s="17" t="s">
        <v>36</v>
      </c>
      <c r="E973" s="17" t="s">
        <v>45</v>
      </c>
      <c r="F973" s="17" t="s">
        <v>15</v>
      </c>
      <c r="G973" s="17" t="s">
        <v>43</v>
      </c>
      <c r="H973" s="17" t="s">
        <v>60</v>
      </c>
      <c r="I973" s="17" t="s">
        <v>48</v>
      </c>
      <c r="J973" s="36">
        <v>7200</v>
      </c>
      <c r="K973" s="36">
        <v>2316.4899999999998</v>
      </c>
      <c r="L973" s="36">
        <f t="shared" si="75"/>
        <v>-4883.51</v>
      </c>
      <c r="M973" s="37">
        <f t="shared" si="76"/>
        <v>-0.67826527777777779</v>
      </c>
      <c r="N973" s="17" t="str">
        <f t="shared" si="77"/>
        <v>Under Budget</v>
      </c>
      <c r="O973" s="38">
        <f t="shared" si="78"/>
        <v>-2316.4899999999998</v>
      </c>
      <c r="P973" s="39">
        <f t="shared" si="79"/>
        <v>45778</v>
      </c>
    </row>
    <row r="974" spans="1:16" ht="15.5" x14ac:dyDescent="0.35">
      <c r="A974" s="17" t="s">
        <v>1022</v>
      </c>
      <c r="B974" s="35">
        <v>45903</v>
      </c>
      <c r="C974" s="17" t="s">
        <v>12</v>
      </c>
      <c r="D974" s="17" t="s">
        <v>13</v>
      </c>
      <c r="E974" s="17" t="s">
        <v>45</v>
      </c>
      <c r="F974" s="17" t="s">
        <v>28</v>
      </c>
      <c r="G974" s="17" t="s">
        <v>22</v>
      </c>
      <c r="H974" s="17" t="s">
        <v>2598</v>
      </c>
      <c r="I974" s="17" t="s">
        <v>23</v>
      </c>
      <c r="J974" s="36">
        <v>7500</v>
      </c>
      <c r="K974" s="36">
        <v>13929.18</v>
      </c>
      <c r="L974" s="36">
        <f t="shared" si="75"/>
        <v>6429.18</v>
      </c>
      <c r="M974" s="37">
        <f t="shared" si="76"/>
        <v>0.85722399999999999</v>
      </c>
      <c r="N974" s="17" t="str">
        <f t="shared" si="77"/>
        <v>Over Budget</v>
      </c>
      <c r="O974" s="38">
        <f t="shared" si="78"/>
        <v>-13929.18</v>
      </c>
      <c r="P974" s="39">
        <f t="shared" si="79"/>
        <v>45901</v>
      </c>
    </row>
    <row r="975" spans="1:16" ht="15.5" x14ac:dyDescent="0.35">
      <c r="A975" s="17" t="s">
        <v>1023</v>
      </c>
      <c r="B975" s="35">
        <v>45797</v>
      </c>
      <c r="C975" s="17" t="s">
        <v>12</v>
      </c>
      <c r="D975" s="17" t="s">
        <v>19</v>
      </c>
      <c r="E975" s="17" t="s">
        <v>41</v>
      </c>
      <c r="F975" s="17" t="s">
        <v>52</v>
      </c>
      <c r="G975" s="17" t="s">
        <v>43</v>
      </c>
      <c r="H975" s="17" t="s">
        <v>2594</v>
      </c>
      <c r="I975" s="17" t="s">
        <v>48</v>
      </c>
      <c r="J975" s="36">
        <v>4642.8599999999997</v>
      </c>
      <c r="K975" s="36">
        <v>7635.7</v>
      </c>
      <c r="L975" s="36">
        <f t="shared" si="75"/>
        <v>2992.84</v>
      </c>
      <c r="M975" s="37">
        <f t="shared" si="76"/>
        <v>0.64461129562381814</v>
      </c>
      <c r="N975" s="17" t="str">
        <f t="shared" si="77"/>
        <v>Over Budget</v>
      </c>
      <c r="O975" s="38">
        <f t="shared" si="78"/>
        <v>-7635.7</v>
      </c>
      <c r="P975" s="39">
        <f t="shared" si="79"/>
        <v>45778</v>
      </c>
    </row>
    <row r="976" spans="1:16" ht="15.5" x14ac:dyDescent="0.35">
      <c r="A976" s="17" t="s">
        <v>1024</v>
      </c>
      <c r="B976" s="35">
        <v>46124</v>
      </c>
      <c r="C976" s="17" t="s">
        <v>12</v>
      </c>
      <c r="D976" s="17" t="s">
        <v>13</v>
      </c>
      <c r="E976" s="17" t="s">
        <v>77</v>
      </c>
      <c r="F976" s="17" t="s">
        <v>15</v>
      </c>
      <c r="G976" s="17" t="s">
        <v>38</v>
      </c>
      <c r="H976" s="17" t="s">
        <v>2593</v>
      </c>
      <c r="I976" s="17" t="s">
        <v>23</v>
      </c>
      <c r="J976" s="36">
        <v>2750</v>
      </c>
      <c r="K976" s="36">
        <v>1124.24</v>
      </c>
      <c r="L976" s="36">
        <f t="shared" si="75"/>
        <v>-1625.76</v>
      </c>
      <c r="M976" s="37">
        <f t="shared" si="76"/>
        <v>-0.59118545454545457</v>
      </c>
      <c r="N976" s="17" t="str">
        <f t="shared" si="77"/>
        <v>Under Budget</v>
      </c>
      <c r="O976" s="38">
        <f t="shared" si="78"/>
        <v>-1124.24</v>
      </c>
      <c r="P976" s="39">
        <f t="shared" si="79"/>
        <v>46113</v>
      </c>
    </row>
    <row r="977" spans="1:16" ht="15.5" x14ac:dyDescent="0.35">
      <c r="A977" s="17" t="s">
        <v>1025</v>
      </c>
      <c r="B977" s="35">
        <v>46186</v>
      </c>
      <c r="C977" s="17" t="s">
        <v>12</v>
      </c>
      <c r="D977" s="17" t="s">
        <v>2584</v>
      </c>
      <c r="E977" s="17" t="s">
        <v>65</v>
      </c>
      <c r="F977" s="17" t="s">
        <v>34</v>
      </c>
      <c r="G977" s="17" t="s">
        <v>16</v>
      </c>
      <c r="H977" s="17" t="s">
        <v>2593</v>
      </c>
      <c r="I977" s="17" t="s">
        <v>48</v>
      </c>
      <c r="J977" s="36">
        <v>3666.67</v>
      </c>
      <c r="K977" s="36">
        <v>2238.5300000000002</v>
      </c>
      <c r="L977" s="36">
        <f t="shared" si="75"/>
        <v>-1428.1399999999999</v>
      </c>
      <c r="M977" s="37">
        <f t="shared" si="76"/>
        <v>-0.38949237318875163</v>
      </c>
      <c r="N977" s="17" t="str">
        <f t="shared" si="77"/>
        <v>Under Budget</v>
      </c>
      <c r="O977" s="38">
        <f t="shared" si="78"/>
        <v>-2238.5300000000002</v>
      </c>
      <c r="P977" s="39">
        <f t="shared" si="79"/>
        <v>46174</v>
      </c>
    </row>
    <row r="978" spans="1:16" ht="15.5" x14ac:dyDescent="0.35">
      <c r="A978" s="17" t="s">
        <v>1026</v>
      </c>
      <c r="B978" s="35">
        <v>45818</v>
      </c>
      <c r="C978" s="17" t="s">
        <v>25</v>
      </c>
      <c r="D978" s="17" t="s">
        <v>36</v>
      </c>
      <c r="E978" s="17" t="s">
        <v>33</v>
      </c>
      <c r="F978" s="17" t="s">
        <v>52</v>
      </c>
      <c r="G978" s="17" t="s">
        <v>22</v>
      </c>
      <c r="H978" s="17" t="s">
        <v>60</v>
      </c>
      <c r="I978" s="17" t="s">
        <v>48</v>
      </c>
      <c r="J978" s="36">
        <v>9615.3799999999992</v>
      </c>
      <c r="K978" s="36">
        <v>17654.61</v>
      </c>
      <c r="L978" s="36">
        <f t="shared" si="75"/>
        <v>8039.2300000000014</v>
      </c>
      <c r="M978" s="37">
        <f t="shared" si="76"/>
        <v>0.83608032131855448</v>
      </c>
      <c r="N978" s="17" t="str">
        <f t="shared" si="77"/>
        <v>Over Budget</v>
      </c>
      <c r="O978" s="38">
        <f t="shared" si="78"/>
        <v>17654.61</v>
      </c>
      <c r="P978" s="39">
        <f t="shared" si="79"/>
        <v>45809</v>
      </c>
    </row>
    <row r="979" spans="1:16" ht="15.5" x14ac:dyDescent="0.35">
      <c r="A979" s="17" t="s">
        <v>1027</v>
      </c>
      <c r="B979" s="35">
        <v>45663</v>
      </c>
      <c r="C979" s="17" t="s">
        <v>12</v>
      </c>
      <c r="D979" s="17" t="s">
        <v>2584</v>
      </c>
      <c r="E979" s="17" t="s">
        <v>74</v>
      </c>
      <c r="F979" s="17" t="s">
        <v>34</v>
      </c>
      <c r="G979" s="17" t="s">
        <v>38</v>
      </c>
      <c r="H979" s="17" t="s">
        <v>2588</v>
      </c>
      <c r="I979" s="17" t="s">
        <v>23</v>
      </c>
      <c r="J979" s="36">
        <v>5542.86</v>
      </c>
      <c r="K979" s="36">
        <v>3942.06</v>
      </c>
      <c r="L979" s="36">
        <f t="shared" si="75"/>
        <v>-1600.7999999999997</v>
      </c>
      <c r="M979" s="37">
        <f t="shared" si="76"/>
        <v>-0.28880397484331188</v>
      </c>
      <c r="N979" s="17" t="str">
        <f t="shared" si="77"/>
        <v>Under Budget</v>
      </c>
      <c r="O979" s="38">
        <f t="shared" si="78"/>
        <v>-3942.06</v>
      </c>
      <c r="P979" s="39">
        <f t="shared" si="79"/>
        <v>45658</v>
      </c>
    </row>
    <row r="980" spans="1:16" ht="15.5" x14ac:dyDescent="0.35">
      <c r="A980" s="17" t="s">
        <v>1028</v>
      </c>
      <c r="B980" s="35">
        <v>45968</v>
      </c>
      <c r="C980" s="17" t="s">
        <v>25</v>
      </c>
      <c r="D980" s="17" t="s">
        <v>32</v>
      </c>
      <c r="E980" s="17" t="s">
        <v>27</v>
      </c>
      <c r="F980" s="17" t="s">
        <v>52</v>
      </c>
      <c r="G980" s="17" t="s">
        <v>29</v>
      </c>
      <c r="H980" s="17" t="s">
        <v>60</v>
      </c>
      <c r="I980" s="17" t="s">
        <v>39</v>
      </c>
      <c r="J980" s="36">
        <v>8400</v>
      </c>
      <c r="K980" s="36">
        <v>6454.38</v>
      </c>
      <c r="L980" s="36">
        <f t="shared" si="75"/>
        <v>-1945.62</v>
      </c>
      <c r="M980" s="37">
        <f t="shared" si="76"/>
        <v>-0.23162142857142856</v>
      </c>
      <c r="N980" s="17" t="str">
        <f t="shared" si="77"/>
        <v>Under Budget</v>
      </c>
      <c r="O980" s="38">
        <f t="shared" si="78"/>
        <v>6454.38</v>
      </c>
      <c r="P980" s="39">
        <f t="shared" si="79"/>
        <v>45962</v>
      </c>
    </row>
    <row r="981" spans="1:16" ht="15.5" x14ac:dyDescent="0.35">
      <c r="A981" s="17" t="s">
        <v>1029</v>
      </c>
      <c r="B981" s="35">
        <v>45854</v>
      </c>
      <c r="C981" s="17" t="s">
        <v>12</v>
      </c>
      <c r="D981" s="17" t="s">
        <v>26</v>
      </c>
      <c r="E981" s="17" t="s">
        <v>77</v>
      </c>
      <c r="F981" s="17" t="s">
        <v>21</v>
      </c>
      <c r="G981" s="17" t="s">
        <v>16</v>
      </c>
      <c r="H981" s="17" t="s">
        <v>2587</v>
      </c>
      <c r="I981" s="17" t="s">
        <v>48</v>
      </c>
      <c r="J981" s="36">
        <v>2750</v>
      </c>
      <c r="K981" s="36">
        <v>1190.8</v>
      </c>
      <c r="L981" s="36">
        <f t="shared" si="75"/>
        <v>-1559.2</v>
      </c>
      <c r="M981" s="37">
        <f t="shared" si="76"/>
        <v>-0.56698181818181825</v>
      </c>
      <c r="N981" s="17" t="str">
        <f t="shared" si="77"/>
        <v>Under Budget</v>
      </c>
      <c r="O981" s="38">
        <f t="shared" si="78"/>
        <v>-1190.8</v>
      </c>
      <c r="P981" s="39">
        <f t="shared" si="79"/>
        <v>45839</v>
      </c>
    </row>
    <row r="982" spans="1:16" ht="15.5" x14ac:dyDescent="0.35">
      <c r="A982" s="17" t="s">
        <v>1030</v>
      </c>
      <c r="B982" s="35">
        <v>46162</v>
      </c>
      <c r="C982" s="17" t="s">
        <v>25</v>
      </c>
      <c r="D982" s="17" t="s">
        <v>36</v>
      </c>
      <c r="E982" s="17" t="s">
        <v>33</v>
      </c>
      <c r="F982" s="17" t="s">
        <v>52</v>
      </c>
      <c r="G982" s="17" t="s">
        <v>22</v>
      </c>
      <c r="H982" s="17" t="s">
        <v>80</v>
      </c>
      <c r="I982" s="17" t="s">
        <v>23</v>
      </c>
      <c r="J982" s="36">
        <v>10869.57</v>
      </c>
      <c r="K982" s="36">
        <v>3033.94</v>
      </c>
      <c r="L982" s="36">
        <f t="shared" si="75"/>
        <v>-7835.6299999999992</v>
      </c>
      <c r="M982" s="37">
        <f t="shared" si="76"/>
        <v>-0.72087764281383715</v>
      </c>
      <c r="N982" s="17" t="str">
        <f t="shared" si="77"/>
        <v>Under Budget</v>
      </c>
      <c r="O982" s="38">
        <f t="shared" si="78"/>
        <v>3033.94</v>
      </c>
      <c r="P982" s="39">
        <f t="shared" si="79"/>
        <v>46143</v>
      </c>
    </row>
    <row r="983" spans="1:16" ht="15.5" x14ac:dyDescent="0.35">
      <c r="A983" s="17" t="s">
        <v>1031</v>
      </c>
      <c r="B983" s="35">
        <v>45905</v>
      </c>
      <c r="C983" s="17" t="s">
        <v>12</v>
      </c>
      <c r="D983" s="17" t="s">
        <v>19</v>
      </c>
      <c r="E983" s="17" t="s">
        <v>47</v>
      </c>
      <c r="F983" s="17" t="s">
        <v>34</v>
      </c>
      <c r="G983" s="17" t="s">
        <v>38</v>
      </c>
      <c r="H983" s="17" t="s">
        <v>2598</v>
      </c>
      <c r="I983" s="17" t="s">
        <v>30</v>
      </c>
      <c r="J983" s="36">
        <v>3500</v>
      </c>
      <c r="K983" s="36">
        <v>2948.07</v>
      </c>
      <c r="L983" s="36">
        <f t="shared" si="75"/>
        <v>-551.92999999999984</v>
      </c>
      <c r="M983" s="37">
        <f t="shared" si="76"/>
        <v>-0.15769428571428568</v>
      </c>
      <c r="N983" s="17" t="str">
        <f t="shared" si="77"/>
        <v>Under Budget</v>
      </c>
      <c r="O983" s="38">
        <f t="shared" si="78"/>
        <v>-2948.07</v>
      </c>
      <c r="P983" s="39">
        <f t="shared" si="79"/>
        <v>45901</v>
      </c>
    </row>
    <row r="984" spans="1:16" ht="15.5" x14ac:dyDescent="0.35">
      <c r="A984" s="17" t="s">
        <v>1032</v>
      </c>
      <c r="B984" s="35">
        <v>45829</v>
      </c>
      <c r="C984" s="17" t="s">
        <v>25</v>
      </c>
      <c r="D984" s="17" t="s">
        <v>2585</v>
      </c>
      <c r="E984" s="17" t="s">
        <v>27</v>
      </c>
      <c r="F984" s="17" t="s">
        <v>52</v>
      </c>
      <c r="G984" s="17" t="s">
        <v>38</v>
      </c>
      <c r="H984" s="17" t="s">
        <v>2593</v>
      </c>
      <c r="I984" s="17" t="s">
        <v>48</v>
      </c>
      <c r="J984" s="36">
        <v>5333.33</v>
      </c>
      <c r="K984" s="36">
        <v>4941.7</v>
      </c>
      <c r="L984" s="36">
        <f t="shared" si="75"/>
        <v>-391.63000000000011</v>
      </c>
      <c r="M984" s="37">
        <f t="shared" si="76"/>
        <v>-7.3430670894169325E-2</v>
      </c>
      <c r="N984" s="17" t="str">
        <f t="shared" si="77"/>
        <v>Under Budget</v>
      </c>
      <c r="O984" s="38">
        <f t="shared" si="78"/>
        <v>4941.7</v>
      </c>
      <c r="P984" s="39">
        <f t="shared" si="79"/>
        <v>45809</v>
      </c>
    </row>
    <row r="985" spans="1:16" ht="15.5" x14ac:dyDescent="0.35">
      <c r="A985" s="17" t="s">
        <v>1033</v>
      </c>
      <c r="B985" s="35">
        <v>45707</v>
      </c>
      <c r="C985" s="17" t="s">
        <v>12</v>
      </c>
      <c r="D985" s="17" t="s">
        <v>36</v>
      </c>
      <c r="E985" s="17" t="s">
        <v>45</v>
      </c>
      <c r="F985" s="17" t="s">
        <v>34</v>
      </c>
      <c r="G985" s="17" t="s">
        <v>38</v>
      </c>
      <c r="H985" s="17" t="s">
        <v>2586</v>
      </c>
      <c r="I985" s="17" t="s">
        <v>23</v>
      </c>
      <c r="J985" s="36">
        <v>11640</v>
      </c>
      <c r="K985" s="36">
        <v>10926.79</v>
      </c>
      <c r="L985" s="36">
        <f t="shared" si="75"/>
        <v>-713.20999999999913</v>
      </c>
      <c r="M985" s="37">
        <f t="shared" si="76"/>
        <v>-6.1272336769759378E-2</v>
      </c>
      <c r="N985" s="17" t="str">
        <f t="shared" si="77"/>
        <v>Under Budget</v>
      </c>
      <c r="O985" s="38">
        <f t="shared" si="78"/>
        <v>-10926.79</v>
      </c>
      <c r="P985" s="39">
        <f t="shared" si="79"/>
        <v>45689</v>
      </c>
    </row>
    <row r="986" spans="1:16" ht="15.5" x14ac:dyDescent="0.35">
      <c r="A986" s="17" t="s">
        <v>1034</v>
      </c>
      <c r="B986" s="35">
        <v>46203</v>
      </c>
      <c r="C986" s="17" t="s">
        <v>25</v>
      </c>
      <c r="D986" s="17" t="s">
        <v>32</v>
      </c>
      <c r="E986" s="17" t="s">
        <v>109</v>
      </c>
      <c r="F986" s="17" t="s">
        <v>21</v>
      </c>
      <c r="G986" s="17" t="s">
        <v>29</v>
      </c>
      <c r="H986" s="17" t="s">
        <v>2598</v>
      </c>
      <c r="I986" s="17" t="s">
        <v>30</v>
      </c>
      <c r="J986" s="36">
        <v>4761.8999999999996</v>
      </c>
      <c r="K986" s="36">
        <v>11843.84</v>
      </c>
      <c r="L986" s="36">
        <f t="shared" si="75"/>
        <v>7081.9400000000005</v>
      </c>
      <c r="M986" s="37">
        <f t="shared" si="76"/>
        <v>1.4872088872088873</v>
      </c>
      <c r="N986" s="17" t="str">
        <f t="shared" si="77"/>
        <v>Over Budget</v>
      </c>
      <c r="O986" s="38">
        <f t="shared" si="78"/>
        <v>11843.84</v>
      </c>
      <c r="P986" s="39">
        <f t="shared" si="79"/>
        <v>46174</v>
      </c>
    </row>
    <row r="987" spans="1:16" ht="15.5" x14ac:dyDescent="0.35">
      <c r="A987" s="17" t="s">
        <v>1035</v>
      </c>
      <c r="B987" s="35">
        <v>45727</v>
      </c>
      <c r="C987" s="17" t="s">
        <v>25</v>
      </c>
      <c r="D987" s="17" t="s">
        <v>2584</v>
      </c>
      <c r="E987" s="17" t="s">
        <v>33</v>
      </c>
      <c r="F987" s="17" t="s">
        <v>28</v>
      </c>
      <c r="G987" s="17" t="s">
        <v>38</v>
      </c>
      <c r="H987" s="17" t="s">
        <v>2589</v>
      </c>
      <c r="I987" s="17" t="s">
        <v>23</v>
      </c>
      <c r="J987" s="36">
        <v>8064.52</v>
      </c>
      <c r="K987" s="36">
        <v>1871.11</v>
      </c>
      <c r="L987" s="36">
        <f t="shared" si="75"/>
        <v>-6193.4100000000008</v>
      </c>
      <c r="M987" s="37">
        <f t="shared" si="76"/>
        <v>-0.7679824713684138</v>
      </c>
      <c r="N987" s="17" t="str">
        <f t="shared" si="77"/>
        <v>Under Budget</v>
      </c>
      <c r="O987" s="38">
        <f t="shared" si="78"/>
        <v>1871.11</v>
      </c>
      <c r="P987" s="39">
        <f t="shared" si="79"/>
        <v>45717</v>
      </c>
    </row>
    <row r="988" spans="1:16" ht="15.5" x14ac:dyDescent="0.35">
      <c r="A988" s="17" t="s">
        <v>1036</v>
      </c>
      <c r="B988" s="35">
        <v>45803</v>
      </c>
      <c r="C988" s="17" t="s">
        <v>12</v>
      </c>
      <c r="D988" s="17" t="s">
        <v>19</v>
      </c>
      <c r="E988" s="17" t="s">
        <v>47</v>
      </c>
      <c r="F988" s="17" t="s">
        <v>52</v>
      </c>
      <c r="G988" s="17" t="s">
        <v>38</v>
      </c>
      <c r="H988" s="17" t="s">
        <v>2591</v>
      </c>
      <c r="I988" s="17" t="s">
        <v>39</v>
      </c>
      <c r="J988" s="36">
        <v>3888.89</v>
      </c>
      <c r="K988" s="36">
        <v>605.38</v>
      </c>
      <c r="L988" s="36">
        <f t="shared" si="75"/>
        <v>-3283.5099999999998</v>
      </c>
      <c r="M988" s="37">
        <f t="shared" si="76"/>
        <v>-0.84433090161974234</v>
      </c>
      <c r="N988" s="17" t="str">
        <f t="shared" si="77"/>
        <v>Under Budget</v>
      </c>
      <c r="O988" s="38">
        <f t="shared" si="78"/>
        <v>-605.38</v>
      </c>
      <c r="P988" s="39">
        <f t="shared" si="79"/>
        <v>45778</v>
      </c>
    </row>
    <row r="989" spans="1:16" ht="15.5" x14ac:dyDescent="0.35">
      <c r="A989" s="17" t="s">
        <v>1037</v>
      </c>
      <c r="B989" s="35">
        <v>45911</v>
      </c>
      <c r="C989" s="17" t="s">
        <v>25</v>
      </c>
      <c r="D989" s="17" t="s">
        <v>32</v>
      </c>
      <c r="E989" s="17" t="s">
        <v>169</v>
      </c>
      <c r="F989" s="17" t="s">
        <v>34</v>
      </c>
      <c r="G989" s="17" t="s">
        <v>29</v>
      </c>
      <c r="H989" s="17" t="s">
        <v>2588</v>
      </c>
      <c r="I989" s="17" t="s">
        <v>39</v>
      </c>
      <c r="J989" s="36">
        <v>3333.33</v>
      </c>
      <c r="K989" s="36">
        <v>1858.97</v>
      </c>
      <c r="L989" s="36">
        <f t="shared" si="75"/>
        <v>-1474.36</v>
      </c>
      <c r="M989" s="37">
        <f t="shared" si="76"/>
        <v>-0.4423084423084423</v>
      </c>
      <c r="N989" s="17" t="str">
        <f t="shared" si="77"/>
        <v>Under Budget</v>
      </c>
      <c r="O989" s="38">
        <f t="shared" si="78"/>
        <v>1858.97</v>
      </c>
      <c r="P989" s="39">
        <f t="shared" si="79"/>
        <v>45901</v>
      </c>
    </row>
    <row r="990" spans="1:16" ht="15.5" x14ac:dyDescent="0.35">
      <c r="A990" s="17" t="s">
        <v>1038</v>
      </c>
      <c r="B990" s="35">
        <v>45931</v>
      </c>
      <c r="C990" s="17" t="s">
        <v>25</v>
      </c>
      <c r="D990" s="17" t="s">
        <v>13</v>
      </c>
      <c r="E990" s="17" t="s">
        <v>109</v>
      </c>
      <c r="F990" s="17" t="s">
        <v>28</v>
      </c>
      <c r="G990" s="17" t="s">
        <v>29</v>
      </c>
      <c r="H990" s="17" t="s">
        <v>60</v>
      </c>
      <c r="I990" s="17" t="s">
        <v>23</v>
      </c>
      <c r="J990" s="36">
        <v>7692.31</v>
      </c>
      <c r="K990" s="36">
        <v>9407.93</v>
      </c>
      <c r="L990" s="36">
        <f t="shared" si="75"/>
        <v>1715.62</v>
      </c>
      <c r="M990" s="37">
        <f t="shared" si="76"/>
        <v>0.22303053309084006</v>
      </c>
      <c r="N990" s="17" t="str">
        <f t="shared" si="77"/>
        <v>Over Budget</v>
      </c>
      <c r="O990" s="38">
        <f t="shared" si="78"/>
        <v>9407.93</v>
      </c>
      <c r="P990" s="39">
        <f t="shared" si="79"/>
        <v>45931</v>
      </c>
    </row>
    <row r="991" spans="1:16" ht="15.5" x14ac:dyDescent="0.35">
      <c r="A991" s="17" t="s">
        <v>1039</v>
      </c>
      <c r="B991" s="35">
        <v>46038</v>
      </c>
      <c r="C991" s="17" t="s">
        <v>12</v>
      </c>
      <c r="D991" s="17" t="s">
        <v>19</v>
      </c>
      <c r="E991" s="17" t="s">
        <v>14</v>
      </c>
      <c r="F991" s="17" t="s">
        <v>52</v>
      </c>
      <c r="G991" s="17" t="s">
        <v>29</v>
      </c>
      <c r="H991" s="17" t="s">
        <v>2590</v>
      </c>
      <c r="I991" s="17" t="s">
        <v>48</v>
      </c>
      <c r="J991" s="36">
        <v>3104</v>
      </c>
      <c r="K991" s="36">
        <v>6211.21</v>
      </c>
      <c r="L991" s="36">
        <f t="shared" si="75"/>
        <v>3107.21</v>
      </c>
      <c r="M991" s="37">
        <f t="shared" si="76"/>
        <v>1.0010341494845361</v>
      </c>
      <c r="N991" s="17" t="str">
        <f t="shared" si="77"/>
        <v>Over Budget</v>
      </c>
      <c r="O991" s="38">
        <f t="shared" si="78"/>
        <v>-6211.21</v>
      </c>
      <c r="P991" s="39">
        <f t="shared" si="79"/>
        <v>46023</v>
      </c>
    </row>
    <row r="992" spans="1:16" ht="15.5" x14ac:dyDescent="0.35">
      <c r="A992" s="17" t="s">
        <v>1040</v>
      </c>
      <c r="B992" s="35">
        <v>45970</v>
      </c>
      <c r="C992" s="17" t="s">
        <v>12</v>
      </c>
      <c r="D992" s="17" t="s">
        <v>2585</v>
      </c>
      <c r="E992" s="17" t="s">
        <v>51</v>
      </c>
      <c r="F992" s="17" t="s">
        <v>52</v>
      </c>
      <c r="G992" s="17" t="s">
        <v>38</v>
      </c>
      <c r="H992" s="17" t="s">
        <v>2592</v>
      </c>
      <c r="I992" s="17" t="s">
        <v>48</v>
      </c>
      <c r="J992" s="36">
        <v>7875</v>
      </c>
      <c r="K992" s="36">
        <v>6841.58</v>
      </c>
      <c r="L992" s="36">
        <f t="shared" si="75"/>
        <v>-1033.42</v>
      </c>
      <c r="M992" s="37">
        <f t="shared" si="76"/>
        <v>-0.13122793650793652</v>
      </c>
      <c r="N992" s="17" t="str">
        <f t="shared" si="77"/>
        <v>Under Budget</v>
      </c>
      <c r="O992" s="38">
        <f t="shared" si="78"/>
        <v>-6841.58</v>
      </c>
      <c r="P992" s="39">
        <f t="shared" si="79"/>
        <v>45962</v>
      </c>
    </row>
    <row r="993" spans="1:16" ht="15.5" x14ac:dyDescent="0.35">
      <c r="A993" s="17" t="s">
        <v>1041</v>
      </c>
      <c r="B993" s="35">
        <v>45777</v>
      </c>
      <c r="C993" s="17" t="s">
        <v>12</v>
      </c>
      <c r="D993" s="17" t="s">
        <v>2585</v>
      </c>
      <c r="E993" s="17" t="s">
        <v>65</v>
      </c>
      <c r="F993" s="17" t="s">
        <v>52</v>
      </c>
      <c r="G993" s="17" t="s">
        <v>43</v>
      </c>
      <c r="H993" s="17" t="s">
        <v>2597</v>
      </c>
      <c r="I993" s="17" t="s">
        <v>48</v>
      </c>
      <c r="J993" s="36">
        <v>6111.11</v>
      </c>
      <c r="K993" s="36">
        <v>909.03</v>
      </c>
      <c r="L993" s="36">
        <f t="shared" si="75"/>
        <v>-5202.08</v>
      </c>
      <c r="M993" s="37">
        <f t="shared" si="76"/>
        <v>-0.85124960931811078</v>
      </c>
      <c r="N993" s="17" t="str">
        <f t="shared" si="77"/>
        <v>Under Budget</v>
      </c>
      <c r="O993" s="38">
        <f t="shared" si="78"/>
        <v>-909.03</v>
      </c>
      <c r="P993" s="39">
        <f t="shared" si="79"/>
        <v>45748</v>
      </c>
    </row>
    <row r="994" spans="1:16" ht="15.5" x14ac:dyDescent="0.35">
      <c r="A994" s="17" t="s">
        <v>1042</v>
      </c>
      <c r="B994" s="35">
        <v>45733</v>
      </c>
      <c r="C994" s="17" t="s">
        <v>25</v>
      </c>
      <c r="D994" s="17" t="s">
        <v>26</v>
      </c>
      <c r="E994" s="17" t="s">
        <v>33</v>
      </c>
      <c r="F994" s="17" t="s">
        <v>28</v>
      </c>
      <c r="G994" s="17" t="s">
        <v>43</v>
      </c>
      <c r="H994" s="17" t="s">
        <v>2598</v>
      </c>
      <c r="I994" s="17" t="s">
        <v>48</v>
      </c>
      <c r="J994" s="36">
        <v>8064.52</v>
      </c>
      <c r="K994" s="36">
        <v>4525.2</v>
      </c>
      <c r="L994" s="36">
        <f t="shared" si="75"/>
        <v>-3539.3200000000006</v>
      </c>
      <c r="M994" s="37">
        <f t="shared" si="76"/>
        <v>-0.43887546933977478</v>
      </c>
      <c r="N994" s="17" t="str">
        <f t="shared" si="77"/>
        <v>Under Budget</v>
      </c>
      <c r="O994" s="38">
        <f t="shared" si="78"/>
        <v>4525.2</v>
      </c>
      <c r="P994" s="39">
        <f t="shared" si="79"/>
        <v>45717</v>
      </c>
    </row>
    <row r="995" spans="1:16" ht="15.5" x14ac:dyDescent="0.35">
      <c r="A995" s="17" t="s">
        <v>1043</v>
      </c>
      <c r="B995" s="35">
        <v>45934</v>
      </c>
      <c r="C995" s="17" t="s">
        <v>25</v>
      </c>
      <c r="D995" s="17" t="s">
        <v>32</v>
      </c>
      <c r="E995" s="17" t="s">
        <v>169</v>
      </c>
      <c r="F995" s="17" t="s">
        <v>15</v>
      </c>
      <c r="G995" s="17" t="s">
        <v>43</v>
      </c>
      <c r="H995" s="17" t="s">
        <v>2588</v>
      </c>
      <c r="I995" s="17" t="s">
        <v>39</v>
      </c>
      <c r="J995" s="36">
        <v>6666.67</v>
      </c>
      <c r="K995" s="36">
        <v>1506.12</v>
      </c>
      <c r="L995" s="36">
        <f t="shared" si="75"/>
        <v>-5160.55</v>
      </c>
      <c r="M995" s="37">
        <f t="shared" si="76"/>
        <v>-0.77408211295894358</v>
      </c>
      <c r="N995" s="17" t="str">
        <f t="shared" si="77"/>
        <v>Under Budget</v>
      </c>
      <c r="O995" s="38">
        <f t="shared" si="78"/>
        <v>1506.12</v>
      </c>
      <c r="P995" s="39">
        <f t="shared" si="79"/>
        <v>45931</v>
      </c>
    </row>
    <row r="996" spans="1:16" ht="15.5" x14ac:dyDescent="0.35">
      <c r="A996" s="17" t="s">
        <v>1044</v>
      </c>
      <c r="B996" s="35">
        <v>45812</v>
      </c>
      <c r="C996" s="17" t="s">
        <v>25</v>
      </c>
      <c r="D996" s="17" t="s">
        <v>26</v>
      </c>
      <c r="E996" s="17" t="s">
        <v>27</v>
      </c>
      <c r="F996" s="17" t="s">
        <v>52</v>
      </c>
      <c r="G996" s="17" t="s">
        <v>38</v>
      </c>
      <c r="H996" s="17" t="s">
        <v>2583</v>
      </c>
      <c r="I996" s="17" t="s">
        <v>30</v>
      </c>
      <c r="J996" s="36">
        <v>5333.33</v>
      </c>
      <c r="K996" s="36">
        <v>2943.94</v>
      </c>
      <c r="L996" s="36">
        <f t="shared" si="75"/>
        <v>-2389.39</v>
      </c>
      <c r="M996" s="37">
        <f t="shared" si="76"/>
        <v>-0.44801090500681562</v>
      </c>
      <c r="N996" s="17" t="str">
        <f t="shared" si="77"/>
        <v>Under Budget</v>
      </c>
      <c r="O996" s="38">
        <f t="shared" si="78"/>
        <v>2943.94</v>
      </c>
      <c r="P996" s="39">
        <f t="shared" si="79"/>
        <v>45809</v>
      </c>
    </row>
    <row r="997" spans="1:16" ht="15.5" x14ac:dyDescent="0.35">
      <c r="A997" s="17" t="s">
        <v>1045</v>
      </c>
      <c r="B997" s="35">
        <v>46043</v>
      </c>
      <c r="C997" s="17" t="s">
        <v>25</v>
      </c>
      <c r="D997" s="17" t="s">
        <v>2584</v>
      </c>
      <c r="E997" s="17" t="s">
        <v>109</v>
      </c>
      <c r="F997" s="17" t="s">
        <v>21</v>
      </c>
      <c r="G997" s="17" t="s">
        <v>22</v>
      </c>
      <c r="H997" s="17" t="s">
        <v>2593</v>
      </c>
      <c r="I997" s="17" t="s">
        <v>30</v>
      </c>
      <c r="J997" s="36">
        <v>6062.5</v>
      </c>
      <c r="K997" s="36">
        <v>3313.45</v>
      </c>
      <c r="L997" s="36">
        <f t="shared" si="75"/>
        <v>-2749.05</v>
      </c>
      <c r="M997" s="37">
        <f t="shared" si="76"/>
        <v>-0.45345154639175261</v>
      </c>
      <c r="N997" s="17" t="str">
        <f t="shared" si="77"/>
        <v>Under Budget</v>
      </c>
      <c r="O997" s="38">
        <f t="shared" si="78"/>
        <v>3313.45</v>
      </c>
      <c r="P997" s="39">
        <f t="shared" si="79"/>
        <v>46023</v>
      </c>
    </row>
    <row r="998" spans="1:16" ht="15.5" x14ac:dyDescent="0.35">
      <c r="A998" s="17" t="s">
        <v>1046</v>
      </c>
      <c r="B998" s="35">
        <v>46102</v>
      </c>
      <c r="C998" s="17" t="s">
        <v>25</v>
      </c>
      <c r="D998" s="17" t="s">
        <v>32</v>
      </c>
      <c r="E998" s="17" t="s">
        <v>109</v>
      </c>
      <c r="F998" s="17" t="s">
        <v>52</v>
      </c>
      <c r="G998" s="17" t="s">
        <v>16</v>
      </c>
      <c r="H998" s="17" t="s">
        <v>2587</v>
      </c>
      <c r="I998" s="17" t="s">
        <v>30</v>
      </c>
      <c r="J998" s="36">
        <v>10000</v>
      </c>
      <c r="K998" s="36">
        <v>9686.61</v>
      </c>
      <c r="L998" s="36">
        <f t="shared" si="75"/>
        <v>-313.38999999999942</v>
      </c>
      <c r="M998" s="37">
        <f t="shared" si="76"/>
        <v>-3.1338999999999943E-2</v>
      </c>
      <c r="N998" s="17" t="str">
        <f t="shared" si="77"/>
        <v>Under Budget</v>
      </c>
      <c r="O998" s="38">
        <f t="shared" si="78"/>
        <v>9686.61</v>
      </c>
      <c r="P998" s="39">
        <f t="shared" si="79"/>
        <v>46082</v>
      </c>
    </row>
    <row r="999" spans="1:16" ht="15.5" x14ac:dyDescent="0.35">
      <c r="A999" s="17" t="s">
        <v>1047</v>
      </c>
      <c r="B999" s="35">
        <v>46102</v>
      </c>
      <c r="C999" s="17" t="s">
        <v>12</v>
      </c>
      <c r="D999" s="17" t="s">
        <v>2584</v>
      </c>
      <c r="E999" s="17" t="s">
        <v>14</v>
      </c>
      <c r="F999" s="17" t="s">
        <v>15</v>
      </c>
      <c r="G999" s="17" t="s">
        <v>29</v>
      </c>
      <c r="H999" s="17" t="s">
        <v>2596</v>
      </c>
      <c r="I999" s="17" t="s">
        <v>30</v>
      </c>
      <c r="J999" s="36">
        <v>4000</v>
      </c>
      <c r="K999" s="36">
        <v>2878.69</v>
      </c>
      <c r="L999" s="36">
        <f t="shared" si="75"/>
        <v>-1121.31</v>
      </c>
      <c r="M999" s="37">
        <f t="shared" si="76"/>
        <v>-0.28032750000000001</v>
      </c>
      <c r="N999" s="17" t="str">
        <f t="shared" si="77"/>
        <v>Under Budget</v>
      </c>
      <c r="O999" s="38">
        <f t="shared" si="78"/>
        <v>-2878.69</v>
      </c>
      <c r="P999" s="39">
        <f t="shared" si="79"/>
        <v>46082</v>
      </c>
    </row>
    <row r="1000" spans="1:16" ht="15.5" x14ac:dyDescent="0.35">
      <c r="A1000" s="17" t="s">
        <v>1048</v>
      </c>
      <c r="B1000" s="35">
        <v>45987</v>
      </c>
      <c r="C1000" s="17" t="s">
        <v>25</v>
      </c>
      <c r="D1000" s="17" t="s">
        <v>19</v>
      </c>
      <c r="E1000" s="17" t="s">
        <v>169</v>
      </c>
      <c r="F1000" s="17" t="s">
        <v>21</v>
      </c>
      <c r="G1000" s="17" t="s">
        <v>22</v>
      </c>
      <c r="H1000" s="17" t="s">
        <v>2586</v>
      </c>
      <c r="I1000" s="17" t="s">
        <v>30</v>
      </c>
      <c r="J1000" s="36">
        <v>10500</v>
      </c>
      <c r="K1000" s="36">
        <v>3364.04</v>
      </c>
      <c r="L1000" s="36">
        <f t="shared" si="75"/>
        <v>-7135.96</v>
      </c>
      <c r="M1000" s="37">
        <f t="shared" si="76"/>
        <v>-0.67961523809523805</v>
      </c>
      <c r="N1000" s="17" t="str">
        <f t="shared" si="77"/>
        <v>Under Budget</v>
      </c>
      <c r="O1000" s="38">
        <f t="shared" si="78"/>
        <v>3364.04</v>
      </c>
      <c r="P1000" s="39">
        <f t="shared" si="79"/>
        <v>45962</v>
      </c>
    </row>
    <row r="1001" spans="1:16" ht="15.5" x14ac:dyDescent="0.35">
      <c r="A1001" s="17" t="s">
        <v>1049</v>
      </c>
      <c r="B1001" s="35">
        <v>45803</v>
      </c>
      <c r="C1001" s="17" t="s">
        <v>12</v>
      </c>
      <c r="D1001" s="17" t="s">
        <v>26</v>
      </c>
      <c r="E1001" s="17" t="s">
        <v>45</v>
      </c>
      <c r="F1001" s="17" t="s">
        <v>34</v>
      </c>
      <c r="G1001" s="17" t="s">
        <v>38</v>
      </c>
      <c r="H1001" s="17" t="s">
        <v>2587</v>
      </c>
      <c r="I1001" s="17" t="s">
        <v>30</v>
      </c>
      <c r="J1001" s="36">
        <v>7200</v>
      </c>
      <c r="K1001" s="36">
        <v>3127.6</v>
      </c>
      <c r="L1001" s="36">
        <f t="shared" si="75"/>
        <v>-4072.4</v>
      </c>
      <c r="M1001" s="37">
        <f t="shared" si="76"/>
        <v>-0.56561111111111118</v>
      </c>
      <c r="N1001" s="17" t="str">
        <f t="shared" si="77"/>
        <v>Under Budget</v>
      </c>
      <c r="O1001" s="38">
        <f t="shared" si="78"/>
        <v>-3127.6</v>
      </c>
      <c r="P1001" s="39">
        <f t="shared" si="79"/>
        <v>45778</v>
      </c>
    </row>
    <row r="1002" spans="1:16" ht="15.5" x14ac:dyDescent="0.35">
      <c r="A1002" s="17" t="s">
        <v>1050</v>
      </c>
      <c r="B1002" s="35">
        <v>46202</v>
      </c>
      <c r="C1002" s="17" t="s">
        <v>12</v>
      </c>
      <c r="D1002" s="17" t="s">
        <v>32</v>
      </c>
      <c r="E1002" s="17" t="s">
        <v>65</v>
      </c>
      <c r="F1002" s="17" t="s">
        <v>34</v>
      </c>
      <c r="G1002" s="17" t="s">
        <v>22</v>
      </c>
      <c r="H1002" s="17" t="s">
        <v>2588</v>
      </c>
      <c r="I1002" s="17" t="s">
        <v>30</v>
      </c>
      <c r="J1002" s="36">
        <v>3666.67</v>
      </c>
      <c r="K1002" s="36">
        <v>7048.2</v>
      </c>
      <c r="L1002" s="36">
        <f t="shared" si="75"/>
        <v>3381.5299999999997</v>
      </c>
      <c r="M1002" s="37">
        <f t="shared" si="76"/>
        <v>0.92223461615034885</v>
      </c>
      <c r="N1002" s="17" t="str">
        <f t="shared" si="77"/>
        <v>Over Budget</v>
      </c>
      <c r="O1002" s="38">
        <f t="shared" si="78"/>
        <v>-7048.2</v>
      </c>
      <c r="P1002" s="39">
        <f t="shared" si="79"/>
        <v>46174</v>
      </c>
    </row>
    <row r="1003" spans="1:16" ht="15.5" x14ac:dyDescent="0.35">
      <c r="A1003" s="17" t="s">
        <v>1051</v>
      </c>
      <c r="B1003" s="35">
        <v>45878</v>
      </c>
      <c r="C1003" s="17" t="s">
        <v>12</v>
      </c>
      <c r="D1003" s="17" t="s">
        <v>13</v>
      </c>
      <c r="E1003" s="17" t="s">
        <v>74</v>
      </c>
      <c r="F1003" s="17" t="s">
        <v>28</v>
      </c>
      <c r="G1003" s="17" t="s">
        <v>38</v>
      </c>
      <c r="H1003" s="17" t="s">
        <v>2596</v>
      </c>
      <c r="I1003" s="17" t="s">
        <v>23</v>
      </c>
      <c r="J1003" s="36">
        <v>5714.29</v>
      </c>
      <c r="K1003" s="36">
        <v>4109.72</v>
      </c>
      <c r="L1003" s="36">
        <f t="shared" si="75"/>
        <v>-1604.5699999999997</v>
      </c>
      <c r="M1003" s="37">
        <f t="shared" si="76"/>
        <v>-0.28079953940034541</v>
      </c>
      <c r="N1003" s="17" t="str">
        <f t="shared" si="77"/>
        <v>Under Budget</v>
      </c>
      <c r="O1003" s="38">
        <f t="shared" si="78"/>
        <v>-4109.72</v>
      </c>
      <c r="P1003" s="39">
        <f t="shared" si="79"/>
        <v>45870</v>
      </c>
    </row>
    <row r="1004" spans="1:16" ht="15.5" x14ac:dyDescent="0.35">
      <c r="A1004" s="17" t="s">
        <v>1052</v>
      </c>
      <c r="B1004" s="35">
        <v>45937</v>
      </c>
      <c r="C1004" s="17" t="s">
        <v>12</v>
      </c>
      <c r="D1004" s="17" t="s">
        <v>2585</v>
      </c>
      <c r="E1004" s="17" t="s">
        <v>65</v>
      </c>
      <c r="F1004" s="17" t="s">
        <v>52</v>
      </c>
      <c r="G1004" s="17" t="s">
        <v>29</v>
      </c>
      <c r="H1004" s="17" t="s">
        <v>2586</v>
      </c>
      <c r="I1004" s="17" t="s">
        <v>48</v>
      </c>
      <c r="J1004" s="36">
        <v>3928.57</v>
      </c>
      <c r="K1004" s="36">
        <v>1999</v>
      </c>
      <c r="L1004" s="36">
        <f t="shared" si="75"/>
        <v>-1929.5700000000002</v>
      </c>
      <c r="M1004" s="37">
        <f t="shared" si="76"/>
        <v>-0.49116345133216416</v>
      </c>
      <c r="N1004" s="17" t="str">
        <f t="shared" si="77"/>
        <v>Under Budget</v>
      </c>
      <c r="O1004" s="38">
        <f t="shared" si="78"/>
        <v>-1999</v>
      </c>
      <c r="P1004" s="39">
        <f t="shared" si="79"/>
        <v>45931</v>
      </c>
    </row>
    <row r="1005" spans="1:16" ht="15.5" x14ac:dyDescent="0.35">
      <c r="A1005" s="17" t="s">
        <v>1053</v>
      </c>
      <c r="B1005" s="35">
        <v>45897</v>
      </c>
      <c r="C1005" s="17" t="s">
        <v>12</v>
      </c>
      <c r="D1005" s="17" t="s">
        <v>13</v>
      </c>
      <c r="E1005" s="17" t="s">
        <v>20</v>
      </c>
      <c r="F1005" s="17" t="s">
        <v>34</v>
      </c>
      <c r="G1005" s="17" t="s">
        <v>22</v>
      </c>
      <c r="H1005" s="17" t="s">
        <v>2598</v>
      </c>
      <c r="I1005" s="17" t="s">
        <v>48</v>
      </c>
      <c r="J1005" s="36">
        <v>3000</v>
      </c>
      <c r="K1005" s="36">
        <v>1733.7</v>
      </c>
      <c r="L1005" s="36">
        <f t="shared" si="75"/>
        <v>-1266.3</v>
      </c>
      <c r="M1005" s="37">
        <f t="shared" si="76"/>
        <v>-0.42209999999999998</v>
      </c>
      <c r="N1005" s="17" t="str">
        <f t="shared" si="77"/>
        <v>Under Budget</v>
      </c>
      <c r="O1005" s="38">
        <f t="shared" si="78"/>
        <v>-1733.7</v>
      </c>
      <c r="P1005" s="39">
        <f t="shared" si="79"/>
        <v>45870</v>
      </c>
    </row>
    <row r="1006" spans="1:16" ht="15.5" x14ac:dyDescent="0.35">
      <c r="A1006" s="17" t="s">
        <v>1054</v>
      </c>
      <c r="B1006" s="35">
        <v>45736</v>
      </c>
      <c r="C1006" s="17" t="s">
        <v>25</v>
      </c>
      <c r="D1006" s="17" t="s">
        <v>13</v>
      </c>
      <c r="E1006" s="17" t="s">
        <v>33</v>
      </c>
      <c r="F1006" s="17" t="s">
        <v>34</v>
      </c>
      <c r="G1006" s="17" t="s">
        <v>38</v>
      </c>
      <c r="H1006" s="17" t="s">
        <v>2588</v>
      </c>
      <c r="I1006" s="17" t="s">
        <v>30</v>
      </c>
      <c r="J1006" s="36">
        <v>8064.52</v>
      </c>
      <c r="K1006" s="36">
        <v>10964.32</v>
      </c>
      <c r="L1006" s="36">
        <f t="shared" si="75"/>
        <v>2899.7999999999993</v>
      </c>
      <c r="M1006" s="37">
        <f t="shared" si="76"/>
        <v>0.35957502740398672</v>
      </c>
      <c r="N1006" s="17" t="str">
        <f t="shared" si="77"/>
        <v>Over Budget</v>
      </c>
      <c r="O1006" s="38">
        <f t="shared" si="78"/>
        <v>10964.32</v>
      </c>
      <c r="P1006" s="39">
        <f t="shared" si="79"/>
        <v>45717</v>
      </c>
    </row>
    <row r="1007" spans="1:16" ht="15.5" x14ac:dyDescent="0.35">
      <c r="A1007" s="17" t="s">
        <v>1055</v>
      </c>
      <c r="B1007" s="35">
        <v>45968</v>
      </c>
      <c r="C1007" s="17" t="s">
        <v>12</v>
      </c>
      <c r="D1007" s="17" t="s">
        <v>2584</v>
      </c>
      <c r="E1007" s="17" t="s">
        <v>14</v>
      </c>
      <c r="F1007" s="17" t="s">
        <v>52</v>
      </c>
      <c r="G1007" s="17" t="s">
        <v>43</v>
      </c>
      <c r="H1007" s="17" t="s">
        <v>2593</v>
      </c>
      <c r="I1007" s="17" t="s">
        <v>30</v>
      </c>
      <c r="J1007" s="36">
        <v>5600</v>
      </c>
      <c r="K1007" s="36">
        <v>6528.39</v>
      </c>
      <c r="L1007" s="36">
        <f t="shared" si="75"/>
        <v>928.39000000000033</v>
      </c>
      <c r="M1007" s="37">
        <f t="shared" si="76"/>
        <v>0.16578392857142862</v>
      </c>
      <c r="N1007" s="17" t="str">
        <f t="shared" si="77"/>
        <v>Over Budget</v>
      </c>
      <c r="O1007" s="38">
        <f t="shared" si="78"/>
        <v>-6528.39</v>
      </c>
      <c r="P1007" s="39">
        <f t="shared" si="79"/>
        <v>45962</v>
      </c>
    </row>
    <row r="1008" spans="1:16" ht="15.5" x14ac:dyDescent="0.35">
      <c r="A1008" s="17" t="s">
        <v>1056</v>
      </c>
      <c r="B1008" s="35">
        <v>45820</v>
      </c>
      <c r="C1008" s="17" t="s">
        <v>12</v>
      </c>
      <c r="D1008" s="17" t="s">
        <v>19</v>
      </c>
      <c r="E1008" s="17" t="s">
        <v>20</v>
      </c>
      <c r="F1008" s="17" t="s">
        <v>34</v>
      </c>
      <c r="G1008" s="17" t="s">
        <v>29</v>
      </c>
      <c r="H1008" s="17" t="s">
        <v>2588</v>
      </c>
      <c r="I1008" s="17" t="s">
        <v>39</v>
      </c>
      <c r="J1008" s="36">
        <v>2000</v>
      </c>
      <c r="K1008" s="36">
        <v>1640.53</v>
      </c>
      <c r="L1008" s="36">
        <f t="shared" si="75"/>
        <v>-359.47</v>
      </c>
      <c r="M1008" s="37">
        <f t="shared" si="76"/>
        <v>-0.17973500000000001</v>
      </c>
      <c r="N1008" s="17" t="str">
        <f t="shared" si="77"/>
        <v>Under Budget</v>
      </c>
      <c r="O1008" s="38">
        <f t="shared" si="78"/>
        <v>-1640.53</v>
      </c>
      <c r="P1008" s="39">
        <f t="shared" si="79"/>
        <v>45809</v>
      </c>
    </row>
    <row r="1009" spans="1:16" ht="15.5" x14ac:dyDescent="0.35">
      <c r="A1009" s="17" t="s">
        <v>1057</v>
      </c>
      <c r="B1009" s="35">
        <v>45676</v>
      </c>
      <c r="C1009" s="17" t="s">
        <v>25</v>
      </c>
      <c r="D1009" s="17" t="s">
        <v>13</v>
      </c>
      <c r="E1009" s="17" t="s">
        <v>109</v>
      </c>
      <c r="F1009" s="17" t="s">
        <v>52</v>
      </c>
      <c r="G1009" s="17" t="s">
        <v>22</v>
      </c>
      <c r="H1009" s="17" t="s">
        <v>2588</v>
      </c>
      <c r="I1009" s="17" t="s">
        <v>17</v>
      </c>
      <c r="J1009" s="36">
        <v>9700</v>
      </c>
      <c r="K1009" s="36">
        <v>11810.53</v>
      </c>
      <c r="L1009" s="36">
        <f t="shared" si="75"/>
        <v>2110.5300000000007</v>
      </c>
      <c r="M1009" s="37">
        <f t="shared" si="76"/>
        <v>0.2175804123711341</v>
      </c>
      <c r="N1009" s="17" t="str">
        <f t="shared" si="77"/>
        <v>Over Budget</v>
      </c>
      <c r="O1009" s="38">
        <f t="shared" si="78"/>
        <v>11810.53</v>
      </c>
      <c r="P1009" s="39">
        <f t="shared" si="79"/>
        <v>45658</v>
      </c>
    </row>
    <row r="1010" spans="1:16" ht="15.5" x14ac:dyDescent="0.35">
      <c r="A1010" s="17" t="s">
        <v>1058</v>
      </c>
      <c r="B1010" s="35">
        <v>45898</v>
      </c>
      <c r="C1010" s="17" t="s">
        <v>25</v>
      </c>
      <c r="D1010" s="17" t="s">
        <v>32</v>
      </c>
      <c r="E1010" s="17" t="s">
        <v>33</v>
      </c>
      <c r="F1010" s="17" t="s">
        <v>15</v>
      </c>
      <c r="G1010" s="17" t="s">
        <v>22</v>
      </c>
      <c r="H1010" s="17" t="s">
        <v>60</v>
      </c>
      <c r="I1010" s="17" t="s">
        <v>39</v>
      </c>
      <c r="J1010" s="36">
        <v>10416.67</v>
      </c>
      <c r="K1010" s="36">
        <v>3490.03</v>
      </c>
      <c r="L1010" s="36">
        <f t="shared" si="75"/>
        <v>-6926.6399999999994</v>
      </c>
      <c r="M1010" s="37">
        <f t="shared" si="76"/>
        <v>-0.66495722721368722</v>
      </c>
      <c r="N1010" s="17" t="str">
        <f t="shared" si="77"/>
        <v>Under Budget</v>
      </c>
      <c r="O1010" s="38">
        <f t="shared" si="78"/>
        <v>3490.03</v>
      </c>
      <c r="P1010" s="39">
        <f t="shared" si="79"/>
        <v>45870</v>
      </c>
    </row>
    <row r="1011" spans="1:16" ht="15.5" x14ac:dyDescent="0.35">
      <c r="A1011" s="17" t="s">
        <v>1059</v>
      </c>
      <c r="B1011" s="35">
        <v>46189</v>
      </c>
      <c r="C1011" s="17" t="s">
        <v>12</v>
      </c>
      <c r="D1011" s="17" t="s">
        <v>2584</v>
      </c>
      <c r="E1011" s="17" t="s">
        <v>74</v>
      </c>
      <c r="F1011" s="17" t="s">
        <v>52</v>
      </c>
      <c r="G1011" s="17" t="s">
        <v>29</v>
      </c>
      <c r="H1011" s="17" t="s">
        <v>2598</v>
      </c>
      <c r="I1011" s="17" t="s">
        <v>30</v>
      </c>
      <c r="J1011" s="36">
        <v>3076.92</v>
      </c>
      <c r="K1011" s="36">
        <v>201.62</v>
      </c>
      <c r="L1011" s="36">
        <f t="shared" si="75"/>
        <v>-2875.3</v>
      </c>
      <c r="M1011" s="37">
        <f t="shared" si="76"/>
        <v>-0.93447343447343456</v>
      </c>
      <c r="N1011" s="17" t="str">
        <f t="shared" si="77"/>
        <v>Under Budget</v>
      </c>
      <c r="O1011" s="38">
        <f t="shared" si="78"/>
        <v>-201.62</v>
      </c>
      <c r="P1011" s="39">
        <f t="shared" si="79"/>
        <v>46174</v>
      </c>
    </row>
    <row r="1012" spans="1:16" ht="15.5" x14ac:dyDescent="0.35">
      <c r="A1012" s="17" t="s">
        <v>1060</v>
      </c>
      <c r="B1012" s="35">
        <v>45987</v>
      </c>
      <c r="C1012" s="17" t="s">
        <v>12</v>
      </c>
      <c r="D1012" s="17" t="s">
        <v>2585</v>
      </c>
      <c r="E1012" s="17" t="s">
        <v>45</v>
      </c>
      <c r="F1012" s="17" t="s">
        <v>21</v>
      </c>
      <c r="G1012" s="17" t="s">
        <v>29</v>
      </c>
      <c r="H1012" s="17" t="s">
        <v>2598</v>
      </c>
      <c r="I1012" s="17" t="s">
        <v>23</v>
      </c>
      <c r="J1012" s="36">
        <v>9947.3700000000008</v>
      </c>
      <c r="K1012" s="36">
        <v>2965.84</v>
      </c>
      <c r="L1012" s="36">
        <f t="shared" si="75"/>
        <v>-6981.5300000000007</v>
      </c>
      <c r="M1012" s="37">
        <f t="shared" si="76"/>
        <v>-0.70184681981267416</v>
      </c>
      <c r="N1012" s="17" t="str">
        <f t="shared" si="77"/>
        <v>Under Budget</v>
      </c>
      <c r="O1012" s="38">
        <f t="shared" si="78"/>
        <v>-2965.84</v>
      </c>
      <c r="P1012" s="39">
        <f t="shared" si="79"/>
        <v>45962</v>
      </c>
    </row>
    <row r="1013" spans="1:16" ht="15.5" x14ac:dyDescent="0.35">
      <c r="A1013" s="17" t="s">
        <v>1061</v>
      </c>
      <c r="B1013" s="35">
        <v>45972</v>
      </c>
      <c r="C1013" s="17" t="s">
        <v>25</v>
      </c>
      <c r="D1013" s="17" t="s">
        <v>32</v>
      </c>
      <c r="E1013" s="17" t="s">
        <v>33</v>
      </c>
      <c r="F1013" s="17" t="s">
        <v>15</v>
      </c>
      <c r="G1013" s="17" t="s">
        <v>38</v>
      </c>
      <c r="H1013" s="17" t="s">
        <v>2590</v>
      </c>
      <c r="I1013" s="17" t="s">
        <v>30</v>
      </c>
      <c r="J1013" s="36">
        <v>13125</v>
      </c>
      <c r="K1013" s="36">
        <v>6907.84</v>
      </c>
      <c r="L1013" s="36">
        <f t="shared" si="75"/>
        <v>-6217.16</v>
      </c>
      <c r="M1013" s="37">
        <f t="shared" si="76"/>
        <v>-0.47368838095238092</v>
      </c>
      <c r="N1013" s="17" t="str">
        <f t="shared" si="77"/>
        <v>Under Budget</v>
      </c>
      <c r="O1013" s="38">
        <f t="shared" si="78"/>
        <v>6907.84</v>
      </c>
      <c r="P1013" s="39">
        <f t="shared" si="79"/>
        <v>45962</v>
      </c>
    </row>
    <row r="1014" spans="1:16" ht="15.5" x14ac:dyDescent="0.35">
      <c r="A1014" s="17" t="s">
        <v>1062</v>
      </c>
      <c r="B1014" s="35">
        <v>45900</v>
      </c>
      <c r="C1014" s="17" t="s">
        <v>12</v>
      </c>
      <c r="D1014" s="17" t="s">
        <v>19</v>
      </c>
      <c r="E1014" s="17" t="s">
        <v>37</v>
      </c>
      <c r="F1014" s="17" t="s">
        <v>52</v>
      </c>
      <c r="G1014" s="17" t="s">
        <v>16</v>
      </c>
      <c r="H1014" s="17" t="s">
        <v>2587</v>
      </c>
      <c r="I1014" s="17" t="s">
        <v>17</v>
      </c>
      <c r="J1014" s="36">
        <v>4666.67</v>
      </c>
      <c r="K1014" s="36">
        <v>760.75</v>
      </c>
      <c r="L1014" s="36">
        <f t="shared" si="75"/>
        <v>-3905.92</v>
      </c>
      <c r="M1014" s="37">
        <f t="shared" si="76"/>
        <v>-0.83698225929838621</v>
      </c>
      <c r="N1014" s="17" t="str">
        <f t="shared" si="77"/>
        <v>Under Budget</v>
      </c>
      <c r="O1014" s="38">
        <f t="shared" si="78"/>
        <v>-760.75</v>
      </c>
      <c r="P1014" s="39">
        <f t="shared" si="79"/>
        <v>45870</v>
      </c>
    </row>
    <row r="1015" spans="1:16" ht="15.5" x14ac:dyDescent="0.35">
      <c r="A1015" s="17" t="s">
        <v>1063</v>
      </c>
      <c r="B1015" s="35">
        <v>45781</v>
      </c>
      <c r="C1015" s="17" t="s">
        <v>25</v>
      </c>
      <c r="D1015" s="17" t="s">
        <v>13</v>
      </c>
      <c r="E1015" s="17" t="s">
        <v>33</v>
      </c>
      <c r="F1015" s="17" t="s">
        <v>34</v>
      </c>
      <c r="G1015" s="17" t="s">
        <v>38</v>
      </c>
      <c r="H1015" s="17" t="s">
        <v>2591</v>
      </c>
      <c r="I1015" s="17" t="s">
        <v>23</v>
      </c>
      <c r="J1015" s="36">
        <v>9615.3799999999992</v>
      </c>
      <c r="K1015" s="36">
        <v>15181.11</v>
      </c>
      <c r="L1015" s="36">
        <f t="shared" si="75"/>
        <v>5565.7300000000014</v>
      </c>
      <c r="M1015" s="37">
        <f t="shared" si="76"/>
        <v>0.57883619784137519</v>
      </c>
      <c r="N1015" s="17" t="str">
        <f t="shared" si="77"/>
        <v>Over Budget</v>
      </c>
      <c r="O1015" s="38">
        <f t="shared" si="78"/>
        <v>15181.11</v>
      </c>
      <c r="P1015" s="39">
        <f t="shared" si="79"/>
        <v>45778</v>
      </c>
    </row>
    <row r="1016" spans="1:16" ht="15.5" x14ac:dyDescent="0.35">
      <c r="A1016" s="17" t="s">
        <v>1064</v>
      </c>
      <c r="B1016" s="35">
        <v>46153</v>
      </c>
      <c r="C1016" s="17" t="s">
        <v>12</v>
      </c>
      <c r="D1016" s="17" t="s">
        <v>19</v>
      </c>
      <c r="E1016" s="17" t="s">
        <v>45</v>
      </c>
      <c r="F1016" s="17" t="s">
        <v>28</v>
      </c>
      <c r="G1016" s="17" t="s">
        <v>38</v>
      </c>
      <c r="H1016" s="17" t="s">
        <v>60</v>
      </c>
      <c r="I1016" s="17" t="s">
        <v>17</v>
      </c>
      <c r="J1016" s="36">
        <v>16363.64</v>
      </c>
      <c r="K1016" s="36">
        <v>10816.77</v>
      </c>
      <c r="L1016" s="36">
        <f t="shared" si="75"/>
        <v>-5546.869999999999</v>
      </c>
      <c r="M1016" s="37">
        <f t="shared" si="76"/>
        <v>-0.33897531356104138</v>
      </c>
      <c r="N1016" s="17" t="str">
        <f t="shared" si="77"/>
        <v>Under Budget</v>
      </c>
      <c r="O1016" s="38">
        <f t="shared" si="78"/>
        <v>-10816.77</v>
      </c>
      <c r="P1016" s="39">
        <f t="shared" si="79"/>
        <v>46143</v>
      </c>
    </row>
    <row r="1017" spans="1:16" ht="15.5" x14ac:dyDescent="0.35">
      <c r="A1017" s="17" t="s">
        <v>1065</v>
      </c>
      <c r="B1017" s="35">
        <v>45860</v>
      </c>
      <c r="C1017" s="17" t="s">
        <v>12</v>
      </c>
      <c r="D1017" s="17" t="s">
        <v>36</v>
      </c>
      <c r="E1017" s="17" t="s">
        <v>41</v>
      </c>
      <c r="F1017" s="17" t="s">
        <v>28</v>
      </c>
      <c r="G1017" s="17" t="s">
        <v>38</v>
      </c>
      <c r="H1017" s="17" t="s">
        <v>2594</v>
      </c>
      <c r="I1017" s="17" t="s">
        <v>39</v>
      </c>
      <c r="J1017" s="36">
        <v>5909.09</v>
      </c>
      <c r="K1017" s="36">
        <v>11470.29</v>
      </c>
      <c r="L1017" s="36">
        <f t="shared" si="75"/>
        <v>5561.2000000000007</v>
      </c>
      <c r="M1017" s="37">
        <f t="shared" si="76"/>
        <v>0.94112629863481523</v>
      </c>
      <c r="N1017" s="17" t="str">
        <f t="shared" si="77"/>
        <v>Over Budget</v>
      </c>
      <c r="O1017" s="38">
        <f t="shared" si="78"/>
        <v>-11470.29</v>
      </c>
      <c r="P1017" s="39">
        <f t="shared" si="79"/>
        <v>45839</v>
      </c>
    </row>
    <row r="1018" spans="1:16" ht="15.5" x14ac:dyDescent="0.35">
      <c r="A1018" s="17" t="s">
        <v>1066</v>
      </c>
      <c r="B1018" s="35">
        <v>45774</v>
      </c>
      <c r="C1018" s="17" t="s">
        <v>12</v>
      </c>
      <c r="D1018" s="17" t="s">
        <v>19</v>
      </c>
      <c r="E1018" s="17" t="s">
        <v>77</v>
      </c>
      <c r="F1018" s="17" t="s">
        <v>21</v>
      </c>
      <c r="G1018" s="17" t="s">
        <v>38</v>
      </c>
      <c r="H1018" s="17" t="s">
        <v>2592</v>
      </c>
      <c r="I1018" s="17" t="s">
        <v>48</v>
      </c>
      <c r="J1018" s="36">
        <v>2750</v>
      </c>
      <c r="K1018" s="36">
        <v>3241.08</v>
      </c>
      <c r="L1018" s="36">
        <f t="shared" si="75"/>
        <v>491.07999999999993</v>
      </c>
      <c r="M1018" s="37">
        <f t="shared" si="76"/>
        <v>0.17857454545454543</v>
      </c>
      <c r="N1018" s="17" t="str">
        <f t="shared" si="77"/>
        <v>Over Budget</v>
      </c>
      <c r="O1018" s="38">
        <f t="shared" si="78"/>
        <v>-3241.08</v>
      </c>
      <c r="P1018" s="39">
        <f t="shared" si="79"/>
        <v>45748</v>
      </c>
    </row>
    <row r="1019" spans="1:16" ht="15.5" x14ac:dyDescent="0.35">
      <c r="A1019" s="17" t="s">
        <v>1067</v>
      </c>
      <c r="B1019" s="35">
        <v>45823</v>
      </c>
      <c r="C1019" s="17" t="s">
        <v>25</v>
      </c>
      <c r="D1019" s="17" t="s">
        <v>32</v>
      </c>
      <c r="E1019" s="17" t="s">
        <v>27</v>
      </c>
      <c r="F1019" s="17" t="s">
        <v>52</v>
      </c>
      <c r="G1019" s="17" t="s">
        <v>38</v>
      </c>
      <c r="H1019" s="17" t="s">
        <v>2588</v>
      </c>
      <c r="I1019" s="17" t="s">
        <v>48</v>
      </c>
      <c r="J1019" s="36">
        <v>5333.33</v>
      </c>
      <c r="K1019" s="36">
        <v>2332.5100000000002</v>
      </c>
      <c r="L1019" s="36">
        <f t="shared" si="75"/>
        <v>-3000.8199999999997</v>
      </c>
      <c r="M1019" s="37">
        <f t="shared" si="76"/>
        <v>-0.56265410165881347</v>
      </c>
      <c r="N1019" s="17" t="str">
        <f t="shared" si="77"/>
        <v>Under Budget</v>
      </c>
      <c r="O1019" s="38">
        <f t="shared" si="78"/>
        <v>2332.5100000000002</v>
      </c>
      <c r="P1019" s="39">
        <f t="shared" si="79"/>
        <v>45809</v>
      </c>
    </row>
    <row r="1020" spans="1:16" ht="15.5" x14ac:dyDescent="0.35">
      <c r="A1020" s="17" t="s">
        <v>1068</v>
      </c>
      <c r="B1020" s="35">
        <v>46070</v>
      </c>
      <c r="C1020" s="17" t="s">
        <v>12</v>
      </c>
      <c r="D1020" s="17" t="s">
        <v>26</v>
      </c>
      <c r="E1020" s="17" t="s">
        <v>65</v>
      </c>
      <c r="F1020" s="17" t="s">
        <v>52</v>
      </c>
      <c r="G1020" s="17" t="s">
        <v>22</v>
      </c>
      <c r="H1020" s="17" t="s">
        <v>2592</v>
      </c>
      <c r="I1020" s="17" t="s">
        <v>48</v>
      </c>
      <c r="J1020" s="36">
        <v>4850</v>
      </c>
      <c r="K1020" s="36">
        <v>7489.32</v>
      </c>
      <c r="L1020" s="36">
        <f t="shared" si="75"/>
        <v>2639.3199999999997</v>
      </c>
      <c r="M1020" s="37">
        <f t="shared" si="76"/>
        <v>0.54418969072164947</v>
      </c>
      <c r="N1020" s="17" t="str">
        <f t="shared" si="77"/>
        <v>Over Budget</v>
      </c>
      <c r="O1020" s="38">
        <f t="shared" si="78"/>
        <v>-7489.32</v>
      </c>
      <c r="P1020" s="39">
        <f t="shared" si="79"/>
        <v>46054</v>
      </c>
    </row>
    <row r="1021" spans="1:16" ht="15.5" x14ac:dyDescent="0.35">
      <c r="A1021" s="17" t="s">
        <v>1069</v>
      </c>
      <c r="B1021" s="35">
        <v>46032</v>
      </c>
      <c r="C1021" s="17" t="s">
        <v>12</v>
      </c>
      <c r="D1021" s="17" t="s">
        <v>19</v>
      </c>
      <c r="E1021" s="17" t="s">
        <v>77</v>
      </c>
      <c r="F1021" s="17" t="s">
        <v>52</v>
      </c>
      <c r="G1021" s="17" t="s">
        <v>38</v>
      </c>
      <c r="H1021" s="17" t="s">
        <v>2588</v>
      </c>
      <c r="I1021" s="17" t="s">
        <v>48</v>
      </c>
      <c r="J1021" s="36">
        <v>3556.67</v>
      </c>
      <c r="K1021" s="36">
        <v>3511.14</v>
      </c>
      <c r="L1021" s="36">
        <f t="shared" si="75"/>
        <v>-45.5300000000002</v>
      </c>
      <c r="M1021" s="37">
        <f t="shared" si="76"/>
        <v>-1.2801300092502313E-2</v>
      </c>
      <c r="N1021" s="17" t="str">
        <f t="shared" si="77"/>
        <v>Under Budget</v>
      </c>
      <c r="O1021" s="38">
        <f t="shared" si="78"/>
        <v>-3511.14</v>
      </c>
      <c r="P1021" s="39">
        <f t="shared" si="79"/>
        <v>46023</v>
      </c>
    </row>
    <row r="1022" spans="1:16" ht="15.5" x14ac:dyDescent="0.35">
      <c r="A1022" s="17" t="s">
        <v>1070</v>
      </c>
      <c r="B1022" s="35">
        <v>46030</v>
      </c>
      <c r="C1022" s="17" t="s">
        <v>12</v>
      </c>
      <c r="D1022" s="17" t="s">
        <v>26</v>
      </c>
      <c r="E1022" s="17" t="s">
        <v>45</v>
      </c>
      <c r="F1022" s="17" t="s">
        <v>34</v>
      </c>
      <c r="G1022" s="17" t="s">
        <v>43</v>
      </c>
      <c r="H1022" s="17" t="s">
        <v>2594</v>
      </c>
      <c r="I1022" s="17" t="s">
        <v>30</v>
      </c>
      <c r="J1022" s="36">
        <v>6715.38</v>
      </c>
      <c r="K1022" s="36">
        <v>7359.91</v>
      </c>
      <c r="L1022" s="36">
        <f t="shared" si="75"/>
        <v>644.52999999999975</v>
      </c>
      <c r="M1022" s="37">
        <f t="shared" si="76"/>
        <v>9.5978187384779381E-2</v>
      </c>
      <c r="N1022" s="17" t="str">
        <f t="shared" si="77"/>
        <v>Over Budget</v>
      </c>
      <c r="O1022" s="38">
        <f t="shared" si="78"/>
        <v>-7359.91</v>
      </c>
      <c r="P1022" s="39">
        <f t="shared" si="79"/>
        <v>46023</v>
      </c>
    </row>
    <row r="1023" spans="1:16" ht="15.5" x14ac:dyDescent="0.35">
      <c r="A1023" s="17" t="s">
        <v>1071</v>
      </c>
      <c r="B1023" s="35">
        <v>46149</v>
      </c>
      <c r="C1023" s="17" t="s">
        <v>12</v>
      </c>
      <c r="D1023" s="17" t="s">
        <v>13</v>
      </c>
      <c r="E1023" s="17" t="s">
        <v>74</v>
      </c>
      <c r="F1023" s="17" t="s">
        <v>34</v>
      </c>
      <c r="G1023" s="17" t="s">
        <v>38</v>
      </c>
      <c r="H1023" s="17" t="s">
        <v>2598</v>
      </c>
      <c r="I1023" s="17" t="s">
        <v>30</v>
      </c>
      <c r="J1023" s="36">
        <v>5714.29</v>
      </c>
      <c r="K1023" s="36">
        <v>3614.83</v>
      </c>
      <c r="L1023" s="36">
        <f t="shared" si="75"/>
        <v>-2099.46</v>
      </c>
      <c r="M1023" s="37">
        <f t="shared" si="76"/>
        <v>-0.3674052244460817</v>
      </c>
      <c r="N1023" s="17" t="str">
        <f t="shared" si="77"/>
        <v>Under Budget</v>
      </c>
      <c r="O1023" s="38">
        <f t="shared" si="78"/>
        <v>-3614.83</v>
      </c>
      <c r="P1023" s="39">
        <f t="shared" si="79"/>
        <v>46143</v>
      </c>
    </row>
    <row r="1024" spans="1:16" ht="15.5" x14ac:dyDescent="0.35">
      <c r="A1024" s="17" t="s">
        <v>1072</v>
      </c>
      <c r="B1024" s="35">
        <v>46032</v>
      </c>
      <c r="C1024" s="17" t="s">
        <v>12</v>
      </c>
      <c r="D1024" s="17" t="s">
        <v>26</v>
      </c>
      <c r="E1024" s="17" t="s">
        <v>47</v>
      </c>
      <c r="F1024" s="17" t="s">
        <v>21</v>
      </c>
      <c r="G1024" s="17" t="s">
        <v>22</v>
      </c>
      <c r="H1024" s="17" t="s">
        <v>2592</v>
      </c>
      <c r="I1024" s="17" t="s">
        <v>23</v>
      </c>
      <c r="J1024" s="36">
        <v>3395</v>
      </c>
      <c r="K1024" s="36">
        <v>1347.86</v>
      </c>
      <c r="L1024" s="36">
        <f t="shared" si="75"/>
        <v>-2047.14</v>
      </c>
      <c r="M1024" s="37">
        <f t="shared" si="76"/>
        <v>-0.60298674521354934</v>
      </c>
      <c r="N1024" s="17" t="str">
        <f t="shared" si="77"/>
        <v>Under Budget</v>
      </c>
      <c r="O1024" s="38">
        <f t="shared" si="78"/>
        <v>-1347.86</v>
      </c>
      <c r="P1024" s="39">
        <f t="shared" si="79"/>
        <v>46023</v>
      </c>
    </row>
    <row r="1025" spans="1:16" ht="15.5" x14ac:dyDescent="0.35">
      <c r="A1025" s="17" t="s">
        <v>1073</v>
      </c>
      <c r="B1025" s="35">
        <v>45950</v>
      </c>
      <c r="C1025" s="17" t="s">
        <v>12</v>
      </c>
      <c r="D1025" s="17" t="s">
        <v>2584</v>
      </c>
      <c r="E1025" s="17" t="s">
        <v>20</v>
      </c>
      <c r="F1025" s="17" t="s">
        <v>21</v>
      </c>
      <c r="G1025" s="17" t="s">
        <v>43</v>
      </c>
      <c r="H1025" s="17" t="s">
        <v>2594</v>
      </c>
      <c r="I1025" s="17" t="s">
        <v>30</v>
      </c>
      <c r="J1025" s="36">
        <v>3000</v>
      </c>
      <c r="K1025" s="36">
        <v>1141.93</v>
      </c>
      <c r="L1025" s="36">
        <f t="shared" si="75"/>
        <v>-1858.07</v>
      </c>
      <c r="M1025" s="37">
        <f t="shared" si="76"/>
        <v>-0.61935666666666667</v>
      </c>
      <c r="N1025" s="17" t="str">
        <f t="shared" si="77"/>
        <v>Under Budget</v>
      </c>
      <c r="O1025" s="38">
        <f t="shared" si="78"/>
        <v>-1141.93</v>
      </c>
      <c r="P1025" s="39">
        <f t="shared" si="79"/>
        <v>45931</v>
      </c>
    </row>
    <row r="1026" spans="1:16" ht="15.5" x14ac:dyDescent="0.35">
      <c r="A1026" s="17" t="s">
        <v>1074</v>
      </c>
      <c r="B1026" s="35">
        <v>45682</v>
      </c>
      <c r="C1026" s="17" t="s">
        <v>12</v>
      </c>
      <c r="D1026" s="17" t="s">
        <v>2584</v>
      </c>
      <c r="E1026" s="17" t="s">
        <v>14</v>
      </c>
      <c r="F1026" s="17" t="s">
        <v>52</v>
      </c>
      <c r="G1026" s="17" t="s">
        <v>22</v>
      </c>
      <c r="H1026" s="17" t="s">
        <v>2587</v>
      </c>
      <c r="I1026" s="17" t="s">
        <v>23</v>
      </c>
      <c r="J1026" s="36">
        <v>7760</v>
      </c>
      <c r="K1026" s="36">
        <v>4429.4799999999996</v>
      </c>
      <c r="L1026" s="36">
        <f t="shared" si="75"/>
        <v>-3330.5200000000004</v>
      </c>
      <c r="M1026" s="37">
        <f t="shared" si="76"/>
        <v>-0.42919072164948457</v>
      </c>
      <c r="N1026" s="17" t="str">
        <f t="shared" si="77"/>
        <v>Under Budget</v>
      </c>
      <c r="O1026" s="38">
        <f t="shared" si="78"/>
        <v>-4429.4799999999996</v>
      </c>
      <c r="P1026" s="39">
        <f t="shared" si="79"/>
        <v>45658</v>
      </c>
    </row>
    <row r="1027" spans="1:16" ht="15.5" x14ac:dyDescent="0.35">
      <c r="A1027" s="17" t="s">
        <v>1075</v>
      </c>
      <c r="B1027" s="35">
        <v>45836</v>
      </c>
      <c r="C1027" s="17" t="s">
        <v>12</v>
      </c>
      <c r="D1027" s="17" t="s">
        <v>2585</v>
      </c>
      <c r="E1027" s="17" t="s">
        <v>65</v>
      </c>
      <c r="F1027" s="17" t="s">
        <v>28</v>
      </c>
      <c r="G1027" s="17" t="s">
        <v>38</v>
      </c>
      <c r="H1027" s="17" t="s">
        <v>2597</v>
      </c>
      <c r="I1027" s="17" t="s">
        <v>48</v>
      </c>
      <c r="J1027" s="36">
        <v>5500</v>
      </c>
      <c r="K1027" s="36">
        <v>2912.18</v>
      </c>
      <c r="L1027" s="36">
        <f t="shared" ref="L1027:L1090" si="80">K1027-J1027</f>
        <v>-2587.8200000000002</v>
      </c>
      <c r="M1027" s="37">
        <f t="shared" ref="M1027:M1090" si="81">IF(J1027=0,0,L1027/J1027)</f>
        <v>-0.4705127272727273</v>
      </c>
      <c r="N1027" s="17" t="str">
        <f t="shared" ref="N1027:N1090" si="82">IF(J1027=0,"No Budget",IF(K1027&gt;J1027,"Over Budget",IF(K1027&lt;J1027,"Under Budget","On Budget")))</f>
        <v>Under Budget</v>
      </c>
      <c r="O1027" s="38">
        <f t="shared" ref="O1027:O1090" si="83">IF(C1027="Revenue",K1027,-K1027)</f>
        <v>-2912.18</v>
      </c>
      <c r="P1027" s="39">
        <f t="shared" ref="P1027:P1090" si="84">DATE(YEAR(B1027),MONTH(B1027),1)</f>
        <v>45809</v>
      </c>
    </row>
    <row r="1028" spans="1:16" ht="15.5" x14ac:dyDescent="0.35">
      <c r="A1028" s="17" t="s">
        <v>1076</v>
      </c>
      <c r="B1028" s="35">
        <v>46118</v>
      </c>
      <c r="C1028" s="17" t="s">
        <v>12</v>
      </c>
      <c r="D1028" s="17" t="s">
        <v>19</v>
      </c>
      <c r="E1028" s="17" t="s">
        <v>20</v>
      </c>
      <c r="F1028" s="17" t="s">
        <v>34</v>
      </c>
      <c r="G1028" s="17" t="s">
        <v>38</v>
      </c>
      <c r="H1028" s="17" t="s">
        <v>2592</v>
      </c>
      <c r="I1028" s="17" t="s">
        <v>23</v>
      </c>
      <c r="J1028" s="36">
        <v>2250</v>
      </c>
      <c r="K1028" s="36">
        <v>1218.6500000000001</v>
      </c>
      <c r="L1028" s="36">
        <f t="shared" si="80"/>
        <v>-1031.3499999999999</v>
      </c>
      <c r="M1028" s="37">
        <f t="shared" si="81"/>
        <v>-0.45837777777777772</v>
      </c>
      <c r="N1028" s="17" t="str">
        <f t="shared" si="82"/>
        <v>Under Budget</v>
      </c>
      <c r="O1028" s="38">
        <f t="shared" si="83"/>
        <v>-1218.6500000000001</v>
      </c>
      <c r="P1028" s="39">
        <f t="shared" si="84"/>
        <v>46113</v>
      </c>
    </row>
    <row r="1029" spans="1:16" ht="15.5" x14ac:dyDescent="0.35">
      <c r="A1029" s="17" t="s">
        <v>1077</v>
      </c>
      <c r="B1029" s="35">
        <v>46055</v>
      </c>
      <c r="C1029" s="17" t="s">
        <v>12</v>
      </c>
      <c r="D1029" s="17" t="s">
        <v>19</v>
      </c>
      <c r="E1029" s="17" t="s">
        <v>20</v>
      </c>
      <c r="F1029" s="17" t="s">
        <v>21</v>
      </c>
      <c r="G1029" s="17" t="s">
        <v>38</v>
      </c>
      <c r="H1029" s="17" t="s">
        <v>2596</v>
      </c>
      <c r="I1029" s="17" t="s">
        <v>30</v>
      </c>
      <c r="J1029" s="36">
        <v>2182.5</v>
      </c>
      <c r="K1029" s="36">
        <v>593.52</v>
      </c>
      <c r="L1029" s="36">
        <f t="shared" si="80"/>
        <v>-1588.98</v>
      </c>
      <c r="M1029" s="37">
        <f t="shared" si="81"/>
        <v>-0.7280549828178694</v>
      </c>
      <c r="N1029" s="17" t="str">
        <f t="shared" si="82"/>
        <v>Under Budget</v>
      </c>
      <c r="O1029" s="38">
        <f t="shared" si="83"/>
        <v>-593.52</v>
      </c>
      <c r="P1029" s="39">
        <f t="shared" si="84"/>
        <v>46054</v>
      </c>
    </row>
    <row r="1030" spans="1:16" ht="15.5" x14ac:dyDescent="0.35">
      <c r="A1030" s="17" t="s">
        <v>1078</v>
      </c>
      <c r="B1030" s="35">
        <v>45769</v>
      </c>
      <c r="C1030" s="17" t="s">
        <v>25</v>
      </c>
      <c r="D1030" s="17" t="s">
        <v>32</v>
      </c>
      <c r="E1030" s="17" t="s">
        <v>109</v>
      </c>
      <c r="F1030" s="17" t="s">
        <v>34</v>
      </c>
      <c r="G1030" s="17" t="s">
        <v>38</v>
      </c>
      <c r="H1030" s="17" t="s">
        <v>2589</v>
      </c>
      <c r="I1030" s="17" t="s">
        <v>23</v>
      </c>
      <c r="J1030" s="36">
        <v>14285.71</v>
      </c>
      <c r="K1030" s="36">
        <v>17113.849999999999</v>
      </c>
      <c r="L1030" s="36">
        <f t="shared" si="80"/>
        <v>2828.1399999999994</v>
      </c>
      <c r="M1030" s="37">
        <f t="shared" si="81"/>
        <v>0.19796985939095779</v>
      </c>
      <c r="N1030" s="17" t="str">
        <f t="shared" si="82"/>
        <v>Over Budget</v>
      </c>
      <c r="O1030" s="38">
        <f t="shared" si="83"/>
        <v>17113.849999999999</v>
      </c>
      <c r="P1030" s="39">
        <f t="shared" si="84"/>
        <v>45748</v>
      </c>
    </row>
    <row r="1031" spans="1:16" ht="15.5" x14ac:dyDescent="0.35">
      <c r="A1031" s="17" t="s">
        <v>1079</v>
      </c>
      <c r="B1031" s="35">
        <v>45992</v>
      </c>
      <c r="C1031" s="17" t="s">
        <v>12</v>
      </c>
      <c r="D1031" s="17" t="s">
        <v>36</v>
      </c>
      <c r="E1031" s="17" t="s">
        <v>14</v>
      </c>
      <c r="F1031" s="17" t="s">
        <v>34</v>
      </c>
      <c r="G1031" s="17" t="s">
        <v>43</v>
      </c>
      <c r="H1031" s="17" t="s">
        <v>80</v>
      </c>
      <c r="I1031" s="17" t="s">
        <v>48</v>
      </c>
      <c r="J1031" s="36">
        <v>4800</v>
      </c>
      <c r="K1031" s="36">
        <v>6488.94</v>
      </c>
      <c r="L1031" s="36">
        <f t="shared" si="80"/>
        <v>1688.9399999999996</v>
      </c>
      <c r="M1031" s="37">
        <f t="shared" si="81"/>
        <v>0.35186249999999991</v>
      </c>
      <c r="N1031" s="17" t="str">
        <f t="shared" si="82"/>
        <v>Over Budget</v>
      </c>
      <c r="O1031" s="38">
        <f t="shared" si="83"/>
        <v>-6488.94</v>
      </c>
      <c r="P1031" s="39">
        <f t="shared" si="84"/>
        <v>45992</v>
      </c>
    </row>
    <row r="1032" spans="1:16" ht="15.5" x14ac:dyDescent="0.35">
      <c r="A1032" s="17" t="s">
        <v>1080</v>
      </c>
      <c r="B1032" s="35">
        <v>46143</v>
      </c>
      <c r="C1032" s="17" t="s">
        <v>12</v>
      </c>
      <c r="D1032" s="17" t="s">
        <v>26</v>
      </c>
      <c r="E1032" s="17" t="s">
        <v>74</v>
      </c>
      <c r="F1032" s="17" t="s">
        <v>52</v>
      </c>
      <c r="G1032" s="17" t="s">
        <v>38</v>
      </c>
      <c r="H1032" s="17" t="s">
        <v>2597</v>
      </c>
      <c r="I1032" s="17" t="s">
        <v>23</v>
      </c>
      <c r="J1032" s="36">
        <v>5714.29</v>
      </c>
      <c r="K1032" s="36">
        <v>5671.63</v>
      </c>
      <c r="L1032" s="36">
        <f t="shared" si="80"/>
        <v>-42.659999999999854</v>
      </c>
      <c r="M1032" s="37">
        <f t="shared" si="81"/>
        <v>-7.4654944008791741E-3</v>
      </c>
      <c r="N1032" s="17" t="str">
        <f t="shared" si="82"/>
        <v>Under Budget</v>
      </c>
      <c r="O1032" s="38">
        <f t="shared" si="83"/>
        <v>-5671.63</v>
      </c>
      <c r="P1032" s="39">
        <f t="shared" si="84"/>
        <v>46143</v>
      </c>
    </row>
    <row r="1033" spans="1:16" ht="15.5" x14ac:dyDescent="0.35">
      <c r="A1033" s="17" t="s">
        <v>1081</v>
      </c>
      <c r="B1033" s="35">
        <v>45930</v>
      </c>
      <c r="C1033" s="17" t="s">
        <v>25</v>
      </c>
      <c r="D1033" s="17" t="s">
        <v>32</v>
      </c>
      <c r="E1033" s="17" t="s">
        <v>33</v>
      </c>
      <c r="F1033" s="17" t="s">
        <v>21</v>
      </c>
      <c r="G1033" s="17" t="s">
        <v>43</v>
      </c>
      <c r="H1033" s="17" t="s">
        <v>2594</v>
      </c>
      <c r="I1033" s="17" t="s">
        <v>23</v>
      </c>
      <c r="J1033" s="36">
        <v>11904.76</v>
      </c>
      <c r="K1033" s="36">
        <v>18370.98</v>
      </c>
      <c r="L1033" s="36">
        <f t="shared" si="80"/>
        <v>6466.2199999999993</v>
      </c>
      <c r="M1033" s="37">
        <f t="shared" si="81"/>
        <v>0.54316256690601061</v>
      </c>
      <c r="N1033" s="17" t="str">
        <f t="shared" si="82"/>
        <v>Over Budget</v>
      </c>
      <c r="O1033" s="38">
        <f t="shared" si="83"/>
        <v>18370.98</v>
      </c>
      <c r="P1033" s="39">
        <f t="shared" si="84"/>
        <v>45901</v>
      </c>
    </row>
    <row r="1034" spans="1:16" ht="15.5" x14ac:dyDescent="0.35">
      <c r="A1034" s="17" t="s">
        <v>1082</v>
      </c>
      <c r="B1034" s="35">
        <v>45950</v>
      </c>
      <c r="C1034" s="17" t="s">
        <v>25</v>
      </c>
      <c r="D1034" s="17" t="s">
        <v>36</v>
      </c>
      <c r="E1034" s="17" t="s">
        <v>27</v>
      </c>
      <c r="F1034" s="17" t="s">
        <v>52</v>
      </c>
      <c r="G1034" s="17" t="s">
        <v>16</v>
      </c>
      <c r="H1034" s="17" t="s">
        <v>2586</v>
      </c>
      <c r="I1034" s="17" t="s">
        <v>30</v>
      </c>
      <c r="J1034" s="36">
        <v>4705.88</v>
      </c>
      <c r="K1034" s="36">
        <v>2997.03</v>
      </c>
      <c r="L1034" s="36">
        <f t="shared" si="80"/>
        <v>-1708.85</v>
      </c>
      <c r="M1034" s="37">
        <f t="shared" si="81"/>
        <v>-0.36313080656540325</v>
      </c>
      <c r="N1034" s="17" t="str">
        <f t="shared" si="82"/>
        <v>Under Budget</v>
      </c>
      <c r="O1034" s="38">
        <f t="shared" si="83"/>
        <v>2997.03</v>
      </c>
      <c r="P1034" s="39">
        <f t="shared" si="84"/>
        <v>45931</v>
      </c>
    </row>
    <row r="1035" spans="1:16" ht="15.5" x14ac:dyDescent="0.35">
      <c r="A1035" s="17" t="s">
        <v>1083</v>
      </c>
      <c r="B1035" s="35">
        <v>46164</v>
      </c>
      <c r="C1035" s="17" t="s">
        <v>12</v>
      </c>
      <c r="D1035" s="17" t="s">
        <v>36</v>
      </c>
      <c r="E1035" s="17" t="s">
        <v>74</v>
      </c>
      <c r="F1035" s="17" t="s">
        <v>28</v>
      </c>
      <c r="G1035" s="17" t="s">
        <v>22</v>
      </c>
      <c r="H1035" s="17" t="s">
        <v>2592</v>
      </c>
      <c r="I1035" s="17" t="s">
        <v>23</v>
      </c>
      <c r="J1035" s="36">
        <v>5714.29</v>
      </c>
      <c r="K1035" s="36">
        <v>4427.59</v>
      </c>
      <c r="L1035" s="36">
        <f t="shared" si="80"/>
        <v>-1286.6999999999998</v>
      </c>
      <c r="M1035" s="37">
        <f t="shared" si="81"/>
        <v>-0.22517233112075163</v>
      </c>
      <c r="N1035" s="17" t="str">
        <f t="shared" si="82"/>
        <v>Under Budget</v>
      </c>
      <c r="O1035" s="38">
        <f t="shared" si="83"/>
        <v>-4427.59</v>
      </c>
      <c r="P1035" s="39">
        <f t="shared" si="84"/>
        <v>46143</v>
      </c>
    </row>
    <row r="1036" spans="1:16" ht="15.5" x14ac:dyDescent="0.35">
      <c r="A1036" s="17" t="s">
        <v>1084</v>
      </c>
      <c r="B1036" s="35">
        <v>45833</v>
      </c>
      <c r="C1036" s="17" t="s">
        <v>12</v>
      </c>
      <c r="D1036" s="17" t="s">
        <v>26</v>
      </c>
      <c r="E1036" s="17" t="s">
        <v>65</v>
      </c>
      <c r="F1036" s="17" t="s">
        <v>21</v>
      </c>
      <c r="G1036" s="17" t="s">
        <v>29</v>
      </c>
      <c r="H1036" s="17" t="s">
        <v>60</v>
      </c>
      <c r="I1036" s="17" t="s">
        <v>48</v>
      </c>
      <c r="J1036" s="36">
        <v>5500</v>
      </c>
      <c r="K1036" s="36">
        <v>3975.6</v>
      </c>
      <c r="L1036" s="36">
        <f t="shared" si="80"/>
        <v>-1524.4</v>
      </c>
      <c r="M1036" s="37">
        <f t="shared" si="81"/>
        <v>-0.27716363636363639</v>
      </c>
      <c r="N1036" s="17" t="str">
        <f t="shared" si="82"/>
        <v>Under Budget</v>
      </c>
      <c r="O1036" s="38">
        <f t="shared" si="83"/>
        <v>-3975.6</v>
      </c>
      <c r="P1036" s="39">
        <f t="shared" si="84"/>
        <v>45809</v>
      </c>
    </row>
    <row r="1037" spans="1:16" ht="15.5" x14ac:dyDescent="0.35">
      <c r="A1037" s="17" t="s">
        <v>1085</v>
      </c>
      <c r="B1037" s="35">
        <v>45942</v>
      </c>
      <c r="C1037" s="17" t="s">
        <v>12</v>
      </c>
      <c r="D1037" s="17" t="s">
        <v>2584</v>
      </c>
      <c r="E1037" s="17" t="s">
        <v>20</v>
      </c>
      <c r="F1037" s="17" t="s">
        <v>52</v>
      </c>
      <c r="G1037" s="17" t="s">
        <v>38</v>
      </c>
      <c r="H1037" s="17" t="s">
        <v>2595</v>
      </c>
      <c r="I1037" s="17" t="s">
        <v>30</v>
      </c>
      <c r="J1037" s="36">
        <v>3000</v>
      </c>
      <c r="K1037" s="36">
        <v>234.99</v>
      </c>
      <c r="L1037" s="36">
        <f t="shared" si="80"/>
        <v>-2765.01</v>
      </c>
      <c r="M1037" s="37">
        <f t="shared" si="81"/>
        <v>-0.9216700000000001</v>
      </c>
      <c r="N1037" s="17" t="str">
        <f t="shared" si="82"/>
        <v>Under Budget</v>
      </c>
      <c r="O1037" s="38">
        <f t="shared" si="83"/>
        <v>-234.99</v>
      </c>
      <c r="P1037" s="39">
        <f t="shared" si="84"/>
        <v>45931</v>
      </c>
    </row>
    <row r="1038" spans="1:16" ht="15.5" x14ac:dyDescent="0.35">
      <c r="A1038" s="17" t="s">
        <v>1086</v>
      </c>
      <c r="B1038" s="35">
        <v>45694</v>
      </c>
      <c r="C1038" s="17" t="s">
        <v>25</v>
      </c>
      <c r="D1038" s="17" t="s">
        <v>2583</v>
      </c>
      <c r="E1038" s="17" t="s">
        <v>27</v>
      </c>
      <c r="F1038" s="17" t="s">
        <v>52</v>
      </c>
      <c r="G1038" s="17" t="s">
        <v>43</v>
      </c>
      <c r="H1038" s="17" t="s">
        <v>2594</v>
      </c>
      <c r="I1038" s="17" t="s">
        <v>48</v>
      </c>
      <c r="J1038" s="36">
        <v>4850</v>
      </c>
      <c r="K1038" s="36">
        <v>3727.08</v>
      </c>
      <c r="L1038" s="36">
        <f t="shared" si="80"/>
        <v>-1122.92</v>
      </c>
      <c r="M1038" s="37">
        <f t="shared" si="81"/>
        <v>-0.23152989690721651</v>
      </c>
      <c r="N1038" s="17" t="str">
        <f t="shared" si="82"/>
        <v>Under Budget</v>
      </c>
      <c r="O1038" s="38">
        <f t="shared" si="83"/>
        <v>3727.08</v>
      </c>
      <c r="P1038" s="39">
        <f t="shared" si="84"/>
        <v>45689</v>
      </c>
    </row>
    <row r="1039" spans="1:16" ht="15.5" x14ac:dyDescent="0.35">
      <c r="A1039" s="17" t="s">
        <v>1087</v>
      </c>
      <c r="B1039" s="35">
        <v>46129</v>
      </c>
      <c r="C1039" s="17" t="s">
        <v>25</v>
      </c>
      <c r="D1039" s="17" t="s">
        <v>32</v>
      </c>
      <c r="E1039" s="17" t="s">
        <v>33</v>
      </c>
      <c r="F1039" s="17" t="s">
        <v>28</v>
      </c>
      <c r="G1039" s="17" t="s">
        <v>38</v>
      </c>
      <c r="H1039" s="17" t="s">
        <v>2591</v>
      </c>
      <c r="I1039" s="17" t="s">
        <v>48</v>
      </c>
      <c r="J1039" s="36">
        <v>8333.33</v>
      </c>
      <c r="K1039" s="36">
        <v>17737.89</v>
      </c>
      <c r="L1039" s="36">
        <f t="shared" si="80"/>
        <v>9404.56</v>
      </c>
      <c r="M1039" s="37">
        <f t="shared" si="81"/>
        <v>1.1285476514190604</v>
      </c>
      <c r="N1039" s="17" t="str">
        <f t="shared" si="82"/>
        <v>Over Budget</v>
      </c>
      <c r="O1039" s="38">
        <f t="shared" si="83"/>
        <v>17737.89</v>
      </c>
      <c r="P1039" s="39">
        <f t="shared" si="84"/>
        <v>46113</v>
      </c>
    </row>
    <row r="1040" spans="1:16" ht="15.5" x14ac:dyDescent="0.35">
      <c r="A1040" s="17" t="s">
        <v>1088</v>
      </c>
      <c r="B1040" s="35">
        <v>46073</v>
      </c>
      <c r="C1040" s="17" t="s">
        <v>25</v>
      </c>
      <c r="D1040" s="17" t="s">
        <v>26</v>
      </c>
      <c r="E1040" s="17" t="s">
        <v>109</v>
      </c>
      <c r="F1040" s="17" t="s">
        <v>15</v>
      </c>
      <c r="G1040" s="17" t="s">
        <v>82</v>
      </c>
      <c r="H1040" s="17" t="s">
        <v>2586</v>
      </c>
      <c r="I1040" s="17" t="s">
        <v>48</v>
      </c>
      <c r="J1040" s="36">
        <v>8083.33</v>
      </c>
      <c r="K1040" s="36">
        <v>6987.91</v>
      </c>
      <c r="L1040" s="36">
        <f t="shared" si="80"/>
        <v>-1095.42</v>
      </c>
      <c r="M1040" s="37">
        <f t="shared" si="81"/>
        <v>-0.13551593217151844</v>
      </c>
      <c r="N1040" s="17" t="str">
        <f t="shared" si="82"/>
        <v>Under Budget</v>
      </c>
      <c r="O1040" s="38">
        <f t="shared" si="83"/>
        <v>6987.91</v>
      </c>
      <c r="P1040" s="39">
        <f t="shared" si="84"/>
        <v>46054</v>
      </c>
    </row>
    <row r="1041" spans="1:16" ht="15.5" x14ac:dyDescent="0.35">
      <c r="A1041" s="17" t="s">
        <v>1089</v>
      </c>
      <c r="B1041" s="35">
        <v>45834</v>
      </c>
      <c r="C1041" s="17" t="s">
        <v>25</v>
      </c>
      <c r="D1041" s="17" t="s">
        <v>36</v>
      </c>
      <c r="E1041" s="17" t="s">
        <v>33</v>
      </c>
      <c r="F1041" s="17" t="s">
        <v>15</v>
      </c>
      <c r="G1041" s="17" t="s">
        <v>38</v>
      </c>
      <c r="H1041" s="17" t="s">
        <v>2597</v>
      </c>
      <c r="I1041" s="17" t="s">
        <v>48</v>
      </c>
      <c r="J1041" s="36">
        <v>9615.3799999999992</v>
      </c>
      <c r="K1041" s="36">
        <v>23001.11</v>
      </c>
      <c r="L1041" s="36">
        <f t="shared" si="80"/>
        <v>13385.730000000001</v>
      </c>
      <c r="M1041" s="37">
        <f t="shared" si="81"/>
        <v>1.3921165882159625</v>
      </c>
      <c r="N1041" s="17" t="str">
        <f t="shared" si="82"/>
        <v>Over Budget</v>
      </c>
      <c r="O1041" s="38">
        <f t="shared" si="83"/>
        <v>23001.11</v>
      </c>
      <c r="P1041" s="39">
        <f t="shared" si="84"/>
        <v>45809</v>
      </c>
    </row>
    <row r="1042" spans="1:16" ht="15.5" x14ac:dyDescent="0.35">
      <c r="A1042" s="17" t="s">
        <v>1090</v>
      </c>
      <c r="B1042" s="35">
        <v>46187</v>
      </c>
      <c r="C1042" s="17" t="s">
        <v>12</v>
      </c>
      <c r="D1042" s="17" t="s">
        <v>19</v>
      </c>
      <c r="E1042" s="17" t="s">
        <v>45</v>
      </c>
      <c r="F1042" s="17" t="s">
        <v>52</v>
      </c>
      <c r="G1042" s="17" t="s">
        <v>43</v>
      </c>
      <c r="H1042" s="17" t="s">
        <v>2597</v>
      </c>
      <c r="I1042" s="17" t="s">
        <v>39</v>
      </c>
      <c r="J1042" s="36">
        <v>8571.43</v>
      </c>
      <c r="K1042" s="36">
        <v>15711.26</v>
      </c>
      <c r="L1042" s="36">
        <f t="shared" si="80"/>
        <v>7139.83</v>
      </c>
      <c r="M1042" s="37">
        <f t="shared" si="81"/>
        <v>0.83298002783666203</v>
      </c>
      <c r="N1042" s="17" t="str">
        <f t="shared" si="82"/>
        <v>Over Budget</v>
      </c>
      <c r="O1042" s="38">
        <f t="shared" si="83"/>
        <v>-15711.26</v>
      </c>
      <c r="P1042" s="39">
        <f t="shared" si="84"/>
        <v>46174</v>
      </c>
    </row>
    <row r="1043" spans="1:16" ht="15.5" x14ac:dyDescent="0.35">
      <c r="A1043" s="17" t="s">
        <v>1091</v>
      </c>
      <c r="B1043" s="35">
        <v>46015</v>
      </c>
      <c r="C1043" s="17" t="s">
        <v>12</v>
      </c>
      <c r="D1043" s="17" t="s">
        <v>2585</v>
      </c>
      <c r="E1043" s="17" t="s">
        <v>45</v>
      </c>
      <c r="F1043" s="17" t="s">
        <v>34</v>
      </c>
      <c r="G1043" s="17" t="s">
        <v>38</v>
      </c>
      <c r="H1043" s="17" t="s">
        <v>2596</v>
      </c>
      <c r="I1043" s="17" t="s">
        <v>39</v>
      </c>
      <c r="J1043" s="36">
        <v>7875</v>
      </c>
      <c r="K1043" s="36">
        <v>2180.8200000000002</v>
      </c>
      <c r="L1043" s="36">
        <f t="shared" si="80"/>
        <v>-5694.18</v>
      </c>
      <c r="M1043" s="37">
        <f t="shared" si="81"/>
        <v>-0.72307047619047626</v>
      </c>
      <c r="N1043" s="17" t="str">
        <f t="shared" si="82"/>
        <v>Under Budget</v>
      </c>
      <c r="O1043" s="38">
        <f t="shared" si="83"/>
        <v>-2180.8200000000002</v>
      </c>
      <c r="P1043" s="39">
        <f t="shared" si="84"/>
        <v>45992</v>
      </c>
    </row>
    <row r="1044" spans="1:16" ht="15.5" x14ac:dyDescent="0.35">
      <c r="A1044" s="17" t="s">
        <v>1092</v>
      </c>
      <c r="B1044" s="35">
        <v>45821</v>
      </c>
      <c r="C1044" s="17" t="s">
        <v>25</v>
      </c>
      <c r="D1044" s="17" t="s">
        <v>2585</v>
      </c>
      <c r="E1044" s="17" t="s">
        <v>33</v>
      </c>
      <c r="F1044" s="17" t="s">
        <v>34</v>
      </c>
      <c r="G1044" s="17" t="s">
        <v>43</v>
      </c>
      <c r="H1044" s="17" t="s">
        <v>2596</v>
      </c>
      <c r="I1044" s="17" t="s">
        <v>2583</v>
      </c>
      <c r="J1044" s="36">
        <v>9615.3799999999992</v>
      </c>
      <c r="K1044" s="36">
        <v>4427.1000000000004</v>
      </c>
      <c r="L1044" s="36">
        <f t="shared" si="80"/>
        <v>-5188.2799999999988</v>
      </c>
      <c r="M1044" s="37">
        <f t="shared" si="81"/>
        <v>-0.53958137899906189</v>
      </c>
      <c r="N1044" s="17" t="str">
        <f t="shared" si="82"/>
        <v>Under Budget</v>
      </c>
      <c r="O1044" s="38">
        <f t="shared" si="83"/>
        <v>4427.1000000000004</v>
      </c>
      <c r="P1044" s="39">
        <f t="shared" si="84"/>
        <v>45809</v>
      </c>
    </row>
    <row r="1045" spans="1:16" ht="15.5" x14ac:dyDescent="0.35">
      <c r="A1045" s="17" t="s">
        <v>1093</v>
      </c>
      <c r="B1045" s="35">
        <v>45959</v>
      </c>
      <c r="C1045" s="17" t="s">
        <v>12</v>
      </c>
      <c r="D1045" s="17" t="s">
        <v>36</v>
      </c>
      <c r="E1045" s="17" t="s">
        <v>77</v>
      </c>
      <c r="F1045" s="17" t="s">
        <v>52</v>
      </c>
      <c r="G1045" s="17" t="s">
        <v>82</v>
      </c>
      <c r="H1045" s="17" t="s">
        <v>2596</v>
      </c>
      <c r="I1045" s="17" t="s">
        <v>30</v>
      </c>
      <c r="J1045" s="36">
        <v>5500</v>
      </c>
      <c r="K1045" s="36">
        <v>288.01</v>
      </c>
      <c r="L1045" s="36">
        <f t="shared" si="80"/>
        <v>-5211.99</v>
      </c>
      <c r="M1045" s="37">
        <f t="shared" si="81"/>
        <v>-0.9476345454545454</v>
      </c>
      <c r="N1045" s="17" t="str">
        <f t="shared" si="82"/>
        <v>Under Budget</v>
      </c>
      <c r="O1045" s="38">
        <f t="shared" si="83"/>
        <v>-288.01</v>
      </c>
      <c r="P1045" s="39">
        <f t="shared" si="84"/>
        <v>45931</v>
      </c>
    </row>
    <row r="1046" spans="1:16" ht="15.5" x14ac:dyDescent="0.35">
      <c r="A1046" s="17" t="s">
        <v>1094</v>
      </c>
      <c r="B1046" s="35">
        <v>46056</v>
      </c>
      <c r="C1046" s="17" t="s">
        <v>25</v>
      </c>
      <c r="D1046" s="17" t="s">
        <v>2585</v>
      </c>
      <c r="E1046" s="17" t="s">
        <v>109</v>
      </c>
      <c r="F1046" s="17" t="s">
        <v>52</v>
      </c>
      <c r="G1046" s="17" t="s">
        <v>82</v>
      </c>
      <c r="H1046" s="17" t="s">
        <v>2596</v>
      </c>
      <c r="I1046" s="17" t="s">
        <v>23</v>
      </c>
      <c r="J1046" s="36">
        <v>8083.33</v>
      </c>
      <c r="K1046" s="36">
        <v>12306.71</v>
      </c>
      <c r="L1046" s="36">
        <f t="shared" si="80"/>
        <v>4223.3799999999992</v>
      </c>
      <c r="M1046" s="37">
        <f t="shared" si="81"/>
        <v>0.52248021545575885</v>
      </c>
      <c r="N1046" s="17" t="str">
        <f t="shared" si="82"/>
        <v>Over Budget</v>
      </c>
      <c r="O1046" s="38">
        <f t="shared" si="83"/>
        <v>12306.71</v>
      </c>
      <c r="P1046" s="39">
        <f t="shared" si="84"/>
        <v>46054</v>
      </c>
    </row>
    <row r="1047" spans="1:16" ht="15.5" x14ac:dyDescent="0.35">
      <c r="A1047" s="17" t="s">
        <v>1095</v>
      </c>
      <c r="B1047" s="35">
        <v>46096</v>
      </c>
      <c r="C1047" s="17" t="s">
        <v>12</v>
      </c>
      <c r="D1047" s="17" t="s">
        <v>26</v>
      </c>
      <c r="E1047" s="17" t="s">
        <v>37</v>
      </c>
      <c r="F1047" s="17" t="s">
        <v>15</v>
      </c>
      <c r="G1047" s="17" t="s">
        <v>38</v>
      </c>
      <c r="H1047" s="17" t="s">
        <v>2593</v>
      </c>
      <c r="I1047" s="17" t="s">
        <v>17</v>
      </c>
      <c r="J1047" s="36">
        <v>4000</v>
      </c>
      <c r="K1047" s="36">
        <v>1973.51</v>
      </c>
      <c r="L1047" s="36">
        <f t="shared" si="80"/>
        <v>-2026.49</v>
      </c>
      <c r="M1047" s="37">
        <f t="shared" si="81"/>
        <v>-0.50662249999999998</v>
      </c>
      <c r="N1047" s="17" t="str">
        <f t="shared" si="82"/>
        <v>Under Budget</v>
      </c>
      <c r="O1047" s="38">
        <f t="shared" si="83"/>
        <v>-1973.51</v>
      </c>
      <c r="P1047" s="39">
        <f t="shared" si="84"/>
        <v>46082</v>
      </c>
    </row>
    <row r="1048" spans="1:16" ht="15.5" x14ac:dyDescent="0.35">
      <c r="A1048" s="17" t="s">
        <v>1096</v>
      </c>
      <c r="B1048" s="35">
        <v>45955</v>
      </c>
      <c r="C1048" s="17" t="s">
        <v>25</v>
      </c>
      <c r="D1048" s="17" t="s">
        <v>36</v>
      </c>
      <c r="E1048" s="17" t="s">
        <v>33</v>
      </c>
      <c r="F1048" s="17" t="s">
        <v>28</v>
      </c>
      <c r="G1048" s="17" t="s">
        <v>43</v>
      </c>
      <c r="H1048" s="17" t="s">
        <v>2594</v>
      </c>
      <c r="I1048" s="17" t="s">
        <v>39</v>
      </c>
      <c r="J1048" s="36">
        <v>8928.57</v>
      </c>
      <c r="K1048" s="36">
        <v>5466.66</v>
      </c>
      <c r="L1048" s="36">
        <f t="shared" si="80"/>
        <v>-3461.91</v>
      </c>
      <c r="M1048" s="37">
        <f t="shared" si="81"/>
        <v>-0.38773398203743714</v>
      </c>
      <c r="N1048" s="17" t="str">
        <f t="shared" si="82"/>
        <v>Under Budget</v>
      </c>
      <c r="O1048" s="38">
        <f t="shared" si="83"/>
        <v>5466.66</v>
      </c>
      <c r="P1048" s="39">
        <f t="shared" si="84"/>
        <v>45931</v>
      </c>
    </row>
    <row r="1049" spans="1:16" ht="15.5" x14ac:dyDescent="0.35">
      <c r="A1049" s="17" t="s">
        <v>1097</v>
      </c>
      <c r="B1049" s="35">
        <v>45778</v>
      </c>
      <c r="C1049" s="17" t="s">
        <v>12</v>
      </c>
      <c r="D1049" s="17" t="s">
        <v>2584</v>
      </c>
      <c r="E1049" s="17" t="s">
        <v>20</v>
      </c>
      <c r="F1049" s="17" t="s">
        <v>34</v>
      </c>
      <c r="G1049" s="17" t="s">
        <v>38</v>
      </c>
      <c r="H1049" s="17" t="s">
        <v>2591</v>
      </c>
      <c r="I1049" s="17" t="s">
        <v>48</v>
      </c>
      <c r="J1049" s="36">
        <v>2250</v>
      </c>
      <c r="K1049" s="36">
        <v>919.21</v>
      </c>
      <c r="L1049" s="36">
        <f t="shared" si="80"/>
        <v>-1330.79</v>
      </c>
      <c r="M1049" s="37">
        <f t="shared" si="81"/>
        <v>-0.59146222222222222</v>
      </c>
      <c r="N1049" s="17" t="str">
        <f t="shared" si="82"/>
        <v>Under Budget</v>
      </c>
      <c r="O1049" s="38">
        <f t="shared" si="83"/>
        <v>-919.21</v>
      </c>
      <c r="P1049" s="39">
        <f t="shared" si="84"/>
        <v>45778</v>
      </c>
    </row>
    <row r="1050" spans="1:16" ht="15.5" x14ac:dyDescent="0.35">
      <c r="A1050" s="17" t="s">
        <v>1098</v>
      </c>
      <c r="B1050" s="35">
        <v>45982</v>
      </c>
      <c r="C1050" s="17" t="s">
        <v>12</v>
      </c>
      <c r="D1050" s="17" t="s">
        <v>2585</v>
      </c>
      <c r="E1050" s="17" t="s">
        <v>74</v>
      </c>
      <c r="F1050" s="17" t="s">
        <v>34</v>
      </c>
      <c r="G1050" s="17" t="s">
        <v>43</v>
      </c>
      <c r="H1050" s="17" t="s">
        <v>2593</v>
      </c>
      <c r="I1050" s="17" t="s">
        <v>48</v>
      </c>
      <c r="J1050" s="36">
        <v>4666.67</v>
      </c>
      <c r="K1050" s="36">
        <v>2661.88</v>
      </c>
      <c r="L1050" s="36">
        <f t="shared" si="80"/>
        <v>-2004.79</v>
      </c>
      <c r="M1050" s="37">
        <f t="shared" si="81"/>
        <v>-0.42959755028746405</v>
      </c>
      <c r="N1050" s="17" t="str">
        <f t="shared" si="82"/>
        <v>Under Budget</v>
      </c>
      <c r="O1050" s="38">
        <f t="shared" si="83"/>
        <v>-2661.88</v>
      </c>
      <c r="P1050" s="39">
        <f t="shared" si="84"/>
        <v>45962</v>
      </c>
    </row>
    <row r="1051" spans="1:16" ht="15.5" x14ac:dyDescent="0.35">
      <c r="A1051" s="17" t="s">
        <v>1099</v>
      </c>
      <c r="B1051" s="35">
        <v>45857</v>
      </c>
      <c r="C1051" s="17" t="s">
        <v>12</v>
      </c>
      <c r="D1051" s="17" t="s">
        <v>2585</v>
      </c>
      <c r="E1051" s="17" t="s">
        <v>45</v>
      </c>
      <c r="F1051" s="17" t="s">
        <v>21</v>
      </c>
      <c r="G1051" s="17" t="s">
        <v>29</v>
      </c>
      <c r="H1051" s="17" t="s">
        <v>2590</v>
      </c>
      <c r="I1051" s="17" t="s">
        <v>30</v>
      </c>
      <c r="J1051" s="36">
        <v>6923.08</v>
      </c>
      <c r="K1051" s="36">
        <v>10214.040000000001</v>
      </c>
      <c r="L1051" s="36">
        <f t="shared" si="80"/>
        <v>3290.9600000000009</v>
      </c>
      <c r="M1051" s="37">
        <f t="shared" si="81"/>
        <v>0.47536067761747675</v>
      </c>
      <c r="N1051" s="17" t="str">
        <f t="shared" si="82"/>
        <v>Over Budget</v>
      </c>
      <c r="O1051" s="38">
        <f t="shared" si="83"/>
        <v>-10214.040000000001</v>
      </c>
      <c r="P1051" s="39">
        <f t="shared" si="84"/>
        <v>45839</v>
      </c>
    </row>
    <row r="1052" spans="1:16" ht="15.5" x14ac:dyDescent="0.35">
      <c r="A1052" s="17" t="s">
        <v>1100</v>
      </c>
      <c r="B1052" s="35">
        <v>45893</v>
      </c>
      <c r="C1052" s="17" t="s">
        <v>25</v>
      </c>
      <c r="D1052" s="17" t="s">
        <v>13</v>
      </c>
      <c r="E1052" s="17" t="s">
        <v>109</v>
      </c>
      <c r="F1052" s="17" t="s">
        <v>21</v>
      </c>
      <c r="G1052" s="17" t="s">
        <v>38</v>
      </c>
      <c r="H1052" s="17" t="s">
        <v>2595</v>
      </c>
      <c r="I1052" s="17" t="s">
        <v>17</v>
      </c>
      <c r="J1052" s="36">
        <v>7142.86</v>
      </c>
      <c r="K1052" s="36">
        <v>16817.25</v>
      </c>
      <c r="L1052" s="36">
        <f t="shared" si="80"/>
        <v>9674.39</v>
      </c>
      <c r="M1052" s="37">
        <f t="shared" si="81"/>
        <v>1.3544140582343767</v>
      </c>
      <c r="N1052" s="17" t="str">
        <f t="shared" si="82"/>
        <v>Over Budget</v>
      </c>
      <c r="O1052" s="38">
        <f t="shared" si="83"/>
        <v>16817.25</v>
      </c>
      <c r="P1052" s="39">
        <f t="shared" si="84"/>
        <v>45870</v>
      </c>
    </row>
    <row r="1053" spans="1:16" ht="15.5" x14ac:dyDescent="0.35">
      <c r="A1053" s="17" t="s">
        <v>1101</v>
      </c>
      <c r="B1053" s="35">
        <v>46129</v>
      </c>
      <c r="C1053" s="17" t="s">
        <v>12</v>
      </c>
      <c r="D1053" s="17" t="s">
        <v>2584</v>
      </c>
      <c r="E1053" s="17" t="s">
        <v>41</v>
      </c>
      <c r="F1053" s="17" t="s">
        <v>28</v>
      </c>
      <c r="G1053" s="17" t="s">
        <v>38</v>
      </c>
      <c r="H1053" s="17" t="s">
        <v>80</v>
      </c>
      <c r="I1053" s="17" t="s">
        <v>30</v>
      </c>
      <c r="J1053" s="36">
        <v>10833.33</v>
      </c>
      <c r="K1053" s="36">
        <v>8551.27</v>
      </c>
      <c r="L1053" s="36">
        <f t="shared" si="80"/>
        <v>-2282.0599999999995</v>
      </c>
      <c r="M1053" s="37">
        <f t="shared" si="81"/>
        <v>-0.21065175712361753</v>
      </c>
      <c r="N1053" s="17" t="str">
        <f t="shared" si="82"/>
        <v>Under Budget</v>
      </c>
      <c r="O1053" s="38">
        <f t="shared" si="83"/>
        <v>-8551.27</v>
      </c>
      <c r="P1053" s="39">
        <f t="shared" si="84"/>
        <v>46113</v>
      </c>
    </row>
    <row r="1054" spans="1:16" ht="15.5" x14ac:dyDescent="0.35">
      <c r="A1054" s="17" t="s">
        <v>1102</v>
      </c>
      <c r="B1054" s="35">
        <v>46015</v>
      </c>
      <c r="C1054" s="17" t="s">
        <v>12</v>
      </c>
      <c r="D1054" s="17" t="s">
        <v>36</v>
      </c>
      <c r="E1054" s="17" t="s">
        <v>65</v>
      </c>
      <c r="F1054" s="17" t="s">
        <v>21</v>
      </c>
      <c r="G1054" s="17" t="s">
        <v>43</v>
      </c>
      <c r="H1054" s="17" t="s">
        <v>60</v>
      </c>
      <c r="I1054" s="17" t="s">
        <v>30</v>
      </c>
      <c r="J1054" s="36">
        <v>4125</v>
      </c>
      <c r="K1054" s="36">
        <v>2737.2</v>
      </c>
      <c r="L1054" s="36">
        <f t="shared" si="80"/>
        <v>-1387.8000000000002</v>
      </c>
      <c r="M1054" s="37">
        <f t="shared" si="81"/>
        <v>-0.3364363636363637</v>
      </c>
      <c r="N1054" s="17" t="str">
        <f t="shared" si="82"/>
        <v>Under Budget</v>
      </c>
      <c r="O1054" s="38">
        <f t="shared" si="83"/>
        <v>-2737.2</v>
      </c>
      <c r="P1054" s="39">
        <f t="shared" si="84"/>
        <v>45992</v>
      </c>
    </row>
    <row r="1055" spans="1:16" ht="15.5" x14ac:dyDescent="0.35">
      <c r="A1055" s="17" t="s">
        <v>1103</v>
      </c>
      <c r="B1055" s="35">
        <v>45738</v>
      </c>
      <c r="C1055" s="17" t="s">
        <v>12</v>
      </c>
      <c r="D1055" s="17" t="s">
        <v>26</v>
      </c>
      <c r="E1055" s="17" t="s">
        <v>51</v>
      </c>
      <c r="F1055" s="17" t="s">
        <v>34</v>
      </c>
      <c r="G1055" s="17" t="s">
        <v>38</v>
      </c>
      <c r="H1055" s="17" t="s">
        <v>2594</v>
      </c>
      <c r="I1055" s="17" t="s">
        <v>23</v>
      </c>
      <c r="J1055" s="36">
        <v>3000</v>
      </c>
      <c r="K1055" s="36">
        <v>7730.67</v>
      </c>
      <c r="L1055" s="36">
        <f t="shared" si="80"/>
        <v>4730.67</v>
      </c>
      <c r="M1055" s="37">
        <f t="shared" si="81"/>
        <v>1.5768900000000001</v>
      </c>
      <c r="N1055" s="17" t="str">
        <f t="shared" si="82"/>
        <v>Over Budget</v>
      </c>
      <c r="O1055" s="38">
        <f t="shared" si="83"/>
        <v>-7730.67</v>
      </c>
      <c r="P1055" s="39">
        <f t="shared" si="84"/>
        <v>45717</v>
      </c>
    </row>
    <row r="1056" spans="1:16" ht="15.5" x14ac:dyDescent="0.35">
      <c r="A1056" s="17" t="s">
        <v>1104</v>
      </c>
      <c r="B1056" s="35">
        <v>45904</v>
      </c>
      <c r="C1056" s="17" t="s">
        <v>12</v>
      </c>
      <c r="D1056" s="17" t="s">
        <v>19</v>
      </c>
      <c r="E1056" s="17" t="s">
        <v>51</v>
      </c>
      <c r="F1056" s="17" t="s">
        <v>21</v>
      </c>
      <c r="G1056" s="17" t="s">
        <v>29</v>
      </c>
      <c r="H1056" s="17" t="s">
        <v>80</v>
      </c>
      <c r="I1056" s="17" t="s">
        <v>23</v>
      </c>
      <c r="J1056" s="36">
        <v>5000</v>
      </c>
      <c r="K1056" s="36">
        <v>3653.45</v>
      </c>
      <c r="L1056" s="36">
        <f t="shared" si="80"/>
        <v>-1346.5500000000002</v>
      </c>
      <c r="M1056" s="37">
        <f t="shared" si="81"/>
        <v>-0.26931000000000005</v>
      </c>
      <c r="N1056" s="17" t="str">
        <f t="shared" si="82"/>
        <v>Under Budget</v>
      </c>
      <c r="O1056" s="38">
        <f t="shared" si="83"/>
        <v>-3653.45</v>
      </c>
      <c r="P1056" s="39">
        <f t="shared" si="84"/>
        <v>45901</v>
      </c>
    </row>
    <row r="1057" spans="1:16" ht="15.5" x14ac:dyDescent="0.35">
      <c r="A1057" s="17" t="s">
        <v>1105</v>
      </c>
      <c r="B1057" s="35">
        <v>46049</v>
      </c>
      <c r="C1057" s="17" t="s">
        <v>25</v>
      </c>
      <c r="D1057" s="17" t="s">
        <v>32</v>
      </c>
      <c r="E1057" s="17" t="s">
        <v>33</v>
      </c>
      <c r="F1057" s="17" t="s">
        <v>52</v>
      </c>
      <c r="G1057" s="17" t="s">
        <v>22</v>
      </c>
      <c r="H1057" s="17" t="s">
        <v>2586</v>
      </c>
      <c r="I1057" s="17" t="s">
        <v>39</v>
      </c>
      <c r="J1057" s="36">
        <v>11547.62</v>
      </c>
      <c r="K1057" s="36">
        <v>21647.5</v>
      </c>
      <c r="L1057" s="36">
        <f t="shared" si="80"/>
        <v>10099.879999999999</v>
      </c>
      <c r="M1057" s="37">
        <f t="shared" si="81"/>
        <v>0.87462871137082776</v>
      </c>
      <c r="N1057" s="17" t="str">
        <f t="shared" si="82"/>
        <v>Over Budget</v>
      </c>
      <c r="O1057" s="38">
        <f t="shared" si="83"/>
        <v>21647.5</v>
      </c>
      <c r="P1057" s="39">
        <f t="shared" si="84"/>
        <v>46023</v>
      </c>
    </row>
    <row r="1058" spans="1:16" ht="15.5" x14ac:dyDescent="0.35">
      <c r="A1058" s="17" t="s">
        <v>1106</v>
      </c>
      <c r="B1058" s="35">
        <v>45819</v>
      </c>
      <c r="C1058" s="17" t="s">
        <v>12</v>
      </c>
      <c r="D1058" s="17" t="s">
        <v>36</v>
      </c>
      <c r="E1058" s="17" t="s">
        <v>74</v>
      </c>
      <c r="F1058" s="17" t="s">
        <v>15</v>
      </c>
      <c r="G1058" s="17" t="s">
        <v>38</v>
      </c>
      <c r="H1058" s="17" t="s">
        <v>2587</v>
      </c>
      <c r="I1058" s="17" t="s">
        <v>23</v>
      </c>
      <c r="J1058" s="36">
        <v>6666.67</v>
      </c>
      <c r="K1058" s="36">
        <v>1044.75</v>
      </c>
      <c r="L1058" s="36">
        <f t="shared" si="80"/>
        <v>-5621.92</v>
      </c>
      <c r="M1058" s="37">
        <f t="shared" si="81"/>
        <v>-0.84328757835621082</v>
      </c>
      <c r="N1058" s="17" t="str">
        <f t="shared" si="82"/>
        <v>Under Budget</v>
      </c>
      <c r="O1058" s="38">
        <f t="shared" si="83"/>
        <v>-1044.75</v>
      </c>
      <c r="P1058" s="39">
        <f t="shared" si="84"/>
        <v>45809</v>
      </c>
    </row>
    <row r="1059" spans="1:16" ht="15.5" x14ac:dyDescent="0.35">
      <c r="A1059" s="17" t="s">
        <v>1107</v>
      </c>
      <c r="B1059" s="35">
        <v>45830</v>
      </c>
      <c r="C1059" s="17" t="s">
        <v>12</v>
      </c>
      <c r="D1059" s="17" t="s">
        <v>2585</v>
      </c>
      <c r="E1059" s="17" t="s">
        <v>77</v>
      </c>
      <c r="F1059" s="17" t="s">
        <v>34</v>
      </c>
      <c r="G1059" s="17" t="s">
        <v>43</v>
      </c>
      <c r="H1059" s="17" t="s">
        <v>60</v>
      </c>
      <c r="I1059" s="17" t="s">
        <v>30</v>
      </c>
      <c r="J1059" s="36">
        <v>3666.67</v>
      </c>
      <c r="K1059" s="36">
        <v>3693.08</v>
      </c>
      <c r="L1059" s="36">
        <f t="shared" si="80"/>
        <v>26.409999999999854</v>
      </c>
      <c r="M1059" s="37">
        <f t="shared" si="81"/>
        <v>7.2027207247993014E-3</v>
      </c>
      <c r="N1059" s="17" t="str">
        <f t="shared" si="82"/>
        <v>Over Budget</v>
      </c>
      <c r="O1059" s="38">
        <f t="shared" si="83"/>
        <v>-3693.08</v>
      </c>
      <c r="P1059" s="39">
        <f t="shared" si="84"/>
        <v>45809</v>
      </c>
    </row>
    <row r="1060" spans="1:16" ht="15.5" x14ac:dyDescent="0.35">
      <c r="A1060" s="17" t="s">
        <v>1108</v>
      </c>
      <c r="B1060" s="35">
        <v>45780</v>
      </c>
      <c r="C1060" s="17" t="s">
        <v>12</v>
      </c>
      <c r="D1060" s="17" t="s">
        <v>2584</v>
      </c>
      <c r="E1060" s="17" t="s">
        <v>20</v>
      </c>
      <c r="F1060" s="17" t="s">
        <v>28</v>
      </c>
      <c r="G1060" s="17" t="s">
        <v>22</v>
      </c>
      <c r="H1060" s="17" t="s">
        <v>2592</v>
      </c>
      <c r="I1060" s="17" t="s">
        <v>30</v>
      </c>
      <c r="J1060" s="36">
        <v>2250</v>
      </c>
      <c r="K1060" s="36">
        <v>964.34</v>
      </c>
      <c r="L1060" s="36">
        <f t="shared" si="80"/>
        <v>-1285.6599999999999</v>
      </c>
      <c r="M1060" s="37">
        <f t="shared" si="81"/>
        <v>-0.57140444444444438</v>
      </c>
      <c r="N1060" s="17" t="str">
        <f t="shared" si="82"/>
        <v>Under Budget</v>
      </c>
      <c r="O1060" s="38">
        <f t="shared" si="83"/>
        <v>-964.34</v>
      </c>
      <c r="P1060" s="39">
        <f t="shared" si="84"/>
        <v>45778</v>
      </c>
    </row>
    <row r="1061" spans="1:16" ht="15.5" x14ac:dyDescent="0.35">
      <c r="A1061" s="17" t="s">
        <v>1109</v>
      </c>
      <c r="B1061" s="35">
        <v>46100</v>
      </c>
      <c r="C1061" s="17" t="s">
        <v>25</v>
      </c>
      <c r="D1061" s="17" t="s">
        <v>32</v>
      </c>
      <c r="E1061" s="17" t="s">
        <v>33</v>
      </c>
      <c r="F1061" s="17" t="s">
        <v>28</v>
      </c>
      <c r="G1061" s="17" t="s">
        <v>38</v>
      </c>
      <c r="H1061" s="17" t="s">
        <v>2590</v>
      </c>
      <c r="I1061" s="17" t="s">
        <v>30</v>
      </c>
      <c r="J1061" s="36">
        <v>11363.64</v>
      </c>
      <c r="K1061" s="36">
        <v>19922.12</v>
      </c>
      <c r="L1061" s="36">
        <f t="shared" si="80"/>
        <v>8558.48</v>
      </c>
      <c r="M1061" s="37">
        <f t="shared" si="81"/>
        <v>0.75314599899328027</v>
      </c>
      <c r="N1061" s="17" t="str">
        <f t="shared" si="82"/>
        <v>Over Budget</v>
      </c>
      <c r="O1061" s="38">
        <f t="shared" si="83"/>
        <v>19922.12</v>
      </c>
      <c r="P1061" s="39">
        <f t="shared" si="84"/>
        <v>46082</v>
      </c>
    </row>
    <row r="1062" spans="1:16" ht="15.5" x14ac:dyDescent="0.35">
      <c r="A1062" s="17" t="s">
        <v>1110</v>
      </c>
      <c r="B1062" s="35">
        <v>45714</v>
      </c>
      <c r="C1062" s="17" t="s">
        <v>25</v>
      </c>
      <c r="D1062" s="17" t="s">
        <v>36</v>
      </c>
      <c r="E1062" s="17" t="s">
        <v>27</v>
      </c>
      <c r="F1062" s="17" t="s">
        <v>21</v>
      </c>
      <c r="G1062" s="17" t="s">
        <v>29</v>
      </c>
      <c r="H1062" s="17" t="s">
        <v>2597</v>
      </c>
      <c r="I1062" s="17" t="s">
        <v>23</v>
      </c>
      <c r="J1062" s="36">
        <v>4850</v>
      </c>
      <c r="K1062" s="36">
        <v>6211.83</v>
      </c>
      <c r="L1062" s="36">
        <f t="shared" si="80"/>
        <v>1361.83</v>
      </c>
      <c r="M1062" s="37">
        <f t="shared" si="81"/>
        <v>0.28078969072164944</v>
      </c>
      <c r="N1062" s="17" t="str">
        <f t="shared" si="82"/>
        <v>Over Budget</v>
      </c>
      <c r="O1062" s="38">
        <f t="shared" si="83"/>
        <v>6211.83</v>
      </c>
      <c r="P1062" s="39">
        <f t="shared" si="84"/>
        <v>45689</v>
      </c>
    </row>
    <row r="1063" spans="1:16" ht="15.5" x14ac:dyDescent="0.35">
      <c r="A1063" s="17" t="s">
        <v>1111</v>
      </c>
      <c r="B1063" s="35">
        <v>45818</v>
      </c>
      <c r="C1063" s="17" t="s">
        <v>12</v>
      </c>
      <c r="D1063" s="17" t="s">
        <v>19</v>
      </c>
      <c r="E1063" s="17" t="s">
        <v>45</v>
      </c>
      <c r="F1063" s="17" t="s">
        <v>15</v>
      </c>
      <c r="G1063" s="17" t="s">
        <v>43</v>
      </c>
      <c r="H1063" s="17" t="s">
        <v>2586</v>
      </c>
      <c r="I1063" s="17" t="s">
        <v>48</v>
      </c>
      <c r="J1063" s="36">
        <v>6428.57</v>
      </c>
      <c r="K1063" s="36">
        <v>7752.27</v>
      </c>
      <c r="L1063" s="36">
        <f t="shared" si="80"/>
        <v>1323.7000000000007</v>
      </c>
      <c r="M1063" s="37">
        <f t="shared" si="81"/>
        <v>0.20590893464643004</v>
      </c>
      <c r="N1063" s="17" t="str">
        <f t="shared" si="82"/>
        <v>Over Budget</v>
      </c>
      <c r="O1063" s="38">
        <f t="shared" si="83"/>
        <v>-7752.27</v>
      </c>
      <c r="P1063" s="39">
        <f t="shared" si="84"/>
        <v>45809</v>
      </c>
    </row>
    <row r="1064" spans="1:16" ht="15.5" x14ac:dyDescent="0.35">
      <c r="A1064" s="17" t="s">
        <v>1112</v>
      </c>
      <c r="B1064" s="35">
        <v>45664</v>
      </c>
      <c r="C1064" s="17" t="s">
        <v>12</v>
      </c>
      <c r="D1064" s="17" t="s">
        <v>32</v>
      </c>
      <c r="E1064" s="17" t="s">
        <v>47</v>
      </c>
      <c r="F1064" s="17" t="s">
        <v>21</v>
      </c>
      <c r="G1064" s="17" t="s">
        <v>38</v>
      </c>
      <c r="H1064" s="17" t="s">
        <v>2593</v>
      </c>
      <c r="I1064" s="17" t="s">
        <v>39</v>
      </c>
      <c r="J1064" s="36">
        <v>5658.33</v>
      </c>
      <c r="K1064" s="36">
        <v>189.59</v>
      </c>
      <c r="L1064" s="36">
        <f t="shared" si="80"/>
        <v>-5468.74</v>
      </c>
      <c r="M1064" s="37">
        <f t="shared" si="81"/>
        <v>-0.96649364741893806</v>
      </c>
      <c r="N1064" s="17" t="str">
        <f t="shared" si="82"/>
        <v>Under Budget</v>
      </c>
      <c r="O1064" s="38">
        <f t="shared" si="83"/>
        <v>-189.59</v>
      </c>
      <c r="P1064" s="39">
        <f t="shared" si="84"/>
        <v>45658</v>
      </c>
    </row>
    <row r="1065" spans="1:16" ht="15.5" x14ac:dyDescent="0.35">
      <c r="A1065" s="17" t="s">
        <v>1113</v>
      </c>
      <c r="B1065" s="35">
        <v>45877</v>
      </c>
      <c r="C1065" s="17" t="s">
        <v>25</v>
      </c>
      <c r="D1065" s="17" t="s">
        <v>32</v>
      </c>
      <c r="E1065" s="17" t="s">
        <v>109</v>
      </c>
      <c r="F1065" s="17" t="s">
        <v>15</v>
      </c>
      <c r="G1065" s="17" t="s">
        <v>38</v>
      </c>
      <c r="H1065" s="17" t="s">
        <v>2591</v>
      </c>
      <c r="I1065" s="17" t="s">
        <v>48</v>
      </c>
      <c r="J1065" s="36">
        <v>7142.86</v>
      </c>
      <c r="K1065" s="36">
        <v>17060.52</v>
      </c>
      <c r="L1065" s="36">
        <f t="shared" si="80"/>
        <v>9917.66</v>
      </c>
      <c r="M1065" s="37">
        <f t="shared" si="81"/>
        <v>1.3884718446112623</v>
      </c>
      <c r="N1065" s="17" t="str">
        <f t="shared" si="82"/>
        <v>Over Budget</v>
      </c>
      <c r="O1065" s="38">
        <f t="shared" si="83"/>
        <v>17060.52</v>
      </c>
      <c r="P1065" s="39">
        <f t="shared" si="84"/>
        <v>45870</v>
      </c>
    </row>
    <row r="1066" spans="1:16" ht="15.5" x14ac:dyDescent="0.35">
      <c r="A1066" s="17" t="s">
        <v>1114</v>
      </c>
      <c r="B1066" s="35">
        <v>46083</v>
      </c>
      <c r="C1066" s="17" t="s">
        <v>12</v>
      </c>
      <c r="D1066" s="17" t="s">
        <v>2585</v>
      </c>
      <c r="E1066" s="17" t="s">
        <v>20</v>
      </c>
      <c r="F1066" s="17" t="s">
        <v>52</v>
      </c>
      <c r="G1066" s="17" t="s">
        <v>22</v>
      </c>
      <c r="H1066" s="17" t="s">
        <v>2595</v>
      </c>
      <c r="I1066" s="17" t="s">
        <v>23</v>
      </c>
      <c r="J1066" s="36">
        <v>2571.4299999999998</v>
      </c>
      <c r="K1066" s="36">
        <v>1675.24</v>
      </c>
      <c r="L1066" s="36">
        <f t="shared" si="80"/>
        <v>-896.18999999999983</v>
      </c>
      <c r="M1066" s="37">
        <f t="shared" si="81"/>
        <v>-0.34851813971214457</v>
      </c>
      <c r="N1066" s="17" t="str">
        <f t="shared" si="82"/>
        <v>Under Budget</v>
      </c>
      <c r="O1066" s="38">
        <f t="shared" si="83"/>
        <v>-1675.24</v>
      </c>
      <c r="P1066" s="39">
        <f t="shared" si="84"/>
        <v>46082</v>
      </c>
    </row>
    <row r="1067" spans="1:16" ht="15.5" x14ac:dyDescent="0.35">
      <c r="A1067" s="17" t="s">
        <v>1115</v>
      </c>
      <c r="B1067" s="35">
        <v>45917</v>
      </c>
      <c r="C1067" s="17" t="s">
        <v>12</v>
      </c>
      <c r="D1067" s="17" t="s">
        <v>2584</v>
      </c>
      <c r="E1067" s="17" t="s">
        <v>74</v>
      </c>
      <c r="F1067" s="17" t="s">
        <v>21</v>
      </c>
      <c r="G1067" s="17" t="s">
        <v>16</v>
      </c>
      <c r="H1067" s="17" t="s">
        <v>2592</v>
      </c>
      <c r="I1067" s="17" t="s">
        <v>39</v>
      </c>
      <c r="J1067" s="36">
        <v>5000</v>
      </c>
      <c r="K1067" s="36">
        <v>946.7</v>
      </c>
      <c r="L1067" s="36">
        <f t="shared" si="80"/>
        <v>-4053.3</v>
      </c>
      <c r="M1067" s="37">
        <f t="shared" si="81"/>
        <v>-0.81066000000000005</v>
      </c>
      <c r="N1067" s="17" t="str">
        <f t="shared" si="82"/>
        <v>Under Budget</v>
      </c>
      <c r="O1067" s="38">
        <f t="shared" si="83"/>
        <v>-946.7</v>
      </c>
      <c r="P1067" s="39">
        <f t="shared" si="84"/>
        <v>45901</v>
      </c>
    </row>
    <row r="1068" spans="1:16" ht="15.5" x14ac:dyDescent="0.35">
      <c r="A1068" s="17" t="s">
        <v>1116</v>
      </c>
      <c r="B1068" s="35">
        <v>46177</v>
      </c>
      <c r="C1068" s="17" t="s">
        <v>25</v>
      </c>
      <c r="D1068" s="17" t="s">
        <v>32</v>
      </c>
      <c r="E1068" s="17" t="s">
        <v>109</v>
      </c>
      <c r="F1068" s="17" t="s">
        <v>15</v>
      </c>
      <c r="G1068" s="17" t="s">
        <v>43</v>
      </c>
      <c r="H1068" s="17" t="s">
        <v>2586</v>
      </c>
      <c r="I1068" s="17" t="s">
        <v>23</v>
      </c>
      <c r="J1068" s="36">
        <v>4761.8999999999996</v>
      </c>
      <c r="K1068" s="36">
        <v>3945.58</v>
      </c>
      <c r="L1068" s="36">
        <f t="shared" si="80"/>
        <v>-816.31999999999971</v>
      </c>
      <c r="M1068" s="37">
        <f t="shared" si="81"/>
        <v>-0.17142737142737138</v>
      </c>
      <c r="N1068" s="17" t="str">
        <f t="shared" si="82"/>
        <v>Under Budget</v>
      </c>
      <c r="O1068" s="38">
        <f t="shared" si="83"/>
        <v>3945.58</v>
      </c>
      <c r="P1068" s="39">
        <f t="shared" si="84"/>
        <v>46174</v>
      </c>
    </row>
    <row r="1069" spans="1:16" ht="15.5" x14ac:dyDescent="0.35">
      <c r="A1069" s="17" t="s">
        <v>1117</v>
      </c>
      <c r="B1069" s="35">
        <v>46101</v>
      </c>
      <c r="C1069" s="17" t="s">
        <v>12</v>
      </c>
      <c r="D1069" s="17" t="s">
        <v>26</v>
      </c>
      <c r="E1069" s="17" t="s">
        <v>45</v>
      </c>
      <c r="F1069" s="17" t="s">
        <v>52</v>
      </c>
      <c r="G1069" s="17" t="s">
        <v>38</v>
      </c>
      <c r="H1069" s="17" t="s">
        <v>2587</v>
      </c>
      <c r="I1069" s="17" t="s">
        <v>30</v>
      </c>
      <c r="J1069" s="36">
        <v>7200</v>
      </c>
      <c r="K1069" s="36">
        <v>3941.3</v>
      </c>
      <c r="L1069" s="36">
        <f t="shared" si="80"/>
        <v>-3258.7</v>
      </c>
      <c r="M1069" s="37">
        <f t="shared" si="81"/>
        <v>-0.45259722222222221</v>
      </c>
      <c r="N1069" s="17" t="str">
        <f t="shared" si="82"/>
        <v>Under Budget</v>
      </c>
      <c r="O1069" s="38">
        <f t="shared" si="83"/>
        <v>-3941.3</v>
      </c>
      <c r="P1069" s="39">
        <f t="shared" si="84"/>
        <v>46082</v>
      </c>
    </row>
    <row r="1070" spans="1:16" ht="15.5" x14ac:dyDescent="0.35">
      <c r="A1070" s="17" t="s">
        <v>1118</v>
      </c>
      <c r="B1070" s="35">
        <v>46119</v>
      </c>
      <c r="C1070" s="17" t="s">
        <v>12</v>
      </c>
      <c r="D1070" s="17" t="s">
        <v>2585</v>
      </c>
      <c r="E1070" s="17" t="s">
        <v>41</v>
      </c>
      <c r="F1070" s="17" t="s">
        <v>34</v>
      </c>
      <c r="G1070" s="17" t="s">
        <v>43</v>
      </c>
      <c r="H1070" s="17" t="s">
        <v>2594</v>
      </c>
      <c r="I1070" s="17" t="s">
        <v>39</v>
      </c>
      <c r="J1070" s="36">
        <v>10833.33</v>
      </c>
      <c r="K1070" s="36">
        <v>9564.1200000000008</v>
      </c>
      <c r="L1070" s="36">
        <f t="shared" si="80"/>
        <v>-1269.2099999999991</v>
      </c>
      <c r="M1070" s="37">
        <f t="shared" si="81"/>
        <v>-0.11715788220242521</v>
      </c>
      <c r="N1070" s="17" t="str">
        <f t="shared" si="82"/>
        <v>Under Budget</v>
      </c>
      <c r="O1070" s="38">
        <f t="shared" si="83"/>
        <v>-9564.1200000000008</v>
      </c>
      <c r="P1070" s="39">
        <f t="shared" si="84"/>
        <v>46113</v>
      </c>
    </row>
    <row r="1071" spans="1:16" ht="15.5" x14ac:dyDescent="0.35">
      <c r="A1071" s="17" t="s">
        <v>1119</v>
      </c>
      <c r="B1071" s="35">
        <v>45797</v>
      </c>
      <c r="C1071" s="17" t="s">
        <v>12</v>
      </c>
      <c r="D1071" s="17" t="s">
        <v>36</v>
      </c>
      <c r="E1071" s="17" t="s">
        <v>51</v>
      </c>
      <c r="F1071" s="17" t="s">
        <v>21</v>
      </c>
      <c r="G1071" s="17" t="s">
        <v>38</v>
      </c>
      <c r="H1071" s="17" t="s">
        <v>2586</v>
      </c>
      <c r="I1071" s="17" t="s">
        <v>30</v>
      </c>
      <c r="J1071" s="36">
        <v>2307.69</v>
      </c>
      <c r="K1071" s="36">
        <v>5582.55</v>
      </c>
      <c r="L1071" s="36">
        <f t="shared" si="80"/>
        <v>3274.86</v>
      </c>
      <c r="M1071" s="37">
        <f t="shared" si="81"/>
        <v>1.4191074191074191</v>
      </c>
      <c r="N1071" s="17" t="str">
        <f t="shared" si="82"/>
        <v>Over Budget</v>
      </c>
      <c r="O1071" s="38">
        <f t="shared" si="83"/>
        <v>-5582.55</v>
      </c>
      <c r="P1071" s="39">
        <f t="shared" si="84"/>
        <v>45778</v>
      </c>
    </row>
    <row r="1072" spans="1:16" ht="15.5" x14ac:dyDescent="0.35">
      <c r="A1072" s="17" t="s">
        <v>1120</v>
      </c>
      <c r="B1072" s="35">
        <v>46147</v>
      </c>
      <c r="C1072" s="17" t="s">
        <v>25</v>
      </c>
      <c r="D1072" s="17" t="s">
        <v>32</v>
      </c>
      <c r="E1072" s="17" t="s">
        <v>27</v>
      </c>
      <c r="F1072" s="17" t="s">
        <v>28</v>
      </c>
      <c r="G1072" s="17" t="s">
        <v>82</v>
      </c>
      <c r="H1072" s="17" t="s">
        <v>2589</v>
      </c>
      <c r="I1072" s="17" t="s">
        <v>48</v>
      </c>
      <c r="J1072" s="36">
        <v>6153.85</v>
      </c>
      <c r="K1072" s="36">
        <v>3382.47</v>
      </c>
      <c r="L1072" s="36">
        <f t="shared" si="80"/>
        <v>-2771.3800000000006</v>
      </c>
      <c r="M1072" s="37">
        <f t="shared" si="81"/>
        <v>-0.45034896853189471</v>
      </c>
      <c r="N1072" s="17" t="str">
        <f t="shared" si="82"/>
        <v>Under Budget</v>
      </c>
      <c r="O1072" s="38">
        <f t="shared" si="83"/>
        <v>3382.47</v>
      </c>
      <c r="P1072" s="39">
        <f t="shared" si="84"/>
        <v>46143</v>
      </c>
    </row>
    <row r="1073" spans="1:16" ht="15.5" x14ac:dyDescent="0.35">
      <c r="A1073" s="17" t="s">
        <v>1121</v>
      </c>
      <c r="B1073" s="35">
        <v>46110</v>
      </c>
      <c r="C1073" s="17" t="s">
        <v>12</v>
      </c>
      <c r="D1073" s="17" t="s">
        <v>19</v>
      </c>
      <c r="E1073" s="17" t="s">
        <v>77</v>
      </c>
      <c r="F1073" s="17" t="s">
        <v>28</v>
      </c>
      <c r="G1073" s="17" t="s">
        <v>29</v>
      </c>
      <c r="H1073" s="17" t="s">
        <v>2591</v>
      </c>
      <c r="I1073" s="17" t="s">
        <v>48</v>
      </c>
      <c r="J1073" s="36">
        <v>1833.33</v>
      </c>
      <c r="K1073" s="36">
        <v>3249.53</v>
      </c>
      <c r="L1073" s="36">
        <f t="shared" si="80"/>
        <v>1416.2000000000003</v>
      </c>
      <c r="M1073" s="37">
        <f t="shared" si="81"/>
        <v>0.77247413177114888</v>
      </c>
      <c r="N1073" s="17" t="str">
        <f t="shared" si="82"/>
        <v>Over Budget</v>
      </c>
      <c r="O1073" s="38">
        <f t="shared" si="83"/>
        <v>-3249.53</v>
      </c>
      <c r="P1073" s="39">
        <f t="shared" si="84"/>
        <v>46082</v>
      </c>
    </row>
    <row r="1074" spans="1:16" ht="15.5" x14ac:dyDescent="0.35">
      <c r="A1074" s="17" t="s">
        <v>1122</v>
      </c>
      <c r="B1074" s="35">
        <v>46029</v>
      </c>
      <c r="C1074" s="17" t="s">
        <v>25</v>
      </c>
      <c r="D1074" s="17" t="s">
        <v>32</v>
      </c>
      <c r="E1074" s="17" t="s">
        <v>109</v>
      </c>
      <c r="F1074" s="17" t="s">
        <v>28</v>
      </c>
      <c r="G1074" s="17" t="s">
        <v>22</v>
      </c>
      <c r="H1074" s="17" t="s">
        <v>2597</v>
      </c>
      <c r="I1074" s="17" t="s">
        <v>23</v>
      </c>
      <c r="J1074" s="36">
        <v>6062.5</v>
      </c>
      <c r="K1074" s="36">
        <v>10721.19</v>
      </c>
      <c r="L1074" s="36">
        <f t="shared" si="80"/>
        <v>4658.6900000000005</v>
      </c>
      <c r="M1074" s="37">
        <f t="shared" si="81"/>
        <v>0.76844371134020628</v>
      </c>
      <c r="N1074" s="17" t="str">
        <f t="shared" si="82"/>
        <v>Over Budget</v>
      </c>
      <c r="O1074" s="38">
        <f t="shared" si="83"/>
        <v>10721.19</v>
      </c>
      <c r="P1074" s="39">
        <f t="shared" si="84"/>
        <v>46023</v>
      </c>
    </row>
    <row r="1075" spans="1:16" ht="15.5" x14ac:dyDescent="0.35">
      <c r="A1075" s="17" t="s">
        <v>1123</v>
      </c>
      <c r="B1075" s="35">
        <v>45947</v>
      </c>
      <c r="C1075" s="17" t="s">
        <v>12</v>
      </c>
      <c r="D1075" s="17" t="s">
        <v>2584</v>
      </c>
      <c r="E1075" s="17" t="s">
        <v>45</v>
      </c>
      <c r="F1075" s="17" t="s">
        <v>34</v>
      </c>
      <c r="G1075" s="17" t="s">
        <v>22</v>
      </c>
      <c r="H1075" s="17" t="s">
        <v>2596</v>
      </c>
      <c r="I1075" s="17" t="s">
        <v>23</v>
      </c>
      <c r="J1075" s="36">
        <v>7826.09</v>
      </c>
      <c r="K1075" s="36">
        <v>9162.25</v>
      </c>
      <c r="L1075" s="36">
        <f t="shared" si="80"/>
        <v>1336.1599999999999</v>
      </c>
      <c r="M1075" s="37">
        <f t="shared" si="81"/>
        <v>0.17073148915997641</v>
      </c>
      <c r="N1075" s="17" t="str">
        <f t="shared" si="82"/>
        <v>Over Budget</v>
      </c>
      <c r="O1075" s="38">
        <f t="shared" si="83"/>
        <v>-9162.25</v>
      </c>
      <c r="P1075" s="39">
        <f t="shared" si="84"/>
        <v>45931</v>
      </c>
    </row>
    <row r="1076" spans="1:16" ht="15.5" x14ac:dyDescent="0.35">
      <c r="A1076" s="17" t="s">
        <v>1124</v>
      </c>
      <c r="B1076" s="35">
        <v>45868</v>
      </c>
      <c r="C1076" s="17" t="s">
        <v>12</v>
      </c>
      <c r="D1076" s="17" t="s">
        <v>19</v>
      </c>
      <c r="E1076" s="17" t="s">
        <v>45</v>
      </c>
      <c r="F1076" s="17" t="s">
        <v>34</v>
      </c>
      <c r="G1076" s="17" t="s">
        <v>22</v>
      </c>
      <c r="H1076" s="17" t="s">
        <v>80</v>
      </c>
      <c r="I1076" s="17" t="s">
        <v>48</v>
      </c>
      <c r="J1076" s="36">
        <v>6923.08</v>
      </c>
      <c r="K1076" s="36">
        <v>12154.66</v>
      </c>
      <c r="L1076" s="36">
        <f t="shared" si="80"/>
        <v>5231.58</v>
      </c>
      <c r="M1076" s="37">
        <f t="shared" si="81"/>
        <v>0.75567233081229745</v>
      </c>
      <c r="N1076" s="17" t="str">
        <f t="shared" si="82"/>
        <v>Over Budget</v>
      </c>
      <c r="O1076" s="38">
        <f t="shared" si="83"/>
        <v>-12154.66</v>
      </c>
      <c r="P1076" s="39">
        <f t="shared" si="84"/>
        <v>45839</v>
      </c>
    </row>
    <row r="1077" spans="1:16" ht="15.5" x14ac:dyDescent="0.35">
      <c r="A1077" s="17" t="s">
        <v>1125</v>
      </c>
      <c r="B1077" s="35">
        <v>46130</v>
      </c>
      <c r="C1077" s="17" t="s">
        <v>25</v>
      </c>
      <c r="D1077" s="17" t="s">
        <v>19</v>
      </c>
      <c r="E1077" s="17" t="s">
        <v>33</v>
      </c>
      <c r="F1077" s="17" t="s">
        <v>28</v>
      </c>
      <c r="G1077" s="17" t="s">
        <v>38</v>
      </c>
      <c r="H1077" s="17" t="s">
        <v>2588</v>
      </c>
      <c r="I1077" s="17" t="s">
        <v>17</v>
      </c>
      <c r="J1077" s="36">
        <v>8333.33</v>
      </c>
      <c r="K1077" s="36">
        <v>16689.939999999999</v>
      </c>
      <c r="L1077" s="36">
        <f t="shared" si="80"/>
        <v>8356.6099999999988</v>
      </c>
      <c r="M1077" s="37">
        <f t="shared" si="81"/>
        <v>1.0027936011174403</v>
      </c>
      <c r="N1077" s="17" t="str">
        <f t="shared" si="82"/>
        <v>Over Budget</v>
      </c>
      <c r="O1077" s="38">
        <f t="shared" si="83"/>
        <v>16689.939999999999</v>
      </c>
      <c r="P1077" s="39">
        <f t="shared" si="84"/>
        <v>46113</v>
      </c>
    </row>
    <row r="1078" spans="1:16" ht="15.5" x14ac:dyDescent="0.35">
      <c r="A1078" s="17" t="s">
        <v>1126</v>
      </c>
      <c r="B1078" s="35">
        <v>46014</v>
      </c>
      <c r="C1078" s="17" t="s">
        <v>25</v>
      </c>
      <c r="D1078" s="17" t="s">
        <v>2584</v>
      </c>
      <c r="E1078" s="17" t="s">
        <v>33</v>
      </c>
      <c r="F1078" s="17" t="s">
        <v>52</v>
      </c>
      <c r="G1078" s="17" t="s">
        <v>38</v>
      </c>
      <c r="H1078" s="17" t="s">
        <v>2598</v>
      </c>
      <c r="I1078" s="17" t="s">
        <v>39</v>
      </c>
      <c r="J1078" s="36">
        <v>15441.18</v>
      </c>
      <c r="K1078" s="36">
        <v>16213.13</v>
      </c>
      <c r="L1078" s="36">
        <f t="shared" si="80"/>
        <v>771.94999999999891</v>
      </c>
      <c r="M1078" s="37">
        <f t="shared" si="81"/>
        <v>4.9992940953994376E-2</v>
      </c>
      <c r="N1078" s="17" t="str">
        <f t="shared" si="82"/>
        <v>Over Budget</v>
      </c>
      <c r="O1078" s="38">
        <f t="shared" si="83"/>
        <v>16213.13</v>
      </c>
      <c r="P1078" s="39">
        <f t="shared" si="84"/>
        <v>45992</v>
      </c>
    </row>
    <row r="1079" spans="1:16" ht="15.5" x14ac:dyDescent="0.35">
      <c r="A1079" s="17" t="s">
        <v>1127</v>
      </c>
      <c r="B1079" s="35">
        <v>46072</v>
      </c>
      <c r="C1079" s="17" t="s">
        <v>12</v>
      </c>
      <c r="D1079" s="17" t="s">
        <v>13</v>
      </c>
      <c r="E1079" s="17" t="s">
        <v>45</v>
      </c>
      <c r="F1079" s="17" t="s">
        <v>34</v>
      </c>
      <c r="G1079" s="17" t="s">
        <v>38</v>
      </c>
      <c r="H1079" s="17" t="s">
        <v>2588</v>
      </c>
      <c r="I1079" s="17" t="s">
        <v>39</v>
      </c>
      <c r="J1079" s="36">
        <v>9189.4699999999993</v>
      </c>
      <c r="K1079" s="36">
        <v>16900.86</v>
      </c>
      <c r="L1079" s="36">
        <f t="shared" si="80"/>
        <v>7711.3900000000012</v>
      </c>
      <c r="M1079" s="37">
        <f t="shared" si="81"/>
        <v>0.8391550328800248</v>
      </c>
      <c r="N1079" s="17" t="str">
        <f t="shared" si="82"/>
        <v>Over Budget</v>
      </c>
      <c r="O1079" s="38">
        <f t="shared" si="83"/>
        <v>-16900.86</v>
      </c>
      <c r="P1079" s="39">
        <f t="shared" si="84"/>
        <v>46054</v>
      </c>
    </row>
    <row r="1080" spans="1:16" ht="15.5" x14ac:dyDescent="0.35">
      <c r="A1080" s="17" t="s">
        <v>1128</v>
      </c>
      <c r="B1080" s="35">
        <v>46033</v>
      </c>
      <c r="C1080" s="17" t="s">
        <v>25</v>
      </c>
      <c r="D1080" s="17" t="s">
        <v>19</v>
      </c>
      <c r="E1080" s="17" t="s">
        <v>33</v>
      </c>
      <c r="F1080" s="17" t="s">
        <v>15</v>
      </c>
      <c r="G1080" s="17" t="s">
        <v>22</v>
      </c>
      <c r="H1080" s="17" t="s">
        <v>2594</v>
      </c>
      <c r="I1080" s="17" t="s">
        <v>48</v>
      </c>
      <c r="J1080" s="36">
        <v>11547.62</v>
      </c>
      <c r="K1080" s="36">
        <v>10514.03</v>
      </c>
      <c r="L1080" s="36">
        <f t="shared" si="80"/>
        <v>-1033.5900000000001</v>
      </c>
      <c r="M1080" s="37">
        <f t="shared" si="81"/>
        <v>-8.9506755504597496E-2</v>
      </c>
      <c r="N1080" s="17" t="str">
        <f t="shared" si="82"/>
        <v>Under Budget</v>
      </c>
      <c r="O1080" s="38">
        <f t="shared" si="83"/>
        <v>10514.03</v>
      </c>
      <c r="P1080" s="39">
        <f t="shared" si="84"/>
        <v>46023</v>
      </c>
    </row>
    <row r="1081" spans="1:16" ht="15.5" x14ac:dyDescent="0.35">
      <c r="A1081" s="17" t="s">
        <v>1129</v>
      </c>
      <c r="B1081" s="35">
        <v>45865</v>
      </c>
      <c r="C1081" s="17" t="s">
        <v>12</v>
      </c>
      <c r="D1081" s="17" t="s">
        <v>2584</v>
      </c>
      <c r="E1081" s="17" t="s">
        <v>45</v>
      </c>
      <c r="F1081" s="17" t="s">
        <v>28</v>
      </c>
      <c r="G1081" s="17" t="s">
        <v>22</v>
      </c>
      <c r="H1081" s="17" t="s">
        <v>2597</v>
      </c>
      <c r="I1081" s="17" t="s">
        <v>23</v>
      </c>
      <c r="J1081" s="36">
        <v>6923.08</v>
      </c>
      <c r="K1081" s="36">
        <v>5277.45</v>
      </c>
      <c r="L1081" s="36">
        <f t="shared" si="80"/>
        <v>-1645.63</v>
      </c>
      <c r="M1081" s="37">
        <f t="shared" si="81"/>
        <v>-0.23770200546577536</v>
      </c>
      <c r="N1081" s="17" t="str">
        <f t="shared" si="82"/>
        <v>Under Budget</v>
      </c>
      <c r="O1081" s="38">
        <f t="shared" si="83"/>
        <v>-5277.45</v>
      </c>
      <c r="P1081" s="39">
        <f t="shared" si="84"/>
        <v>45839</v>
      </c>
    </row>
    <row r="1082" spans="1:16" ht="15.5" x14ac:dyDescent="0.35">
      <c r="A1082" s="17" t="s">
        <v>1130</v>
      </c>
      <c r="B1082" s="35">
        <v>45729</v>
      </c>
      <c r="C1082" s="17" t="s">
        <v>12</v>
      </c>
      <c r="D1082" s="17" t="s">
        <v>26</v>
      </c>
      <c r="E1082" s="17" t="s">
        <v>45</v>
      </c>
      <c r="F1082" s="17" t="s">
        <v>28</v>
      </c>
      <c r="G1082" s="17" t="s">
        <v>43</v>
      </c>
      <c r="H1082" s="17" t="s">
        <v>2589</v>
      </c>
      <c r="I1082" s="17" t="s">
        <v>23</v>
      </c>
      <c r="J1082" s="36">
        <v>6000</v>
      </c>
      <c r="K1082" s="36">
        <v>6328.45</v>
      </c>
      <c r="L1082" s="36">
        <f t="shared" si="80"/>
        <v>328.44999999999982</v>
      </c>
      <c r="M1082" s="37">
        <f t="shared" si="81"/>
        <v>5.4741666666666633E-2</v>
      </c>
      <c r="N1082" s="17" t="str">
        <f t="shared" si="82"/>
        <v>Over Budget</v>
      </c>
      <c r="O1082" s="38">
        <f t="shared" si="83"/>
        <v>-6328.45</v>
      </c>
      <c r="P1082" s="39">
        <f t="shared" si="84"/>
        <v>45717</v>
      </c>
    </row>
    <row r="1083" spans="1:16" ht="15.5" x14ac:dyDescent="0.35">
      <c r="A1083" s="17" t="s">
        <v>1131</v>
      </c>
      <c r="B1083" s="35">
        <v>45884</v>
      </c>
      <c r="C1083" s="17" t="s">
        <v>12</v>
      </c>
      <c r="D1083" s="17" t="s">
        <v>19</v>
      </c>
      <c r="E1083" s="17" t="s">
        <v>65</v>
      </c>
      <c r="F1083" s="17" t="s">
        <v>52</v>
      </c>
      <c r="G1083" s="17" t="s">
        <v>38</v>
      </c>
      <c r="H1083" s="17" t="s">
        <v>2590</v>
      </c>
      <c r="I1083" s="17" t="s">
        <v>23</v>
      </c>
      <c r="J1083" s="36">
        <v>3928.57</v>
      </c>
      <c r="K1083" s="36">
        <v>8823.15</v>
      </c>
      <c r="L1083" s="36">
        <f t="shared" si="80"/>
        <v>4894.58</v>
      </c>
      <c r="M1083" s="37">
        <f t="shared" si="81"/>
        <v>1.2458935439612886</v>
      </c>
      <c r="N1083" s="17" t="str">
        <f t="shared" si="82"/>
        <v>Over Budget</v>
      </c>
      <c r="O1083" s="38">
        <f t="shared" si="83"/>
        <v>-8823.15</v>
      </c>
      <c r="P1083" s="39">
        <f t="shared" si="84"/>
        <v>45870</v>
      </c>
    </row>
    <row r="1084" spans="1:16" ht="15.5" x14ac:dyDescent="0.35">
      <c r="A1084" s="17" t="s">
        <v>1132</v>
      </c>
      <c r="B1084" s="35">
        <v>45740</v>
      </c>
      <c r="C1084" s="17" t="s">
        <v>12</v>
      </c>
      <c r="D1084" s="17" t="s">
        <v>2584</v>
      </c>
      <c r="E1084" s="17" t="s">
        <v>47</v>
      </c>
      <c r="F1084" s="17" t="s">
        <v>52</v>
      </c>
      <c r="G1084" s="17" t="s">
        <v>29</v>
      </c>
      <c r="H1084" s="17" t="s">
        <v>2593</v>
      </c>
      <c r="I1084" s="17" t="s">
        <v>30</v>
      </c>
      <c r="J1084" s="36">
        <v>4375</v>
      </c>
      <c r="K1084" s="36">
        <v>1435.52</v>
      </c>
      <c r="L1084" s="36">
        <f t="shared" si="80"/>
        <v>-2939.48</v>
      </c>
      <c r="M1084" s="37">
        <f t="shared" si="81"/>
        <v>-0.67188114285714284</v>
      </c>
      <c r="N1084" s="17" t="str">
        <f t="shared" si="82"/>
        <v>Under Budget</v>
      </c>
      <c r="O1084" s="38">
        <f t="shared" si="83"/>
        <v>-1435.52</v>
      </c>
      <c r="P1084" s="39">
        <f t="shared" si="84"/>
        <v>45717</v>
      </c>
    </row>
    <row r="1085" spans="1:16" ht="15.5" x14ac:dyDescent="0.35">
      <c r="A1085" s="17" t="s">
        <v>1133</v>
      </c>
      <c r="B1085" s="35">
        <v>46124</v>
      </c>
      <c r="C1085" s="17" t="s">
        <v>12</v>
      </c>
      <c r="D1085" s="17" t="s">
        <v>13</v>
      </c>
      <c r="E1085" s="17" t="s">
        <v>37</v>
      </c>
      <c r="F1085" s="17" t="s">
        <v>15</v>
      </c>
      <c r="G1085" s="17" t="s">
        <v>38</v>
      </c>
      <c r="H1085" s="17" t="s">
        <v>2587</v>
      </c>
      <c r="I1085" s="17" t="s">
        <v>48</v>
      </c>
      <c r="J1085" s="36">
        <v>5600</v>
      </c>
      <c r="K1085" s="36">
        <v>2121.61</v>
      </c>
      <c r="L1085" s="36">
        <f t="shared" si="80"/>
        <v>-3478.39</v>
      </c>
      <c r="M1085" s="37">
        <f t="shared" si="81"/>
        <v>-0.62114107142857145</v>
      </c>
      <c r="N1085" s="17" t="str">
        <f t="shared" si="82"/>
        <v>Under Budget</v>
      </c>
      <c r="O1085" s="38">
        <f t="shared" si="83"/>
        <v>-2121.61</v>
      </c>
      <c r="P1085" s="39">
        <f t="shared" si="84"/>
        <v>46113</v>
      </c>
    </row>
    <row r="1086" spans="1:16" ht="15.5" x14ac:dyDescent="0.35">
      <c r="A1086" s="17" t="s">
        <v>1134</v>
      </c>
      <c r="B1086" s="35">
        <v>45989</v>
      </c>
      <c r="C1086" s="17" t="s">
        <v>25</v>
      </c>
      <c r="D1086" s="17" t="s">
        <v>2584</v>
      </c>
      <c r="E1086" s="17" t="s">
        <v>33</v>
      </c>
      <c r="F1086" s="17" t="s">
        <v>34</v>
      </c>
      <c r="G1086" s="17" t="s">
        <v>16</v>
      </c>
      <c r="H1086" s="17" t="s">
        <v>60</v>
      </c>
      <c r="I1086" s="17" t="s">
        <v>39</v>
      </c>
      <c r="J1086" s="36">
        <v>13125</v>
      </c>
      <c r="K1086" s="36">
        <v>19524.900000000001</v>
      </c>
      <c r="L1086" s="36">
        <f t="shared" si="80"/>
        <v>6399.9000000000015</v>
      </c>
      <c r="M1086" s="37">
        <f t="shared" si="81"/>
        <v>0.4876114285714287</v>
      </c>
      <c r="N1086" s="17" t="str">
        <f t="shared" si="82"/>
        <v>Over Budget</v>
      </c>
      <c r="O1086" s="38">
        <f t="shared" si="83"/>
        <v>19524.900000000001</v>
      </c>
      <c r="P1086" s="39">
        <f t="shared" si="84"/>
        <v>45962</v>
      </c>
    </row>
    <row r="1087" spans="1:16" ht="15.5" x14ac:dyDescent="0.35">
      <c r="A1087" s="17" t="s">
        <v>1135</v>
      </c>
      <c r="B1087" s="35">
        <v>45760</v>
      </c>
      <c r="C1087" s="17" t="s">
        <v>12</v>
      </c>
      <c r="D1087" s="17" t="s">
        <v>19</v>
      </c>
      <c r="E1087" s="17" t="s">
        <v>51</v>
      </c>
      <c r="F1087" s="17" t="s">
        <v>52</v>
      </c>
      <c r="G1087" s="17" t="s">
        <v>16</v>
      </c>
      <c r="H1087" s="17" t="s">
        <v>2593</v>
      </c>
      <c r="I1087" s="17" t="s">
        <v>23</v>
      </c>
      <c r="J1087" s="36">
        <v>3750</v>
      </c>
      <c r="K1087" s="36">
        <v>2346.7600000000002</v>
      </c>
      <c r="L1087" s="36">
        <f t="shared" si="80"/>
        <v>-1403.2399999999998</v>
      </c>
      <c r="M1087" s="37">
        <f t="shared" si="81"/>
        <v>-0.37419733333333327</v>
      </c>
      <c r="N1087" s="17" t="str">
        <f t="shared" si="82"/>
        <v>Under Budget</v>
      </c>
      <c r="O1087" s="38">
        <f t="shared" si="83"/>
        <v>-2346.7600000000002</v>
      </c>
      <c r="P1087" s="39">
        <f t="shared" si="84"/>
        <v>45748</v>
      </c>
    </row>
    <row r="1088" spans="1:16" ht="15.5" x14ac:dyDescent="0.35">
      <c r="A1088" s="17" t="s">
        <v>1136</v>
      </c>
      <c r="B1088" s="35">
        <v>45748</v>
      </c>
      <c r="C1088" s="17" t="s">
        <v>12</v>
      </c>
      <c r="D1088" s="17" t="s">
        <v>26</v>
      </c>
      <c r="E1088" s="17" t="s">
        <v>47</v>
      </c>
      <c r="F1088" s="17" t="s">
        <v>52</v>
      </c>
      <c r="G1088" s="17" t="s">
        <v>16</v>
      </c>
      <c r="H1088" s="17" t="s">
        <v>2597</v>
      </c>
      <c r="I1088" s="17" t="s">
        <v>48</v>
      </c>
      <c r="J1088" s="36">
        <v>4375</v>
      </c>
      <c r="K1088" s="36">
        <v>156</v>
      </c>
      <c r="L1088" s="36">
        <f t="shared" si="80"/>
        <v>-4219</v>
      </c>
      <c r="M1088" s="37">
        <f t="shared" si="81"/>
        <v>-0.96434285714285717</v>
      </c>
      <c r="N1088" s="17" t="str">
        <f t="shared" si="82"/>
        <v>Under Budget</v>
      </c>
      <c r="O1088" s="38">
        <f t="shared" si="83"/>
        <v>-156</v>
      </c>
      <c r="P1088" s="39">
        <f t="shared" si="84"/>
        <v>45748</v>
      </c>
    </row>
    <row r="1089" spans="1:16" ht="15.5" x14ac:dyDescent="0.35">
      <c r="A1089" s="17" t="s">
        <v>1137</v>
      </c>
      <c r="B1089" s="35">
        <v>45777</v>
      </c>
      <c r="C1089" s="17" t="s">
        <v>25</v>
      </c>
      <c r="D1089" s="17" t="s">
        <v>32</v>
      </c>
      <c r="E1089" s="17" t="s">
        <v>33</v>
      </c>
      <c r="F1089" s="17" t="s">
        <v>34</v>
      </c>
      <c r="G1089" s="17" t="s">
        <v>38</v>
      </c>
      <c r="H1089" s="17" t="s">
        <v>2593</v>
      </c>
      <c r="I1089" s="17" t="s">
        <v>48</v>
      </c>
      <c r="J1089" s="36">
        <v>11363.64</v>
      </c>
      <c r="K1089" s="36">
        <v>7197.17</v>
      </c>
      <c r="L1089" s="36">
        <f t="shared" si="80"/>
        <v>-4166.4699999999993</v>
      </c>
      <c r="M1089" s="37">
        <f t="shared" si="81"/>
        <v>-0.3666492426722423</v>
      </c>
      <c r="N1089" s="17" t="str">
        <f t="shared" si="82"/>
        <v>Under Budget</v>
      </c>
      <c r="O1089" s="38">
        <f t="shared" si="83"/>
        <v>7197.17</v>
      </c>
      <c r="P1089" s="39">
        <f t="shared" si="84"/>
        <v>45748</v>
      </c>
    </row>
    <row r="1090" spans="1:16" ht="15.5" x14ac:dyDescent="0.35">
      <c r="A1090" s="17" t="s">
        <v>1138</v>
      </c>
      <c r="B1090" s="35">
        <v>45844</v>
      </c>
      <c r="C1090" s="17" t="s">
        <v>12</v>
      </c>
      <c r="D1090" s="17" t="s">
        <v>32</v>
      </c>
      <c r="E1090" s="17" t="s">
        <v>45</v>
      </c>
      <c r="F1090" s="17" t="s">
        <v>28</v>
      </c>
      <c r="G1090" s="17" t="s">
        <v>43</v>
      </c>
      <c r="H1090" s="17" t="s">
        <v>2595</v>
      </c>
      <c r="I1090" s="17" t="s">
        <v>23</v>
      </c>
      <c r="J1090" s="36">
        <v>6923.08</v>
      </c>
      <c r="K1090" s="36">
        <v>1409.89</v>
      </c>
      <c r="L1090" s="36">
        <f t="shared" si="80"/>
        <v>-5513.19</v>
      </c>
      <c r="M1090" s="37">
        <f t="shared" si="81"/>
        <v>-0.79634931273363874</v>
      </c>
      <c r="N1090" s="17" t="str">
        <f t="shared" si="82"/>
        <v>Under Budget</v>
      </c>
      <c r="O1090" s="38">
        <f t="shared" si="83"/>
        <v>-1409.89</v>
      </c>
      <c r="P1090" s="39">
        <f t="shared" si="84"/>
        <v>45839</v>
      </c>
    </row>
    <row r="1091" spans="1:16" ht="15.5" x14ac:dyDescent="0.35">
      <c r="A1091" s="17" t="s">
        <v>1139</v>
      </c>
      <c r="B1091" s="35">
        <v>45869</v>
      </c>
      <c r="C1091" s="17" t="s">
        <v>12</v>
      </c>
      <c r="D1091" s="17" t="s">
        <v>32</v>
      </c>
      <c r="E1091" s="17" t="s">
        <v>45</v>
      </c>
      <c r="F1091" s="17" t="s">
        <v>52</v>
      </c>
      <c r="G1091" s="17" t="s">
        <v>22</v>
      </c>
      <c r="H1091" s="17" t="s">
        <v>2586</v>
      </c>
      <c r="I1091" s="17" t="s">
        <v>23</v>
      </c>
      <c r="J1091" s="36">
        <v>6923.08</v>
      </c>
      <c r="K1091" s="36">
        <v>4154.57</v>
      </c>
      <c r="L1091" s="36">
        <f t="shared" ref="L1091:L1154" si="85">K1091-J1091</f>
        <v>-2768.51</v>
      </c>
      <c r="M1091" s="37">
        <f t="shared" ref="M1091:M1154" si="86">IF(J1091=0,0,L1091/J1091)</f>
        <v>-0.39989571115746175</v>
      </c>
      <c r="N1091" s="17" t="str">
        <f t="shared" ref="N1091:N1154" si="87">IF(J1091=0,"No Budget",IF(K1091&gt;J1091,"Over Budget",IF(K1091&lt;J1091,"Under Budget","On Budget")))</f>
        <v>Under Budget</v>
      </c>
      <c r="O1091" s="38">
        <f t="shared" ref="O1091:O1154" si="88">IF(C1091="Revenue",K1091,-K1091)</f>
        <v>-4154.57</v>
      </c>
      <c r="P1091" s="39">
        <f t="shared" ref="P1091:P1154" si="89">DATE(YEAR(B1091),MONTH(B1091),1)</f>
        <v>45839</v>
      </c>
    </row>
    <row r="1092" spans="1:16" ht="15.5" x14ac:dyDescent="0.35">
      <c r="A1092" s="17" t="s">
        <v>1140</v>
      </c>
      <c r="B1092" s="35">
        <v>45909</v>
      </c>
      <c r="C1092" s="17" t="s">
        <v>12</v>
      </c>
      <c r="D1092" s="17" t="s">
        <v>19</v>
      </c>
      <c r="E1092" s="17" t="s">
        <v>41</v>
      </c>
      <c r="F1092" s="17" t="s">
        <v>15</v>
      </c>
      <c r="G1092" s="17" t="s">
        <v>29</v>
      </c>
      <c r="H1092" s="17" t="s">
        <v>2596</v>
      </c>
      <c r="I1092" s="17" t="s">
        <v>48</v>
      </c>
      <c r="J1092" s="36">
        <v>9285.7099999999991</v>
      </c>
      <c r="K1092" s="36">
        <v>7314.26</v>
      </c>
      <c r="L1092" s="36">
        <f t="shared" si="85"/>
        <v>-1971.4499999999989</v>
      </c>
      <c r="M1092" s="37">
        <f t="shared" si="86"/>
        <v>-0.21231009798927589</v>
      </c>
      <c r="N1092" s="17" t="str">
        <f t="shared" si="87"/>
        <v>Under Budget</v>
      </c>
      <c r="O1092" s="38">
        <f t="shared" si="88"/>
        <v>-7314.26</v>
      </c>
      <c r="P1092" s="39">
        <f t="shared" si="89"/>
        <v>45901</v>
      </c>
    </row>
    <row r="1093" spans="1:16" ht="15.5" x14ac:dyDescent="0.35">
      <c r="A1093" s="17" t="s">
        <v>1141</v>
      </c>
      <c r="B1093" s="35">
        <v>45717</v>
      </c>
      <c r="C1093" s="17" t="s">
        <v>12</v>
      </c>
      <c r="D1093" s="17" t="s">
        <v>2585</v>
      </c>
      <c r="E1093" s="17" t="s">
        <v>45</v>
      </c>
      <c r="F1093" s="17" t="s">
        <v>34</v>
      </c>
      <c r="G1093" s="17" t="s">
        <v>16</v>
      </c>
      <c r="H1093" s="17" t="s">
        <v>2587</v>
      </c>
      <c r="I1093" s="17" t="s">
        <v>23</v>
      </c>
      <c r="J1093" s="36">
        <v>6000</v>
      </c>
      <c r="K1093" s="36">
        <v>7308.27</v>
      </c>
      <c r="L1093" s="36">
        <f t="shared" si="85"/>
        <v>1308.2700000000004</v>
      </c>
      <c r="M1093" s="37">
        <f t="shared" si="86"/>
        <v>0.21804500000000007</v>
      </c>
      <c r="N1093" s="17" t="str">
        <f t="shared" si="87"/>
        <v>Over Budget</v>
      </c>
      <c r="O1093" s="38">
        <f t="shared" si="88"/>
        <v>-7308.27</v>
      </c>
      <c r="P1093" s="39">
        <f t="shared" si="89"/>
        <v>45717</v>
      </c>
    </row>
    <row r="1094" spans="1:16" ht="15.5" x14ac:dyDescent="0.35">
      <c r="A1094" s="17" t="s">
        <v>1142</v>
      </c>
      <c r="B1094" s="35">
        <v>46069</v>
      </c>
      <c r="C1094" s="17" t="s">
        <v>25</v>
      </c>
      <c r="D1094" s="17" t="s">
        <v>26</v>
      </c>
      <c r="E1094" s="17" t="s">
        <v>27</v>
      </c>
      <c r="F1094" s="17" t="s">
        <v>34</v>
      </c>
      <c r="G1094" s="17" t="s">
        <v>38</v>
      </c>
      <c r="H1094" s="17" t="s">
        <v>2588</v>
      </c>
      <c r="I1094" s="17" t="s">
        <v>17</v>
      </c>
      <c r="J1094" s="36">
        <v>12933.33</v>
      </c>
      <c r="K1094" s="36">
        <v>167.19</v>
      </c>
      <c r="L1094" s="36">
        <f t="shared" si="85"/>
        <v>-12766.14</v>
      </c>
      <c r="M1094" s="37">
        <f t="shared" si="86"/>
        <v>-0.98707293481261205</v>
      </c>
      <c r="N1094" s="17" t="str">
        <f t="shared" si="87"/>
        <v>Under Budget</v>
      </c>
      <c r="O1094" s="38">
        <f t="shared" si="88"/>
        <v>167.19</v>
      </c>
      <c r="P1094" s="39">
        <f t="shared" si="89"/>
        <v>46054</v>
      </c>
    </row>
    <row r="1095" spans="1:16" ht="15.5" x14ac:dyDescent="0.35">
      <c r="A1095" s="17" t="s">
        <v>1143</v>
      </c>
      <c r="B1095" s="35">
        <v>46126</v>
      </c>
      <c r="C1095" s="17" t="s">
        <v>12</v>
      </c>
      <c r="D1095" s="17" t="s">
        <v>19</v>
      </c>
      <c r="E1095" s="17" t="s">
        <v>41</v>
      </c>
      <c r="F1095" s="17" t="s">
        <v>34</v>
      </c>
      <c r="G1095" s="17" t="s">
        <v>43</v>
      </c>
      <c r="H1095" s="17" t="s">
        <v>2588</v>
      </c>
      <c r="I1095" s="17" t="s">
        <v>48</v>
      </c>
      <c r="J1095" s="36">
        <v>10833.33</v>
      </c>
      <c r="K1095" s="36">
        <v>9898.07</v>
      </c>
      <c r="L1095" s="36">
        <f t="shared" si="85"/>
        <v>-935.26000000000022</v>
      </c>
      <c r="M1095" s="37">
        <f t="shared" si="86"/>
        <v>-8.6331718871298133E-2</v>
      </c>
      <c r="N1095" s="17" t="str">
        <f t="shared" si="87"/>
        <v>Under Budget</v>
      </c>
      <c r="O1095" s="38">
        <f t="shared" si="88"/>
        <v>-9898.07</v>
      </c>
      <c r="P1095" s="39">
        <f t="shared" si="89"/>
        <v>46113</v>
      </c>
    </row>
    <row r="1096" spans="1:16" ht="15.5" x14ac:dyDescent="0.35">
      <c r="A1096" s="17" t="s">
        <v>1144</v>
      </c>
      <c r="B1096" s="35">
        <v>46096</v>
      </c>
      <c r="C1096" s="17" t="s">
        <v>12</v>
      </c>
      <c r="D1096" s="17" t="s">
        <v>26</v>
      </c>
      <c r="E1096" s="17" t="s">
        <v>45</v>
      </c>
      <c r="F1096" s="17" t="s">
        <v>52</v>
      </c>
      <c r="G1096" s="17" t="s">
        <v>38</v>
      </c>
      <c r="H1096" s="17" t="s">
        <v>2586</v>
      </c>
      <c r="I1096" s="17" t="s">
        <v>23</v>
      </c>
      <c r="J1096" s="36">
        <v>7200</v>
      </c>
      <c r="K1096" s="36">
        <v>5443.81</v>
      </c>
      <c r="L1096" s="36">
        <f t="shared" si="85"/>
        <v>-1756.1899999999996</v>
      </c>
      <c r="M1096" s="37">
        <f t="shared" si="86"/>
        <v>-0.24391527777777772</v>
      </c>
      <c r="N1096" s="17" t="str">
        <f t="shared" si="87"/>
        <v>Under Budget</v>
      </c>
      <c r="O1096" s="38">
        <f t="shared" si="88"/>
        <v>-5443.81</v>
      </c>
      <c r="P1096" s="39">
        <f t="shared" si="89"/>
        <v>46082</v>
      </c>
    </row>
    <row r="1097" spans="1:16" ht="15.5" x14ac:dyDescent="0.35">
      <c r="A1097" s="17" t="s">
        <v>1145</v>
      </c>
      <c r="B1097" s="35">
        <v>46156</v>
      </c>
      <c r="C1097" s="17" t="s">
        <v>25</v>
      </c>
      <c r="D1097" s="17" t="s">
        <v>26</v>
      </c>
      <c r="E1097" s="17" t="s">
        <v>33</v>
      </c>
      <c r="F1097" s="17" t="s">
        <v>28</v>
      </c>
      <c r="G1097" s="17" t="s">
        <v>16</v>
      </c>
      <c r="H1097" s="17" t="s">
        <v>2588</v>
      </c>
      <c r="I1097" s="17" t="s">
        <v>30</v>
      </c>
      <c r="J1097" s="36">
        <v>10869.57</v>
      </c>
      <c r="K1097" s="36">
        <v>10204.209999999999</v>
      </c>
      <c r="L1097" s="36">
        <f t="shared" si="85"/>
        <v>-665.36000000000058</v>
      </c>
      <c r="M1097" s="37">
        <f t="shared" si="86"/>
        <v>-6.1213093066239108E-2</v>
      </c>
      <c r="N1097" s="17" t="str">
        <f t="shared" si="87"/>
        <v>Under Budget</v>
      </c>
      <c r="O1097" s="38">
        <f t="shared" si="88"/>
        <v>10204.209999999999</v>
      </c>
      <c r="P1097" s="39">
        <f t="shared" si="89"/>
        <v>46143</v>
      </c>
    </row>
    <row r="1098" spans="1:16" ht="15.5" x14ac:dyDescent="0.35">
      <c r="A1098" s="17" t="s">
        <v>1146</v>
      </c>
      <c r="B1098" s="35">
        <v>45712</v>
      </c>
      <c r="C1098" s="17" t="s">
        <v>25</v>
      </c>
      <c r="D1098" s="17" t="s">
        <v>19</v>
      </c>
      <c r="E1098" s="17" t="s">
        <v>33</v>
      </c>
      <c r="F1098" s="17" t="s">
        <v>21</v>
      </c>
      <c r="G1098" s="17" t="s">
        <v>43</v>
      </c>
      <c r="H1098" s="17" t="s">
        <v>2588</v>
      </c>
      <c r="I1098" s="17" t="s">
        <v>23</v>
      </c>
      <c r="J1098" s="36">
        <v>13472.22</v>
      </c>
      <c r="K1098" s="36">
        <v>17109.18</v>
      </c>
      <c r="L1098" s="36">
        <f t="shared" si="85"/>
        <v>3636.9600000000009</v>
      </c>
      <c r="M1098" s="37">
        <f t="shared" si="86"/>
        <v>0.26995996205525158</v>
      </c>
      <c r="N1098" s="17" t="str">
        <f t="shared" si="87"/>
        <v>Over Budget</v>
      </c>
      <c r="O1098" s="38">
        <f t="shared" si="88"/>
        <v>17109.18</v>
      </c>
      <c r="P1098" s="39">
        <f t="shared" si="89"/>
        <v>45689</v>
      </c>
    </row>
    <row r="1099" spans="1:16" ht="15.5" x14ac:dyDescent="0.35">
      <c r="A1099" s="17" t="s">
        <v>1147</v>
      </c>
      <c r="B1099" s="35">
        <v>45934</v>
      </c>
      <c r="C1099" s="17" t="s">
        <v>12</v>
      </c>
      <c r="D1099" s="17" t="s">
        <v>26</v>
      </c>
      <c r="E1099" s="17" t="s">
        <v>14</v>
      </c>
      <c r="F1099" s="17" t="s">
        <v>52</v>
      </c>
      <c r="G1099" s="17" t="s">
        <v>29</v>
      </c>
      <c r="H1099" s="17" t="s">
        <v>2590</v>
      </c>
      <c r="I1099" s="17" t="s">
        <v>23</v>
      </c>
      <c r="J1099" s="36">
        <v>2666.67</v>
      </c>
      <c r="K1099" s="36">
        <v>4232.34</v>
      </c>
      <c r="L1099" s="36">
        <f t="shared" si="85"/>
        <v>1565.67</v>
      </c>
      <c r="M1099" s="37">
        <f t="shared" si="86"/>
        <v>0.58712551609310493</v>
      </c>
      <c r="N1099" s="17" t="str">
        <f t="shared" si="87"/>
        <v>Over Budget</v>
      </c>
      <c r="O1099" s="38">
        <f t="shared" si="88"/>
        <v>-4232.34</v>
      </c>
      <c r="P1099" s="39">
        <f t="shared" si="89"/>
        <v>45931</v>
      </c>
    </row>
    <row r="1100" spans="1:16" ht="15.5" x14ac:dyDescent="0.35">
      <c r="A1100" s="17" t="s">
        <v>1148</v>
      </c>
      <c r="B1100" s="35">
        <v>45919</v>
      </c>
      <c r="C1100" s="17" t="s">
        <v>25</v>
      </c>
      <c r="D1100" s="17" t="s">
        <v>26</v>
      </c>
      <c r="E1100" s="17" t="s">
        <v>109</v>
      </c>
      <c r="F1100" s="17" t="s">
        <v>21</v>
      </c>
      <c r="G1100" s="17" t="s">
        <v>82</v>
      </c>
      <c r="H1100" s="17" t="s">
        <v>2591</v>
      </c>
      <c r="I1100" s="17" t="s">
        <v>30</v>
      </c>
      <c r="J1100" s="36">
        <v>7142.86</v>
      </c>
      <c r="K1100" s="36">
        <v>6247.49</v>
      </c>
      <c r="L1100" s="36">
        <f t="shared" si="85"/>
        <v>-895.36999999999989</v>
      </c>
      <c r="M1100" s="37">
        <f t="shared" si="86"/>
        <v>-0.12535174985930006</v>
      </c>
      <c r="N1100" s="17" t="str">
        <f t="shared" si="87"/>
        <v>Under Budget</v>
      </c>
      <c r="O1100" s="38">
        <f t="shared" si="88"/>
        <v>6247.49</v>
      </c>
      <c r="P1100" s="39">
        <f t="shared" si="89"/>
        <v>45901</v>
      </c>
    </row>
    <row r="1101" spans="1:16" ht="15.5" x14ac:dyDescent="0.35">
      <c r="A1101" s="17" t="s">
        <v>1149</v>
      </c>
      <c r="B1101" s="35">
        <v>45754</v>
      </c>
      <c r="C1101" s="17" t="s">
        <v>12</v>
      </c>
      <c r="D1101" s="17" t="s">
        <v>2585</v>
      </c>
      <c r="E1101" s="17" t="s">
        <v>47</v>
      </c>
      <c r="F1101" s="17" t="s">
        <v>34</v>
      </c>
      <c r="G1101" s="17" t="s">
        <v>38</v>
      </c>
      <c r="H1101" s="17" t="s">
        <v>2589</v>
      </c>
      <c r="I1101" s="17" t="s">
        <v>48</v>
      </c>
      <c r="J1101" s="36">
        <v>4375</v>
      </c>
      <c r="K1101" s="36">
        <v>2439.38</v>
      </c>
      <c r="L1101" s="36">
        <f t="shared" si="85"/>
        <v>-1935.62</v>
      </c>
      <c r="M1101" s="37">
        <f t="shared" si="86"/>
        <v>-0.44242742857142853</v>
      </c>
      <c r="N1101" s="17" t="str">
        <f t="shared" si="87"/>
        <v>Under Budget</v>
      </c>
      <c r="O1101" s="38">
        <f t="shared" si="88"/>
        <v>-2439.38</v>
      </c>
      <c r="P1101" s="39">
        <f t="shared" si="89"/>
        <v>45748</v>
      </c>
    </row>
    <row r="1102" spans="1:16" ht="15.5" x14ac:dyDescent="0.35">
      <c r="A1102" s="17" t="s">
        <v>1150</v>
      </c>
      <c r="B1102" s="35">
        <v>45745</v>
      </c>
      <c r="C1102" s="17" t="s">
        <v>25</v>
      </c>
      <c r="D1102" s="17" t="s">
        <v>32</v>
      </c>
      <c r="E1102" s="17" t="s">
        <v>33</v>
      </c>
      <c r="F1102" s="17" t="s">
        <v>34</v>
      </c>
      <c r="G1102" s="17" t="s">
        <v>38</v>
      </c>
      <c r="H1102" s="17" t="s">
        <v>2593</v>
      </c>
      <c r="I1102" s="17" t="s">
        <v>17</v>
      </c>
      <c r="J1102" s="36">
        <v>8064.52</v>
      </c>
      <c r="K1102" s="36">
        <v>19635.46</v>
      </c>
      <c r="L1102" s="36">
        <f t="shared" si="85"/>
        <v>11570.939999999999</v>
      </c>
      <c r="M1102" s="37">
        <f t="shared" si="86"/>
        <v>1.4347958712979816</v>
      </c>
      <c r="N1102" s="17" t="str">
        <f t="shared" si="87"/>
        <v>Over Budget</v>
      </c>
      <c r="O1102" s="38">
        <f t="shared" si="88"/>
        <v>19635.46</v>
      </c>
      <c r="P1102" s="39">
        <f t="shared" si="89"/>
        <v>45717</v>
      </c>
    </row>
    <row r="1103" spans="1:16" ht="15.5" x14ac:dyDescent="0.35">
      <c r="A1103" s="17" t="s">
        <v>1151</v>
      </c>
      <c r="B1103" s="35">
        <v>45801</v>
      </c>
      <c r="C1103" s="17" t="s">
        <v>12</v>
      </c>
      <c r="D1103" s="17" t="s">
        <v>19</v>
      </c>
      <c r="E1103" s="17" t="s">
        <v>51</v>
      </c>
      <c r="F1103" s="17" t="s">
        <v>15</v>
      </c>
      <c r="G1103" s="17" t="s">
        <v>29</v>
      </c>
      <c r="H1103" s="17" t="s">
        <v>80</v>
      </c>
      <c r="I1103" s="17" t="s">
        <v>48</v>
      </c>
      <c r="J1103" s="36">
        <v>2307.69</v>
      </c>
      <c r="K1103" s="36">
        <v>4898.01</v>
      </c>
      <c r="L1103" s="36">
        <f t="shared" si="85"/>
        <v>2590.3200000000002</v>
      </c>
      <c r="M1103" s="37">
        <f t="shared" si="86"/>
        <v>1.1224731224731226</v>
      </c>
      <c r="N1103" s="17" t="str">
        <f t="shared" si="87"/>
        <v>Over Budget</v>
      </c>
      <c r="O1103" s="38">
        <f t="shared" si="88"/>
        <v>-4898.01</v>
      </c>
      <c r="P1103" s="39">
        <f t="shared" si="89"/>
        <v>45778</v>
      </c>
    </row>
    <row r="1104" spans="1:16" ht="15.5" x14ac:dyDescent="0.35">
      <c r="A1104" s="17" t="s">
        <v>1152</v>
      </c>
      <c r="B1104" s="35">
        <v>45943</v>
      </c>
      <c r="C1104" s="17" t="s">
        <v>12</v>
      </c>
      <c r="D1104" s="17" t="s">
        <v>19</v>
      </c>
      <c r="E1104" s="17" t="s">
        <v>51</v>
      </c>
      <c r="F1104" s="17" t="s">
        <v>28</v>
      </c>
      <c r="G1104" s="17" t="s">
        <v>43</v>
      </c>
      <c r="H1104" s="17" t="s">
        <v>2596</v>
      </c>
      <c r="I1104" s="17" t="s">
        <v>17</v>
      </c>
      <c r="J1104" s="36">
        <v>5000</v>
      </c>
      <c r="K1104" s="36">
        <v>3381.43</v>
      </c>
      <c r="L1104" s="36">
        <f t="shared" si="85"/>
        <v>-1618.5700000000002</v>
      </c>
      <c r="M1104" s="37">
        <f t="shared" si="86"/>
        <v>-0.32371400000000006</v>
      </c>
      <c r="N1104" s="17" t="str">
        <f t="shared" si="87"/>
        <v>Under Budget</v>
      </c>
      <c r="O1104" s="38">
        <f t="shared" si="88"/>
        <v>-3381.43</v>
      </c>
      <c r="P1104" s="39">
        <f t="shared" si="89"/>
        <v>45931</v>
      </c>
    </row>
    <row r="1105" spans="1:16" ht="15.5" x14ac:dyDescent="0.35">
      <c r="A1105" s="17" t="s">
        <v>1153</v>
      </c>
      <c r="B1105" s="35">
        <v>46199</v>
      </c>
      <c r="C1105" s="17" t="s">
        <v>12</v>
      </c>
      <c r="D1105" s="17" t="s">
        <v>19</v>
      </c>
      <c r="E1105" s="17" t="s">
        <v>41</v>
      </c>
      <c r="F1105" s="17" t="s">
        <v>15</v>
      </c>
      <c r="G1105" s="17" t="s">
        <v>38</v>
      </c>
      <c r="H1105" s="17" t="s">
        <v>80</v>
      </c>
      <c r="I1105" s="17" t="s">
        <v>39</v>
      </c>
      <c r="J1105" s="36">
        <v>5416.67</v>
      </c>
      <c r="K1105" s="36">
        <v>4196.97</v>
      </c>
      <c r="L1105" s="36">
        <f t="shared" si="85"/>
        <v>-1219.6999999999998</v>
      </c>
      <c r="M1105" s="37">
        <f t="shared" si="86"/>
        <v>-0.22517524604600239</v>
      </c>
      <c r="N1105" s="17" t="str">
        <f t="shared" si="87"/>
        <v>Under Budget</v>
      </c>
      <c r="O1105" s="38">
        <f t="shared" si="88"/>
        <v>-4196.97</v>
      </c>
      <c r="P1105" s="39">
        <f t="shared" si="89"/>
        <v>46174</v>
      </c>
    </row>
    <row r="1106" spans="1:16" ht="15.5" x14ac:dyDescent="0.35">
      <c r="A1106" s="17" t="s">
        <v>1154</v>
      </c>
      <c r="B1106" s="35">
        <v>45957</v>
      </c>
      <c r="C1106" s="17" t="s">
        <v>12</v>
      </c>
      <c r="D1106" s="17" t="s">
        <v>36</v>
      </c>
      <c r="E1106" s="17" t="s">
        <v>20</v>
      </c>
      <c r="F1106" s="17" t="s">
        <v>21</v>
      </c>
      <c r="G1106" s="17" t="s">
        <v>38</v>
      </c>
      <c r="H1106" s="17" t="s">
        <v>2587</v>
      </c>
      <c r="I1106" s="17" t="s">
        <v>39</v>
      </c>
      <c r="J1106" s="36">
        <v>3000</v>
      </c>
      <c r="K1106" s="36">
        <v>1184.2</v>
      </c>
      <c r="L1106" s="36">
        <f t="shared" si="85"/>
        <v>-1815.8</v>
      </c>
      <c r="M1106" s="37">
        <f t="shared" si="86"/>
        <v>-0.60526666666666662</v>
      </c>
      <c r="N1106" s="17" t="str">
        <f t="shared" si="87"/>
        <v>Under Budget</v>
      </c>
      <c r="O1106" s="38">
        <f t="shared" si="88"/>
        <v>-1184.2</v>
      </c>
      <c r="P1106" s="39">
        <f t="shared" si="89"/>
        <v>45931</v>
      </c>
    </row>
    <row r="1107" spans="1:16" ht="15.5" x14ac:dyDescent="0.35">
      <c r="A1107" s="17" t="s">
        <v>1155</v>
      </c>
      <c r="B1107" s="35">
        <v>45668</v>
      </c>
      <c r="C1107" s="17" t="s">
        <v>25</v>
      </c>
      <c r="D1107" s="17" t="s">
        <v>36</v>
      </c>
      <c r="E1107" s="17" t="s">
        <v>33</v>
      </c>
      <c r="F1107" s="17" t="s">
        <v>34</v>
      </c>
      <c r="G1107" s="17" t="s">
        <v>16</v>
      </c>
      <c r="H1107" s="17" t="s">
        <v>2593</v>
      </c>
      <c r="I1107" s="17" t="s">
        <v>39</v>
      </c>
      <c r="J1107" s="36">
        <v>11022.73</v>
      </c>
      <c r="K1107" s="36">
        <v>19558.25</v>
      </c>
      <c r="L1107" s="36">
        <f t="shared" si="85"/>
        <v>8535.52</v>
      </c>
      <c r="M1107" s="37">
        <f t="shared" si="86"/>
        <v>0.77435626201494556</v>
      </c>
      <c r="N1107" s="17" t="str">
        <f t="shared" si="87"/>
        <v>Over Budget</v>
      </c>
      <c r="O1107" s="38">
        <f t="shared" si="88"/>
        <v>19558.25</v>
      </c>
      <c r="P1107" s="39">
        <f t="shared" si="89"/>
        <v>45658</v>
      </c>
    </row>
    <row r="1108" spans="1:16" ht="15.5" x14ac:dyDescent="0.35">
      <c r="A1108" s="17" t="s">
        <v>1156</v>
      </c>
      <c r="B1108" s="35">
        <v>46077</v>
      </c>
      <c r="C1108" s="17" t="s">
        <v>12</v>
      </c>
      <c r="D1108" s="17" t="s">
        <v>36</v>
      </c>
      <c r="E1108" s="17" t="s">
        <v>20</v>
      </c>
      <c r="F1108" s="17" t="s">
        <v>34</v>
      </c>
      <c r="G1108" s="17" t="s">
        <v>22</v>
      </c>
      <c r="H1108" s="17" t="s">
        <v>2586</v>
      </c>
      <c r="I1108" s="17" t="s">
        <v>23</v>
      </c>
      <c r="J1108" s="36">
        <v>2182.5</v>
      </c>
      <c r="K1108" s="36">
        <v>286.94</v>
      </c>
      <c r="L1108" s="36">
        <f t="shared" si="85"/>
        <v>-1895.56</v>
      </c>
      <c r="M1108" s="37">
        <f t="shared" si="86"/>
        <v>-0.86852691867124854</v>
      </c>
      <c r="N1108" s="17" t="str">
        <f t="shared" si="87"/>
        <v>Under Budget</v>
      </c>
      <c r="O1108" s="38">
        <f t="shared" si="88"/>
        <v>-286.94</v>
      </c>
      <c r="P1108" s="39">
        <f t="shared" si="89"/>
        <v>46054</v>
      </c>
    </row>
    <row r="1109" spans="1:16" ht="15.5" x14ac:dyDescent="0.35">
      <c r="A1109" s="17" t="s">
        <v>1157</v>
      </c>
      <c r="B1109" s="35">
        <v>45820</v>
      </c>
      <c r="C1109" s="17" t="s">
        <v>12</v>
      </c>
      <c r="D1109" s="17" t="s">
        <v>26</v>
      </c>
      <c r="E1109" s="17" t="s">
        <v>65</v>
      </c>
      <c r="F1109" s="17" t="s">
        <v>28</v>
      </c>
      <c r="G1109" s="17" t="s">
        <v>82</v>
      </c>
      <c r="H1109" s="17" t="s">
        <v>80</v>
      </c>
      <c r="I1109" s="17" t="s">
        <v>39</v>
      </c>
      <c r="J1109" s="36">
        <v>5500</v>
      </c>
      <c r="K1109" s="36">
        <v>2161.12</v>
      </c>
      <c r="L1109" s="36">
        <f t="shared" si="85"/>
        <v>-3338.88</v>
      </c>
      <c r="M1109" s="37">
        <f t="shared" si="86"/>
        <v>-0.60706909090909089</v>
      </c>
      <c r="N1109" s="17" t="str">
        <f t="shared" si="87"/>
        <v>Under Budget</v>
      </c>
      <c r="O1109" s="38">
        <f t="shared" si="88"/>
        <v>-2161.12</v>
      </c>
      <c r="P1109" s="39">
        <f t="shared" si="89"/>
        <v>45809</v>
      </c>
    </row>
    <row r="1110" spans="1:16" ht="15.5" x14ac:dyDescent="0.35">
      <c r="A1110" s="17" t="s">
        <v>1158</v>
      </c>
      <c r="B1110" s="35">
        <v>45671</v>
      </c>
      <c r="C1110" s="17" t="s">
        <v>12</v>
      </c>
      <c r="D1110" s="17" t="s">
        <v>2584</v>
      </c>
      <c r="E1110" s="17" t="s">
        <v>45</v>
      </c>
      <c r="F1110" s="17" t="s">
        <v>34</v>
      </c>
      <c r="G1110" s="17" t="s">
        <v>22</v>
      </c>
      <c r="H1110" s="17" t="s">
        <v>2587</v>
      </c>
      <c r="I1110" s="17" t="s">
        <v>30</v>
      </c>
      <c r="J1110" s="36">
        <v>7591.3</v>
      </c>
      <c r="K1110" s="36">
        <v>7740.55</v>
      </c>
      <c r="L1110" s="36">
        <f t="shared" si="85"/>
        <v>149.25</v>
      </c>
      <c r="M1110" s="37">
        <f t="shared" si="86"/>
        <v>1.9660664181365511E-2</v>
      </c>
      <c r="N1110" s="17" t="str">
        <f t="shared" si="87"/>
        <v>Over Budget</v>
      </c>
      <c r="O1110" s="38">
        <f t="shared" si="88"/>
        <v>-7740.55</v>
      </c>
      <c r="P1110" s="39">
        <f t="shared" si="89"/>
        <v>45658</v>
      </c>
    </row>
    <row r="1111" spans="1:16" ht="15.5" x14ac:dyDescent="0.35">
      <c r="A1111" s="17" t="s">
        <v>1159</v>
      </c>
      <c r="B1111" s="35">
        <v>45813</v>
      </c>
      <c r="C1111" s="17" t="s">
        <v>12</v>
      </c>
      <c r="D1111" s="17" t="s">
        <v>26</v>
      </c>
      <c r="E1111" s="17" t="s">
        <v>45</v>
      </c>
      <c r="F1111" s="17" t="s">
        <v>34</v>
      </c>
      <c r="G1111" s="17" t="s">
        <v>38</v>
      </c>
      <c r="H1111" s="17" t="s">
        <v>2597</v>
      </c>
      <c r="I1111" s="17" t="s">
        <v>48</v>
      </c>
      <c r="J1111" s="36">
        <v>6428.57</v>
      </c>
      <c r="K1111" s="36">
        <v>0</v>
      </c>
      <c r="L1111" s="36">
        <f t="shared" si="85"/>
        <v>-6428.57</v>
      </c>
      <c r="M1111" s="37">
        <f t="shared" si="86"/>
        <v>-1</v>
      </c>
      <c r="N1111" s="17" t="str">
        <f t="shared" si="87"/>
        <v>Under Budget</v>
      </c>
      <c r="O1111" s="38">
        <f t="shared" si="88"/>
        <v>0</v>
      </c>
      <c r="P1111" s="39">
        <f t="shared" si="89"/>
        <v>45809</v>
      </c>
    </row>
    <row r="1112" spans="1:16" ht="15.5" x14ac:dyDescent="0.35">
      <c r="A1112" s="17" t="s">
        <v>1160</v>
      </c>
      <c r="B1112" s="35">
        <v>45737</v>
      </c>
      <c r="C1112" s="17" t="s">
        <v>12</v>
      </c>
      <c r="D1112" s="17" t="s">
        <v>32</v>
      </c>
      <c r="E1112" s="17" t="s">
        <v>77</v>
      </c>
      <c r="F1112" s="17" t="s">
        <v>52</v>
      </c>
      <c r="G1112" s="17" t="s">
        <v>38</v>
      </c>
      <c r="H1112" s="17" t="s">
        <v>2591</v>
      </c>
      <c r="I1112" s="17" t="s">
        <v>39</v>
      </c>
      <c r="J1112" s="36">
        <v>3142.86</v>
      </c>
      <c r="K1112" s="36">
        <v>2098.87</v>
      </c>
      <c r="L1112" s="36">
        <f t="shared" si="85"/>
        <v>-1043.9900000000002</v>
      </c>
      <c r="M1112" s="37">
        <f t="shared" si="86"/>
        <v>-0.33217833438333244</v>
      </c>
      <c r="N1112" s="17" t="str">
        <f t="shared" si="87"/>
        <v>Under Budget</v>
      </c>
      <c r="O1112" s="38">
        <f t="shared" si="88"/>
        <v>-2098.87</v>
      </c>
      <c r="P1112" s="39">
        <f t="shared" si="89"/>
        <v>45717</v>
      </c>
    </row>
    <row r="1113" spans="1:16" ht="15.5" x14ac:dyDescent="0.35">
      <c r="A1113" s="17" t="s">
        <v>1161</v>
      </c>
      <c r="B1113" s="35">
        <v>46110</v>
      </c>
      <c r="C1113" s="17" t="s">
        <v>25</v>
      </c>
      <c r="D1113" s="17" t="s">
        <v>2584</v>
      </c>
      <c r="E1113" s="17" t="s">
        <v>27</v>
      </c>
      <c r="F1113" s="17" t="s">
        <v>52</v>
      </c>
      <c r="G1113" s="17" t="s">
        <v>38</v>
      </c>
      <c r="H1113" s="17" t="s">
        <v>2586</v>
      </c>
      <c r="I1113" s="17" t="s">
        <v>23</v>
      </c>
      <c r="J1113" s="36">
        <v>10000</v>
      </c>
      <c r="K1113" s="36">
        <v>6040.7</v>
      </c>
      <c r="L1113" s="36">
        <f t="shared" si="85"/>
        <v>-3959.3</v>
      </c>
      <c r="M1113" s="37">
        <f t="shared" si="86"/>
        <v>-0.39593</v>
      </c>
      <c r="N1113" s="17" t="str">
        <f t="shared" si="87"/>
        <v>Under Budget</v>
      </c>
      <c r="O1113" s="38">
        <f t="shared" si="88"/>
        <v>6040.7</v>
      </c>
      <c r="P1113" s="39">
        <f t="shared" si="89"/>
        <v>46082</v>
      </c>
    </row>
    <row r="1114" spans="1:16" ht="15.5" x14ac:dyDescent="0.35">
      <c r="A1114" s="17" t="s">
        <v>1162</v>
      </c>
      <c r="B1114" s="35">
        <v>45967</v>
      </c>
      <c r="C1114" s="17" t="s">
        <v>25</v>
      </c>
      <c r="D1114" s="17" t="s">
        <v>32</v>
      </c>
      <c r="E1114" s="17" t="s">
        <v>33</v>
      </c>
      <c r="F1114" s="17" t="s">
        <v>15</v>
      </c>
      <c r="G1114" s="17" t="s">
        <v>16</v>
      </c>
      <c r="H1114" s="17" t="s">
        <v>2598</v>
      </c>
      <c r="I1114" s="17" t="s">
        <v>48</v>
      </c>
      <c r="J1114" s="36">
        <v>13125</v>
      </c>
      <c r="K1114" s="36">
        <v>5042.3100000000004</v>
      </c>
      <c r="L1114" s="36">
        <f t="shared" si="85"/>
        <v>-8082.69</v>
      </c>
      <c r="M1114" s="37">
        <f t="shared" si="86"/>
        <v>-0.61582399999999993</v>
      </c>
      <c r="N1114" s="17" t="str">
        <f t="shared" si="87"/>
        <v>Under Budget</v>
      </c>
      <c r="O1114" s="38">
        <f t="shared" si="88"/>
        <v>5042.3100000000004</v>
      </c>
      <c r="P1114" s="39">
        <f t="shared" si="89"/>
        <v>45962</v>
      </c>
    </row>
    <row r="1115" spans="1:16" ht="15.5" x14ac:dyDescent="0.35">
      <c r="A1115" s="17" t="s">
        <v>1163</v>
      </c>
      <c r="B1115" s="35">
        <v>45841</v>
      </c>
      <c r="C1115" s="17" t="s">
        <v>25</v>
      </c>
      <c r="D1115" s="17" t="s">
        <v>13</v>
      </c>
      <c r="E1115" s="17" t="s">
        <v>33</v>
      </c>
      <c r="F1115" s="17" t="s">
        <v>52</v>
      </c>
      <c r="G1115" s="17" t="s">
        <v>38</v>
      </c>
      <c r="H1115" s="17" t="s">
        <v>60</v>
      </c>
      <c r="I1115" s="17" t="s">
        <v>48</v>
      </c>
      <c r="J1115" s="36">
        <v>12500</v>
      </c>
      <c r="K1115" s="36">
        <v>11295</v>
      </c>
      <c r="L1115" s="36">
        <f t="shared" si="85"/>
        <v>-1205</v>
      </c>
      <c r="M1115" s="37">
        <f t="shared" si="86"/>
        <v>-9.64E-2</v>
      </c>
      <c r="N1115" s="17" t="str">
        <f t="shared" si="87"/>
        <v>Under Budget</v>
      </c>
      <c r="O1115" s="38">
        <f t="shared" si="88"/>
        <v>11295</v>
      </c>
      <c r="P1115" s="39">
        <f t="shared" si="89"/>
        <v>45839</v>
      </c>
    </row>
    <row r="1116" spans="1:16" ht="15.5" x14ac:dyDescent="0.35">
      <c r="A1116" s="17" t="s">
        <v>1164</v>
      </c>
      <c r="B1116" s="35">
        <v>45803</v>
      </c>
      <c r="C1116" s="17" t="s">
        <v>12</v>
      </c>
      <c r="D1116" s="17" t="s">
        <v>26</v>
      </c>
      <c r="E1116" s="17" t="s">
        <v>37</v>
      </c>
      <c r="F1116" s="17" t="s">
        <v>52</v>
      </c>
      <c r="G1116" s="17" t="s">
        <v>82</v>
      </c>
      <c r="H1116" s="17" t="s">
        <v>2592</v>
      </c>
      <c r="I1116" s="17" t="s">
        <v>17</v>
      </c>
      <c r="J1116" s="36">
        <v>4000</v>
      </c>
      <c r="K1116" s="36">
        <v>1910.89</v>
      </c>
      <c r="L1116" s="36">
        <f t="shared" si="85"/>
        <v>-2089.1099999999997</v>
      </c>
      <c r="M1116" s="37">
        <f t="shared" si="86"/>
        <v>-0.52227749999999995</v>
      </c>
      <c r="N1116" s="17" t="str">
        <f t="shared" si="87"/>
        <v>Under Budget</v>
      </c>
      <c r="O1116" s="38">
        <f t="shared" si="88"/>
        <v>-1910.89</v>
      </c>
      <c r="P1116" s="39">
        <f t="shared" si="89"/>
        <v>45778</v>
      </c>
    </row>
    <row r="1117" spans="1:16" ht="15.5" x14ac:dyDescent="0.35">
      <c r="A1117" s="17" t="s">
        <v>1165</v>
      </c>
      <c r="B1117" s="35">
        <v>45917</v>
      </c>
      <c r="C1117" s="17" t="s">
        <v>12</v>
      </c>
      <c r="D1117" s="17" t="s">
        <v>26</v>
      </c>
      <c r="E1117" s="17" t="s">
        <v>45</v>
      </c>
      <c r="F1117" s="17" t="s">
        <v>34</v>
      </c>
      <c r="G1117" s="17" t="s">
        <v>16</v>
      </c>
      <c r="H1117" s="17" t="s">
        <v>2590</v>
      </c>
      <c r="I1117" s="17" t="s">
        <v>30</v>
      </c>
      <c r="J1117" s="36">
        <v>7500</v>
      </c>
      <c r="K1117" s="36">
        <v>8373.18</v>
      </c>
      <c r="L1117" s="36">
        <f t="shared" si="85"/>
        <v>873.18000000000029</v>
      </c>
      <c r="M1117" s="37">
        <f t="shared" si="86"/>
        <v>0.11642400000000004</v>
      </c>
      <c r="N1117" s="17" t="str">
        <f t="shared" si="87"/>
        <v>Over Budget</v>
      </c>
      <c r="O1117" s="38">
        <f t="shared" si="88"/>
        <v>-8373.18</v>
      </c>
      <c r="P1117" s="39">
        <f t="shared" si="89"/>
        <v>45901</v>
      </c>
    </row>
    <row r="1118" spans="1:16" ht="15.5" x14ac:dyDescent="0.35">
      <c r="A1118" s="17" t="s">
        <v>1166</v>
      </c>
      <c r="B1118" s="35">
        <v>46108</v>
      </c>
      <c r="C1118" s="17" t="s">
        <v>25</v>
      </c>
      <c r="D1118" s="17" t="s">
        <v>32</v>
      </c>
      <c r="E1118" s="17" t="s">
        <v>109</v>
      </c>
      <c r="F1118" s="17" t="s">
        <v>15</v>
      </c>
      <c r="G1118" s="17" t="s">
        <v>16</v>
      </c>
      <c r="H1118" s="17" t="s">
        <v>2594</v>
      </c>
      <c r="I1118" s="17" t="s">
        <v>30</v>
      </c>
      <c r="J1118" s="36">
        <v>10000</v>
      </c>
      <c r="K1118" s="36">
        <v>2973.63</v>
      </c>
      <c r="L1118" s="36">
        <f t="shared" si="85"/>
        <v>-7026.37</v>
      </c>
      <c r="M1118" s="37">
        <f t="shared" si="86"/>
        <v>-0.70263699999999996</v>
      </c>
      <c r="N1118" s="17" t="str">
        <f t="shared" si="87"/>
        <v>Under Budget</v>
      </c>
      <c r="O1118" s="38">
        <f t="shared" si="88"/>
        <v>2973.63</v>
      </c>
      <c r="P1118" s="39">
        <f t="shared" si="89"/>
        <v>46082</v>
      </c>
    </row>
    <row r="1119" spans="1:16" ht="15.5" x14ac:dyDescent="0.35">
      <c r="A1119" s="17" t="s">
        <v>1167</v>
      </c>
      <c r="B1119" s="35">
        <v>46171</v>
      </c>
      <c r="C1119" s="17" t="s">
        <v>25</v>
      </c>
      <c r="D1119" s="17" t="s">
        <v>19</v>
      </c>
      <c r="E1119" s="17" t="s">
        <v>33</v>
      </c>
      <c r="F1119" s="17" t="s">
        <v>52</v>
      </c>
      <c r="G1119" s="17" t="s">
        <v>38</v>
      </c>
      <c r="H1119" s="17" t="s">
        <v>2598</v>
      </c>
      <c r="I1119" s="17" t="s">
        <v>17</v>
      </c>
      <c r="J1119" s="36">
        <v>10869.57</v>
      </c>
      <c r="K1119" s="36">
        <v>3802.8</v>
      </c>
      <c r="L1119" s="36">
        <f t="shared" si="85"/>
        <v>-7066.7699999999995</v>
      </c>
      <c r="M1119" s="37">
        <f t="shared" si="86"/>
        <v>-0.65014255393727627</v>
      </c>
      <c r="N1119" s="17" t="str">
        <f t="shared" si="87"/>
        <v>Under Budget</v>
      </c>
      <c r="O1119" s="38">
        <f t="shared" si="88"/>
        <v>3802.8</v>
      </c>
      <c r="P1119" s="39">
        <f t="shared" si="89"/>
        <v>46143</v>
      </c>
    </row>
    <row r="1120" spans="1:16" ht="15.5" x14ac:dyDescent="0.35">
      <c r="A1120" s="17" t="s">
        <v>1168</v>
      </c>
      <c r="B1120" s="35">
        <v>46135</v>
      </c>
      <c r="C1120" s="17" t="s">
        <v>12</v>
      </c>
      <c r="D1120" s="17" t="s">
        <v>13</v>
      </c>
      <c r="E1120" s="17" t="s">
        <v>45</v>
      </c>
      <c r="F1120" s="17" t="s">
        <v>52</v>
      </c>
      <c r="G1120" s="17" t="s">
        <v>38</v>
      </c>
      <c r="H1120" s="17" t="s">
        <v>2586</v>
      </c>
      <c r="I1120" s="17" t="s">
        <v>48</v>
      </c>
      <c r="J1120" s="36">
        <v>8571.43</v>
      </c>
      <c r="K1120" s="36">
        <v>8516.42</v>
      </c>
      <c r="L1120" s="36">
        <f t="shared" si="85"/>
        <v>-55.010000000000218</v>
      </c>
      <c r="M1120" s="37">
        <f t="shared" si="86"/>
        <v>-6.4178322636946478E-3</v>
      </c>
      <c r="N1120" s="17" t="str">
        <f t="shared" si="87"/>
        <v>Under Budget</v>
      </c>
      <c r="O1120" s="38">
        <f t="shared" si="88"/>
        <v>-8516.42</v>
      </c>
      <c r="P1120" s="39">
        <f t="shared" si="89"/>
        <v>46113</v>
      </c>
    </row>
    <row r="1121" spans="1:16" ht="15.5" x14ac:dyDescent="0.35">
      <c r="A1121" s="17" t="s">
        <v>1169</v>
      </c>
      <c r="B1121" s="35">
        <v>45918</v>
      </c>
      <c r="C1121" s="17" t="s">
        <v>12</v>
      </c>
      <c r="D1121" s="17" t="s">
        <v>26</v>
      </c>
      <c r="E1121" s="17" t="s">
        <v>37</v>
      </c>
      <c r="F1121" s="17" t="s">
        <v>34</v>
      </c>
      <c r="G1121" s="17" t="s">
        <v>38</v>
      </c>
      <c r="H1121" s="17" t="s">
        <v>2589</v>
      </c>
      <c r="I1121" s="17" t="s">
        <v>39</v>
      </c>
      <c r="J1121" s="36">
        <v>3500</v>
      </c>
      <c r="K1121" s="36">
        <v>2382.23</v>
      </c>
      <c r="L1121" s="36">
        <f t="shared" si="85"/>
        <v>-1117.77</v>
      </c>
      <c r="M1121" s="37">
        <f t="shared" si="86"/>
        <v>-0.31936285714285712</v>
      </c>
      <c r="N1121" s="17" t="str">
        <f t="shared" si="87"/>
        <v>Under Budget</v>
      </c>
      <c r="O1121" s="38">
        <f t="shared" si="88"/>
        <v>-2382.23</v>
      </c>
      <c r="P1121" s="39">
        <f t="shared" si="89"/>
        <v>45901</v>
      </c>
    </row>
    <row r="1122" spans="1:16" ht="15.5" x14ac:dyDescent="0.35">
      <c r="A1122" s="17" t="s">
        <v>1170</v>
      </c>
      <c r="B1122" s="35">
        <v>45883</v>
      </c>
      <c r="C1122" s="17" t="s">
        <v>12</v>
      </c>
      <c r="D1122" s="17" t="s">
        <v>2585</v>
      </c>
      <c r="E1122" s="17" t="s">
        <v>41</v>
      </c>
      <c r="F1122" s="17" t="s">
        <v>52</v>
      </c>
      <c r="G1122" s="17" t="s">
        <v>22</v>
      </c>
      <c r="H1122" s="17" t="s">
        <v>2598</v>
      </c>
      <c r="I1122" s="17" t="s">
        <v>48</v>
      </c>
      <c r="J1122" s="36">
        <v>10833.33</v>
      </c>
      <c r="K1122" s="36">
        <v>6002.22</v>
      </c>
      <c r="L1122" s="36">
        <f t="shared" si="85"/>
        <v>-4831.1099999999997</v>
      </c>
      <c r="M1122" s="37">
        <f t="shared" si="86"/>
        <v>-0.44594875259961614</v>
      </c>
      <c r="N1122" s="17" t="str">
        <f t="shared" si="87"/>
        <v>Under Budget</v>
      </c>
      <c r="O1122" s="38">
        <f t="shared" si="88"/>
        <v>-6002.22</v>
      </c>
      <c r="P1122" s="39">
        <f t="shared" si="89"/>
        <v>45870</v>
      </c>
    </row>
    <row r="1123" spans="1:16" ht="15.5" x14ac:dyDescent="0.35">
      <c r="A1123" s="17" t="s">
        <v>1171</v>
      </c>
      <c r="B1123" s="35">
        <v>46052</v>
      </c>
      <c r="C1123" s="17" t="s">
        <v>12</v>
      </c>
      <c r="D1123" s="17" t="s">
        <v>26</v>
      </c>
      <c r="E1123" s="17" t="s">
        <v>14</v>
      </c>
      <c r="F1123" s="17" t="s">
        <v>52</v>
      </c>
      <c r="G1123" s="17" t="s">
        <v>38</v>
      </c>
      <c r="H1123" s="17" t="s">
        <v>80</v>
      </c>
      <c r="I1123" s="17" t="s">
        <v>23</v>
      </c>
      <c r="J1123" s="36">
        <v>3104</v>
      </c>
      <c r="K1123" s="36">
        <v>5817.94</v>
      </c>
      <c r="L1123" s="36">
        <f t="shared" si="85"/>
        <v>2713.9399999999996</v>
      </c>
      <c r="M1123" s="37">
        <f t="shared" si="86"/>
        <v>0.87433634020618545</v>
      </c>
      <c r="N1123" s="17" t="str">
        <f t="shared" si="87"/>
        <v>Over Budget</v>
      </c>
      <c r="O1123" s="38">
        <f t="shared" si="88"/>
        <v>-5817.94</v>
      </c>
      <c r="P1123" s="39">
        <f t="shared" si="89"/>
        <v>46023</v>
      </c>
    </row>
    <row r="1124" spans="1:16" ht="15.5" x14ac:dyDescent="0.35">
      <c r="A1124" s="17" t="s">
        <v>1172</v>
      </c>
      <c r="B1124" s="35">
        <v>45703</v>
      </c>
      <c r="C1124" s="17" t="s">
        <v>12</v>
      </c>
      <c r="D1124" s="17" t="s">
        <v>2585</v>
      </c>
      <c r="E1124" s="17" t="s">
        <v>41</v>
      </c>
      <c r="F1124" s="17" t="s">
        <v>34</v>
      </c>
      <c r="G1124" s="17" t="s">
        <v>43</v>
      </c>
      <c r="H1124" s="17" t="s">
        <v>2597</v>
      </c>
      <c r="I1124" s="17" t="s">
        <v>30</v>
      </c>
      <c r="J1124" s="36">
        <v>10508.33</v>
      </c>
      <c r="K1124" s="36">
        <v>7558.68</v>
      </c>
      <c r="L1124" s="36">
        <f t="shared" si="85"/>
        <v>-2949.6499999999996</v>
      </c>
      <c r="M1124" s="37">
        <f t="shared" si="86"/>
        <v>-0.28069636183865559</v>
      </c>
      <c r="N1124" s="17" t="str">
        <f t="shared" si="87"/>
        <v>Under Budget</v>
      </c>
      <c r="O1124" s="38">
        <f t="shared" si="88"/>
        <v>-7558.68</v>
      </c>
      <c r="P1124" s="39">
        <f t="shared" si="89"/>
        <v>45689</v>
      </c>
    </row>
    <row r="1125" spans="1:16" ht="15.5" x14ac:dyDescent="0.35">
      <c r="A1125" s="17" t="s">
        <v>1173</v>
      </c>
      <c r="B1125" s="35">
        <v>45930</v>
      </c>
      <c r="C1125" s="17" t="s">
        <v>12</v>
      </c>
      <c r="D1125" s="17" t="s">
        <v>19</v>
      </c>
      <c r="E1125" s="17" t="s">
        <v>65</v>
      </c>
      <c r="F1125" s="17" t="s">
        <v>28</v>
      </c>
      <c r="G1125" s="17" t="s">
        <v>82</v>
      </c>
      <c r="H1125" s="17" t="s">
        <v>2588</v>
      </c>
      <c r="I1125" s="17" t="s">
        <v>23</v>
      </c>
      <c r="J1125" s="36">
        <v>6111.11</v>
      </c>
      <c r="K1125" s="36">
        <v>577.51</v>
      </c>
      <c r="L1125" s="36">
        <f t="shared" si="85"/>
        <v>-5533.5999999999995</v>
      </c>
      <c r="M1125" s="37">
        <f t="shared" si="86"/>
        <v>-0.90549834645424476</v>
      </c>
      <c r="N1125" s="17" t="str">
        <f t="shared" si="87"/>
        <v>Under Budget</v>
      </c>
      <c r="O1125" s="38">
        <f t="shared" si="88"/>
        <v>-577.51</v>
      </c>
      <c r="P1125" s="39">
        <f t="shared" si="89"/>
        <v>45901</v>
      </c>
    </row>
    <row r="1126" spans="1:16" ht="15.5" x14ac:dyDescent="0.35">
      <c r="A1126" s="17" t="s">
        <v>1174</v>
      </c>
      <c r="B1126" s="35">
        <v>46110</v>
      </c>
      <c r="C1126" s="17" t="s">
        <v>12</v>
      </c>
      <c r="D1126" s="17" t="s">
        <v>19</v>
      </c>
      <c r="E1126" s="17" t="s">
        <v>20</v>
      </c>
      <c r="F1126" s="17" t="s">
        <v>34</v>
      </c>
      <c r="G1126" s="17" t="s">
        <v>29</v>
      </c>
      <c r="H1126" s="17" t="s">
        <v>2593</v>
      </c>
      <c r="I1126" s="17" t="s">
        <v>39</v>
      </c>
      <c r="J1126" s="36">
        <v>2571.4299999999998</v>
      </c>
      <c r="K1126" s="36">
        <v>1513.21</v>
      </c>
      <c r="L1126" s="36">
        <f t="shared" si="85"/>
        <v>-1058.2199999999998</v>
      </c>
      <c r="M1126" s="37">
        <f t="shared" si="86"/>
        <v>-0.4115297713723492</v>
      </c>
      <c r="N1126" s="17" t="str">
        <f t="shared" si="87"/>
        <v>Under Budget</v>
      </c>
      <c r="O1126" s="38">
        <f t="shared" si="88"/>
        <v>-1513.21</v>
      </c>
      <c r="P1126" s="39">
        <f t="shared" si="89"/>
        <v>46082</v>
      </c>
    </row>
    <row r="1127" spans="1:16" ht="15.5" x14ac:dyDescent="0.35">
      <c r="A1127" s="17" t="s">
        <v>1175</v>
      </c>
      <c r="B1127" s="35">
        <v>46054</v>
      </c>
      <c r="C1127" s="17" t="s">
        <v>25</v>
      </c>
      <c r="D1127" s="17" t="s">
        <v>32</v>
      </c>
      <c r="E1127" s="17" t="s">
        <v>109</v>
      </c>
      <c r="F1127" s="17" t="s">
        <v>34</v>
      </c>
      <c r="G1127" s="17" t="s">
        <v>38</v>
      </c>
      <c r="H1127" s="17" t="s">
        <v>2583</v>
      </c>
      <c r="I1127" s="17" t="s">
        <v>39</v>
      </c>
      <c r="J1127" s="36">
        <v>8083.33</v>
      </c>
      <c r="K1127" s="36">
        <v>655.4</v>
      </c>
      <c r="L1127" s="36">
        <f t="shared" si="85"/>
        <v>-7427.93</v>
      </c>
      <c r="M1127" s="37">
        <f t="shared" si="86"/>
        <v>-0.91891955419363069</v>
      </c>
      <c r="N1127" s="17" t="str">
        <f t="shared" si="87"/>
        <v>Under Budget</v>
      </c>
      <c r="O1127" s="38">
        <f t="shared" si="88"/>
        <v>655.4</v>
      </c>
      <c r="P1127" s="39">
        <f t="shared" si="89"/>
        <v>46054</v>
      </c>
    </row>
    <row r="1128" spans="1:16" ht="15.5" x14ac:dyDescent="0.35">
      <c r="A1128" s="17" t="s">
        <v>1176</v>
      </c>
      <c r="B1128" s="35">
        <v>46129</v>
      </c>
      <c r="C1128" s="17" t="s">
        <v>25</v>
      </c>
      <c r="D1128" s="17" t="s">
        <v>26</v>
      </c>
      <c r="E1128" s="17" t="s">
        <v>33</v>
      </c>
      <c r="F1128" s="17" t="s">
        <v>28</v>
      </c>
      <c r="G1128" s="17" t="s">
        <v>29</v>
      </c>
      <c r="H1128" s="17" t="s">
        <v>2591</v>
      </c>
      <c r="I1128" s="17" t="s">
        <v>30</v>
      </c>
      <c r="J1128" s="36">
        <v>8333.33</v>
      </c>
      <c r="K1128" s="36">
        <v>22287.38</v>
      </c>
      <c r="L1128" s="36">
        <f t="shared" si="85"/>
        <v>13954.050000000001</v>
      </c>
      <c r="M1128" s="37">
        <f t="shared" si="86"/>
        <v>1.6744866697946681</v>
      </c>
      <c r="N1128" s="17" t="str">
        <f t="shared" si="87"/>
        <v>Over Budget</v>
      </c>
      <c r="O1128" s="38">
        <f t="shared" si="88"/>
        <v>22287.38</v>
      </c>
      <c r="P1128" s="39">
        <f t="shared" si="89"/>
        <v>46113</v>
      </c>
    </row>
    <row r="1129" spans="1:16" ht="15.5" x14ac:dyDescent="0.35">
      <c r="A1129" s="17" t="s">
        <v>1177</v>
      </c>
      <c r="B1129" s="35">
        <v>45779</v>
      </c>
      <c r="C1129" s="17" t="s">
        <v>12</v>
      </c>
      <c r="D1129" s="17" t="s">
        <v>19</v>
      </c>
      <c r="E1129" s="17" t="s">
        <v>41</v>
      </c>
      <c r="F1129" s="17" t="s">
        <v>15</v>
      </c>
      <c r="G1129" s="17" t="s">
        <v>82</v>
      </c>
      <c r="H1129" s="17" t="s">
        <v>2592</v>
      </c>
      <c r="I1129" s="17" t="s">
        <v>48</v>
      </c>
      <c r="J1129" s="36">
        <v>4642.8599999999997</v>
      </c>
      <c r="K1129" s="36">
        <v>5381.35</v>
      </c>
      <c r="L1129" s="36">
        <f t="shared" si="85"/>
        <v>738.49000000000069</v>
      </c>
      <c r="M1129" s="37">
        <f t="shared" si="86"/>
        <v>0.15905928673274677</v>
      </c>
      <c r="N1129" s="17" t="str">
        <f t="shared" si="87"/>
        <v>Over Budget</v>
      </c>
      <c r="O1129" s="38">
        <f t="shared" si="88"/>
        <v>-5381.35</v>
      </c>
      <c r="P1129" s="39">
        <f t="shared" si="89"/>
        <v>45778</v>
      </c>
    </row>
    <row r="1130" spans="1:16" ht="15.5" x14ac:dyDescent="0.35">
      <c r="A1130" s="17" t="s">
        <v>1178</v>
      </c>
      <c r="B1130" s="35">
        <v>46108</v>
      </c>
      <c r="C1130" s="17" t="s">
        <v>12</v>
      </c>
      <c r="D1130" s="17" t="s">
        <v>19</v>
      </c>
      <c r="E1130" s="17" t="s">
        <v>51</v>
      </c>
      <c r="F1130" s="17" t="s">
        <v>52</v>
      </c>
      <c r="G1130" s="17" t="s">
        <v>38</v>
      </c>
      <c r="H1130" s="17" t="s">
        <v>2591</v>
      </c>
      <c r="I1130" s="17" t="s">
        <v>30</v>
      </c>
      <c r="J1130" s="36">
        <v>6000</v>
      </c>
      <c r="K1130" s="36">
        <v>674.17</v>
      </c>
      <c r="L1130" s="36">
        <f t="shared" si="85"/>
        <v>-5325.83</v>
      </c>
      <c r="M1130" s="37">
        <f t="shared" si="86"/>
        <v>-0.88763833333333331</v>
      </c>
      <c r="N1130" s="17" t="str">
        <f t="shared" si="87"/>
        <v>Under Budget</v>
      </c>
      <c r="O1130" s="38">
        <f t="shared" si="88"/>
        <v>-674.17</v>
      </c>
      <c r="P1130" s="39">
        <f t="shared" si="89"/>
        <v>46082</v>
      </c>
    </row>
    <row r="1131" spans="1:16" ht="15.5" x14ac:dyDescent="0.35">
      <c r="A1131" s="17" t="s">
        <v>1179</v>
      </c>
      <c r="B1131" s="35">
        <v>45910</v>
      </c>
      <c r="C1131" s="17" t="s">
        <v>12</v>
      </c>
      <c r="D1131" s="17" t="s">
        <v>26</v>
      </c>
      <c r="E1131" s="17" t="s">
        <v>37</v>
      </c>
      <c r="F1131" s="17" t="s">
        <v>34</v>
      </c>
      <c r="G1131" s="17" t="s">
        <v>38</v>
      </c>
      <c r="H1131" s="17" t="s">
        <v>2594</v>
      </c>
      <c r="I1131" s="17" t="s">
        <v>23</v>
      </c>
      <c r="J1131" s="36">
        <v>3500</v>
      </c>
      <c r="K1131" s="36">
        <v>3160.21</v>
      </c>
      <c r="L1131" s="36">
        <f t="shared" si="85"/>
        <v>-339.78999999999996</v>
      </c>
      <c r="M1131" s="37">
        <f t="shared" si="86"/>
        <v>-9.7082857142857137E-2</v>
      </c>
      <c r="N1131" s="17" t="str">
        <f t="shared" si="87"/>
        <v>Under Budget</v>
      </c>
      <c r="O1131" s="38">
        <f t="shared" si="88"/>
        <v>-3160.21</v>
      </c>
      <c r="P1131" s="39">
        <f t="shared" si="89"/>
        <v>45901</v>
      </c>
    </row>
    <row r="1132" spans="1:16" ht="15.5" x14ac:dyDescent="0.35">
      <c r="A1132" s="17" t="s">
        <v>1180</v>
      </c>
      <c r="B1132" s="35">
        <v>46153</v>
      </c>
      <c r="C1132" s="17" t="s">
        <v>25</v>
      </c>
      <c r="D1132" s="17" t="s">
        <v>26</v>
      </c>
      <c r="E1132" s="17" t="s">
        <v>33</v>
      </c>
      <c r="F1132" s="17" t="s">
        <v>52</v>
      </c>
      <c r="G1132" s="17" t="s">
        <v>38</v>
      </c>
      <c r="H1132" s="17" t="s">
        <v>2587</v>
      </c>
      <c r="I1132" s="17" t="s">
        <v>48</v>
      </c>
      <c r="J1132" s="36">
        <v>10869.57</v>
      </c>
      <c r="K1132" s="36">
        <v>7966.72</v>
      </c>
      <c r="L1132" s="36">
        <f t="shared" si="85"/>
        <v>-2902.8499999999995</v>
      </c>
      <c r="M1132" s="37">
        <f t="shared" si="86"/>
        <v>-0.26706208249268365</v>
      </c>
      <c r="N1132" s="17" t="str">
        <f t="shared" si="87"/>
        <v>Under Budget</v>
      </c>
      <c r="O1132" s="38">
        <f t="shared" si="88"/>
        <v>7966.72</v>
      </c>
      <c r="P1132" s="39">
        <f t="shared" si="89"/>
        <v>46143</v>
      </c>
    </row>
    <row r="1133" spans="1:16" ht="15.5" x14ac:dyDescent="0.35">
      <c r="A1133" s="17" t="s">
        <v>1181</v>
      </c>
      <c r="B1133" s="35">
        <v>45904</v>
      </c>
      <c r="C1133" s="17" t="s">
        <v>12</v>
      </c>
      <c r="D1133" s="17" t="s">
        <v>2585</v>
      </c>
      <c r="E1133" s="17" t="s">
        <v>45</v>
      </c>
      <c r="F1133" s="17" t="s">
        <v>21</v>
      </c>
      <c r="G1133" s="17" t="s">
        <v>16</v>
      </c>
      <c r="H1133" s="17" t="s">
        <v>60</v>
      </c>
      <c r="I1133" s="17" t="s">
        <v>30</v>
      </c>
      <c r="J1133" s="36">
        <v>7500</v>
      </c>
      <c r="K1133" s="36">
        <v>16617.810000000001</v>
      </c>
      <c r="L1133" s="36">
        <f t="shared" si="85"/>
        <v>9117.8100000000013</v>
      </c>
      <c r="M1133" s="37">
        <f t="shared" si="86"/>
        <v>1.2157080000000002</v>
      </c>
      <c r="N1133" s="17" t="str">
        <f t="shared" si="87"/>
        <v>Over Budget</v>
      </c>
      <c r="O1133" s="38">
        <f t="shared" si="88"/>
        <v>-16617.810000000001</v>
      </c>
      <c r="P1133" s="39">
        <f t="shared" si="89"/>
        <v>45901</v>
      </c>
    </row>
    <row r="1134" spans="1:16" ht="15.5" x14ac:dyDescent="0.35">
      <c r="A1134" s="17" t="s">
        <v>1182</v>
      </c>
      <c r="B1134" s="35">
        <v>45943</v>
      </c>
      <c r="C1134" s="17" t="s">
        <v>12</v>
      </c>
      <c r="D1134" s="17" t="s">
        <v>19</v>
      </c>
      <c r="E1134" s="17" t="s">
        <v>45</v>
      </c>
      <c r="F1134" s="17" t="s">
        <v>15</v>
      </c>
      <c r="G1134" s="17" t="s">
        <v>22</v>
      </c>
      <c r="H1134" s="17" t="s">
        <v>2592</v>
      </c>
      <c r="I1134" s="17" t="s">
        <v>17</v>
      </c>
      <c r="J1134" s="36">
        <v>7826.09</v>
      </c>
      <c r="K1134" s="36">
        <v>15540.58</v>
      </c>
      <c r="L1134" s="36">
        <f t="shared" si="85"/>
        <v>7714.49</v>
      </c>
      <c r="M1134" s="37">
        <f t="shared" si="86"/>
        <v>0.9857400055455533</v>
      </c>
      <c r="N1134" s="17" t="str">
        <f t="shared" si="87"/>
        <v>Over Budget</v>
      </c>
      <c r="O1134" s="38">
        <f t="shared" si="88"/>
        <v>-15540.58</v>
      </c>
      <c r="P1134" s="39">
        <f t="shared" si="89"/>
        <v>45931</v>
      </c>
    </row>
    <row r="1135" spans="1:16" ht="15.5" x14ac:dyDescent="0.35">
      <c r="A1135" s="17" t="s">
        <v>1183</v>
      </c>
      <c r="B1135" s="35">
        <v>45830</v>
      </c>
      <c r="C1135" s="17" t="s">
        <v>12</v>
      </c>
      <c r="D1135" s="17" t="s">
        <v>2585</v>
      </c>
      <c r="E1135" s="17" t="s">
        <v>65</v>
      </c>
      <c r="F1135" s="17" t="s">
        <v>28</v>
      </c>
      <c r="G1135" s="17" t="s">
        <v>38</v>
      </c>
      <c r="H1135" s="17" t="s">
        <v>2593</v>
      </c>
      <c r="I1135" s="17" t="s">
        <v>48</v>
      </c>
      <c r="J1135" s="36">
        <v>5500</v>
      </c>
      <c r="K1135" s="36">
        <v>6177.38</v>
      </c>
      <c r="L1135" s="36">
        <f t="shared" si="85"/>
        <v>677.38000000000011</v>
      </c>
      <c r="M1135" s="37">
        <f t="shared" si="86"/>
        <v>0.12316000000000002</v>
      </c>
      <c r="N1135" s="17" t="str">
        <f t="shared" si="87"/>
        <v>Over Budget</v>
      </c>
      <c r="O1135" s="38">
        <f t="shared" si="88"/>
        <v>-6177.38</v>
      </c>
      <c r="P1135" s="39">
        <f t="shared" si="89"/>
        <v>45809</v>
      </c>
    </row>
    <row r="1136" spans="1:16" ht="15.5" x14ac:dyDescent="0.35">
      <c r="A1136" s="17" t="s">
        <v>1184</v>
      </c>
      <c r="B1136" s="35">
        <v>46028</v>
      </c>
      <c r="C1136" s="17" t="s">
        <v>12</v>
      </c>
      <c r="D1136" s="17" t="s">
        <v>36</v>
      </c>
      <c r="E1136" s="17" t="s">
        <v>41</v>
      </c>
      <c r="F1136" s="17" t="s">
        <v>34</v>
      </c>
      <c r="G1136" s="17" t="s">
        <v>38</v>
      </c>
      <c r="H1136" s="17" t="s">
        <v>2592</v>
      </c>
      <c r="I1136" s="17" t="s">
        <v>48</v>
      </c>
      <c r="J1136" s="36">
        <v>6305</v>
      </c>
      <c r="K1136" s="36">
        <v>10275.92</v>
      </c>
      <c r="L1136" s="36">
        <f t="shared" si="85"/>
        <v>3970.92</v>
      </c>
      <c r="M1136" s="37">
        <f t="shared" si="86"/>
        <v>0.62980491673275174</v>
      </c>
      <c r="N1136" s="17" t="str">
        <f t="shared" si="87"/>
        <v>Over Budget</v>
      </c>
      <c r="O1136" s="38">
        <f t="shared" si="88"/>
        <v>-10275.92</v>
      </c>
      <c r="P1136" s="39">
        <f t="shared" si="89"/>
        <v>46023</v>
      </c>
    </row>
    <row r="1137" spans="1:16" ht="15.5" x14ac:dyDescent="0.35">
      <c r="A1137" s="17" t="s">
        <v>1185</v>
      </c>
      <c r="B1137" s="35">
        <v>46091</v>
      </c>
      <c r="C1137" s="17" t="s">
        <v>12</v>
      </c>
      <c r="D1137" s="17" t="s">
        <v>26</v>
      </c>
      <c r="E1137" s="17" t="s">
        <v>45</v>
      </c>
      <c r="F1137" s="17" t="s">
        <v>52</v>
      </c>
      <c r="G1137" s="17" t="s">
        <v>38</v>
      </c>
      <c r="H1137" s="17" t="s">
        <v>2595</v>
      </c>
      <c r="I1137" s="17" t="s">
        <v>30</v>
      </c>
      <c r="J1137" s="36">
        <v>7200</v>
      </c>
      <c r="K1137" s="36">
        <v>1222.46</v>
      </c>
      <c r="L1137" s="36">
        <f t="shared" si="85"/>
        <v>-5977.54</v>
      </c>
      <c r="M1137" s="37">
        <f t="shared" si="86"/>
        <v>-0.83021388888888892</v>
      </c>
      <c r="N1137" s="17" t="str">
        <f t="shared" si="87"/>
        <v>Under Budget</v>
      </c>
      <c r="O1137" s="38">
        <f t="shared" si="88"/>
        <v>-1222.46</v>
      </c>
      <c r="P1137" s="39">
        <f t="shared" si="89"/>
        <v>46082</v>
      </c>
    </row>
    <row r="1138" spans="1:16" ht="15.5" x14ac:dyDescent="0.35">
      <c r="A1138" s="17" t="s">
        <v>1186</v>
      </c>
      <c r="B1138" s="35">
        <v>45672</v>
      </c>
      <c r="C1138" s="17" t="s">
        <v>12</v>
      </c>
      <c r="D1138" s="17" t="s">
        <v>2585</v>
      </c>
      <c r="E1138" s="17" t="s">
        <v>41</v>
      </c>
      <c r="F1138" s="17" t="s">
        <v>52</v>
      </c>
      <c r="G1138" s="17" t="s">
        <v>38</v>
      </c>
      <c r="H1138" s="17" t="s">
        <v>2595</v>
      </c>
      <c r="I1138" s="17" t="s">
        <v>39</v>
      </c>
      <c r="J1138" s="36">
        <v>12610</v>
      </c>
      <c r="K1138" s="36">
        <v>3749.38</v>
      </c>
      <c r="L1138" s="36">
        <f t="shared" si="85"/>
        <v>-8860.619999999999</v>
      </c>
      <c r="M1138" s="37">
        <f t="shared" si="86"/>
        <v>-0.70266613798572553</v>
      </c>
      <c r="N1138" s="17" t="str">
        <f t="shared" si="87"/>
        <v>Under Budget</v>
      </c>
      <c r="O1138" s="38">
        <f t="shared" si="88"/>
        <v>-3749.38</v>
      </c>
      <c r="P1138" s="39">
        <f t="shared" si="89"/>
        <v>45658</v>
      </c>
    </row>
    <row r="1139" spans="1:16" ht="15.5" x14ac:dyDescent="0.35">
      <c r="A1139" s="17" t="s">
        <v>1187</v>
      </c>
      <c r="B1139" s="35">
        <v>46105</v>
      </c>
      <c r="C1139" s="17" t="s">
        <v>12</v>
      </c>
      <c r="D1139" s="17" t="s">
        <v>19</v>
      </c>
      <c r="E1139" s="17" t="s">
        <v>47</v>
      </c>
      <c r="F1139" s="17" t="s">
        <v>34</v>
      </c>
      <c r="G1139" s="17" t="s">
        <v>22</v>
      </c>
      <c r="H1139" s="17" t="s">
        <v>2590</v>
      </c>
      <c r="I1139" s="17" t="s">
        <v>17</v>
      </c>
      <c r="J1139" s="36">
        <v>3181.82</v>
      </c>
      <c r="K1139" s="36">
        <v>1639.55</v>
      </c>
      <c r="L1139" s="36">
        <f t="shared" si="85"/>
        <v>-1542.2700000000002</v>
      </c>
      <c r="M1139" s="37">
        <f t="shared" si="86"/>
        <v>-0.48471315159248485</v>
      </c>
      <c r="N1139" s="17" t="str">
        <f t="shared" si="87"/>
        <v>Under Budget</v>
      </c>
      <c r="O1139" s="38">
        <f t="shared" si="88"/>
        <v>-1639.55</v>
      </c>
      <c r="P1139" s="39">
        <f t="shared" si="89"/>
        <v>46082</v>
      </c>
    </row>
    <row r="1140" spans="1:16" ht="15.5" x14ac:dyDescent="0.35">
      <c r="A1140" s="17" t="s">
        <v>1188</v>
      </c>
      <c r="B1140" s="35">
        <v>45971</v>
      </c>
      <c r="C1140" s="17" t="s">
        <v>12</v>
      </c>
      <c r="D1140" s="17" t="s">
        <v>2584</v>
      </c>
      <c r="E1140" s="17" t="s">
        <v>45</v>
      </c>
      <c r="F1140" s="17" t="s">
        <v>28</v>
      </c>
      <c r="G1140" s="17" t="s">
        <v>29</v>
      </c>
      <c r="H1140" s="17" t="s">
        <v>2591</v>
      </c>
      <c r="I1140" s="17" t="s">
        <v>48</v>
      </c>
      <c r="J1140" s="36">
        <v>9947.3700000000008</v>
      </c>
      <c r="K1140" s="36">
        <v>14752.2</v>
      </c>
      <c r="L1140" s="36">
        <f t="shared" si="85"/>
        <v>4804.83</v>
      </c>
      <c r="M1140" s="37">
        <f t="shared" si="86"/>
        <v>0.48302516142457752</v>
      </c>
      <c r="N1140" s="17" t="str">
        <f t="shared" si="87"/>
        <v>Over Budget</v>
      </c>
      <c r="O1140" s="38">
        <f t="shared" si="88"/>
        <v>-14752.2</v>
      </c>
      <c r="P1140" s="39">
        <f t="shared" si="89"/>
        <v>45962</v>
      </c>
    </row>
    <row r="1141" spans="1:16" ht="15.5" x14ac:dyDescent="0.35">
      <c r="A1141" s="17" t="s">
        <v>1189</v>
      </c>
      <c r="B1141" s="35">
        <v>46060</v>
      </c>
      <c r="C1141" s="17" t="s">
        <v>12</v>
      </c>
      <c r="D1141" s="17" t="s">
        <v>19</v>
      </c>
      <c r="E1141" s="17" t="s">
        <v>37</v>
      </c>
      <c r="F1141" s="17" t="s">
        <v>34</v>
      </c>
      <c r="G1141" s="17" t="s">
        <v>43</v>
      </c>
      <c r="H1141" s="17" t="s">
        <v>2595</v>
      </c>
      <c r="I1141" s="17" t="s">
        <v>30</v>
      </c>
      <c r="J1141" s="36">
        <v>3880</v>
      </c>
      <c r="K1141" s="36">
        <v>611.04</v>
      </c>
      <c r="L1141" s="36">
        <f t="shared" si="85"/>
        <v>-3268.96</v>
      </c>
      <c r="M1141" s="37">
        <f t="shared" si="86"/>
        <v>-0.84251546391752574</v>
      </c>
      <c r="N1141" s="17" t="str">
        <f t="shared" si="87"/>
        <v>Under Budget</v>
      </c>
      <c r="O1141" s="38">
        <f t="shared" si="88"/>
        <v>-611.04</v>
      </c>
      <c r="P1141" s="39">
        <f t="shared" si="89"/>
        <v>46054</v>
      </c>
    </row>
    <row r="1142" spans="1:16" ht="15.5" x14ac:dyDescent="0.35">
      <c r="A1142" s="17" t="s">
        <v>1190</v>
      </c>
      <c r="B1142" s="35">
        <v>45985</v>
      </c>
      <c r="C1142" s="17" t="s">
        <v>12</v>
      </c>
      <c r="D1142" s="17" t="s">
        <v>26</v>
      </c>
      <c r="E1142" s="17" t="s">
        <v>14</v>
      </c>
      <c r="F1142" s="17" t="s">
        <v>15</v>
      </c>
      <c r="G1142" s="17" t="s">
        <v>38</v>
      </c>
      <c r="H1142" s="17" t="s">
        <v>2592</v>
      </c>
      <c r="I1142" s="17" t="s">
        <v>39</v>
      </c>
      <c r="J1142" s="36">
        <v>5600</v>
      </c>
      <c r="K1142" s="36">
        <v>6040.36</v>
      </c>
      <c r="L1142" s="36">
        <f t="shared" si="85"/>
        <v>440.35999999999967</v>
      </c>
      <c r="M1142" s="37">
        <f t="shared" si="86"/>
        <v>7.8635714285714226E-2</v>
      </c>
      <c r="N1142" s="17" t="str">
        <f t="shared" si="87"/>
        <v>Over Budget</v>
      </c>
      <c r="O1142" s="38">
        <f t="shared" si="88"/>
        <v>-6040.36</v>
      </c>
      <c r="P1142" s="39">
        <f t="shared" si="89"/>
        <v>45962</v>
      </c>
    </row>
    <row r="1143" spans="1:16" ht="15.5" x14ac:dyDescent="0.35">
      <c r="A1143" s="17" t="s">
        <v>1191</v>
      </c>
      <c r="B1143" s="35">
        <v>45873</v>
      </c>
      <c r="C1143" s="17" t="s">
        <v>12</v>
      </c>
      <c r="D1143" s="17" t="s">
        <v>13</v>
      </c>
      <c r="E1143" s="17" t="s">
        <v>45</v>
      </c>
      <c r="F1143" s="17" t="s">
        <v>34</v>
      </c>
      <c r="G1143" s="17" t="s">
        <v>38</v>
      </c>
      <c r="H1143" s="17" t="s">
        <v>2589</v>
      </c>
      <c r="I1143" s="17" t="s">
        <v>39</v>
      </c>
      <c r="J1143" s="36">
        <v>8181.82</v>
      </c>
      <c r="K1143" s="36">
        <v>8020.9</v>
      </c>
      <c r="L1143" s="36">
        <f t="shared" si="85"/>
        <v>-160.92000000000007</v>
      </c>
      <c r="M1143" s="37">
        <f t="shared" si="86"/>
        <v>-1.9667995629334314E-2</v>
      </c>
      <c r="N1143" s="17" t="str">
        <f t="shared" si="87"/>
        <v>Under Budget</v>
      </c>
      <c r="O1143" s="38">
        <f t="shared" si="88"/>
        <v>-8020.9</v>
      </c>
      <c r="P1143" s="39">
        <f t="shared" si="89"/>
        <v>45870</v>
      </c>
    </row>
    <row r="1144" spans="1:16" ht="15.5" x14ac:dyDescent="0.35">
      <c r="A1144" s="17" t="s">
        <v>1192</v>
      </c>
      <c r="B1144" s="35">
        <v>45717</v>
      </c>
      <c r="C1144" s="17" t="s">
        <v>12</v>
      </c>
      <c r="D1144" s="17" t="s">
        <v>36</v>
      </c>
      <c r="E1144" s="17" t="s">
        <v>65</v>
      </c>
      <c r="F1144" s="17" t="s">
        <v>15</v>
      </c>
      <c r="G1144" s="17" t="s">
        <v>38</v>
      </c>
      <c r="H1144" s="17" t="s">
        <v>2595</v>
      </c>
      <c r="I1144" s="17" t="s">
        <v>39</v>
      </c>
      <c r="J1144" s="36">
        <v>3928.57</v>
      </c>
      <c r="K1144" s="36">
        <v>4088.23</v>
      </c>
      <c r="L1144" s="36">
        <f t="shared" si="85"/>
        <v>159.65999999999985</v>
      </c>
      <c r="M1144" s="37">
        <f t="shared" si="86"/>
        <v>4.0640742051178888E-2</v>
      </c>
      <c r="N1144" s="17" t="str">
        <f t="shared" si="87"/>
        <v>Over Budget</v>
      </c>
      <c r="O1144" s="38">
        <f t="shared" si="88"/>
        <v>-4088.23</v>
      </c>
      <c r="P1144" s="39">
        <f t="shared" si="89"/>
        <v>45717</v>
      </c>
    </row>
    <row r="1145" spans="1:16" ht="15.5" x14ac:dyDescent="0.35">
      <c r="A1145" s="17" t="s">
        <v>1193</v>
      </c>
      <c r="B1145" s="35">
        <v>45955</v>
      </c>
      <c r="C1145" s="17" t="s">
        <v>12</v>
      </c>
      <c r="D1145" s="17" t="s">
        <v>2584</v>
      </c>
      <c r="E1145" s="17" t="s">
        <v>45</v>
      </c>
      <c r="F1145" s="17" t="s">
        <v>52</v>
      </c>
      <c r="G1145" s="17" t="s">
        <v>38</v>
      </c>
      <c r="H1145" s="17" t="s">
        <v>2597</v>
      </c>
      <c r="I1145" s="17" t="s">
        <v>48</v>
      </c>
      <c r="J1145" s="36">
        <v>7826.09</v>
      </c>
      <c r="K1145" s="36">
        <v>7125.35</v>
      </c>
      <c r="L1145" s="36">
        <f t="shared" si="85"/>
        <v>-700.73999999999978</v>
      </c>
      <c r="M1145" s="37">
        <f t="shared" si="86"/>
        <v>-8.9538965179291288E-2</v>
      </c>
      <c r="N1145" s="17" t="str">
        <f t="shared" si="87"/>
        <v>Under Budget</v>
      </c>
      <c r="O1145" s="38">
        <f t="shared" si="88"/>
        <v>-7125.35</v>
      </c>
      <c r="P1145" s="39">
        <f t="shared" si="89"/>
        <v>45931</v>
      </c>
    </row>
    <row r="1146" spans="1:16" ht="15.5" x14ac:dyDescent="0.35">
      <c r="A1146" s="17" t="s">
        <v>1194</v>
      </c>
      <c r="B1146" s="35">
        <v>46034</v>
      </c>
      <c r="C1146" s="17" t="s">
        <v>12</v>
      </c>
      <c r="D1146" s="17" t="s">
        <v>19</v>
      </c>
      <c r="E1146" s="17" t="s">
        <v>37</v>
      </c>
      <c r="F1146" s="17" t="s">
        <v>52</v>
      </c>
      <c r="G1146" s="17" t="s">
        <v>38</v>
      </c>
      <c r="H1146" s="17" t="s">
        <v>2595</v>
      </c>
      <c r="I1146" s="17" t="s">
        <v>48</v>
      </c>
      <c r="J1146" s="36">
        <v>5432</v>
      </c>
      <c r="K1146" s="36">
        <v>1658.53</v>
      </c>
      <c r="L1146" s="36">
        <f t="shared" si="85"/>
        <v>-3773.4700000000003</v>
      </c>
      <c r="M1146" s="37">
        <f t="shared" si="86"/>
        <v>-0.69467415316642123</v>
      </c>
      <c r="N1146" s="17" t="str">
        <f t="shared" si="87"/>
        <v>Under Budget</v>
      </c>
      <c r="O1146" s="38">
        <f t="shared" si="88"/>
        <v>-1658.53</v>
      </c>
      <c r="P1146" s="39">
        <f t="shared" si="89"/>
        <v>46023</v>
      </c>
    </row>
    <row r="1147" spans="1:16" ht="15.5" x14ac:dyDescent="0.35">
      <c r="A1147" s="17" t="s">
        <v>1195</v>
      </c>
      <c r="B1147" s="35">
        <v>45683</v>
      </c>
      <c r="C1147" s="17" t="s">
        <v>12</v>
      </c>
      <c r="D1147" s="17" t="s">
        <v>2585</v>
      </c>
      <c r="E1147" s="17" t="s">
        <v>41</v>
      </c>
      <c r="F1147" s="17" t="s">
        <v>28</v>
      </c>
      <c r="G1147" s="17" t="s">
        <v>43</v>
      </c>
      <c r="H1147" s="17" t="s">
        <v>2589</v>
      </c>
      <c r="I1147" s="17" t="s">
        <v>23</v>
      </c>
      <c r="J1147" s="36">
        <v>12610</v>
      </c>
      <c r="K1147" s="36">
        <v>7166.68</v>
      </c>
      <c r="L1147" s="36">
        <f t="shared" si="85"/>
        <v>-5443.32</v>
      </c>
      <c r="M1147" s="37">
        <f t="shared" si="86"/>
        <v>-0.43166693100713716</v>
      </c>
      <c r="N1147" s="17" t="str">
        <f t="shared" si="87"/>
        <v>Under Budget</v>
      </c>
      <c r="O1147" s="38">
        <f t="shared" si="88"/>
        <v>-7166.68</v>
      </c>
      <c r="P1147" s="39">
        <f t="shared" si="89"/>
        <v>45658</v>
      </c>
    </row>
    <row r="1148" spans="1:16" ht="15.5" x14ac:dyDescent="0.35">
      <c r="A1148" s="17" t="s">
        <v>1196</v>
      </c>
      <c r="B1148" s="35">
        <v>46152</v>
      </c>
      <c r="C1148" s="17" t="s">
        <v>25</v>
      </c>
      <c r="D1148" s="17" t="s">
        <v>26</v>
      </c>
      <c r="E1148" s="17" t="s">
        <v>33</v>
      </c>
      <c r="F1148" s="17" t="s">
        <v>52</v>
      </c>
      <c r="G1148" s="17" t="s">
        <v>82</v>
      </c>
      <c r="H1148" s="17" t="s">
        <v>2593</v>
      </c>
      <c r="I1148" s="17" t="s">
        <v>30</v>
      </c>
      <c r="J1148" s="36">
        <v>10869.57</v>
      </c>
      <c r="K1148" s="36">
        <v>1009.3</v>
      </c>
      <c r="L1148" s="36">
        <f t="shared" si="85"/>
        <v>-9860.27</v>
      </c>
      <c r="M1148" s="37">
        <f t="shared" si="86"/>
        <v>-0.90714444085644608</v>
      </c>
      <c r="N1148" s="17" t="str">
        <f t="shared" si="87"/>
        <v>Under Budget</v>
      </c>
      <c r="O1148" s="38">
        <f t="shared" si="88"/>
        <v>1009.3</v>
      </c>
      <c r="P1148" s="39">
        <f t="shared" si="89"/>
        <v>46143</v>
      </c>
    </row>
    <row r="1149" spans="1:16" ht="15.5" x14ac:dyDescent="0.35">
      <c r="A1149" s="17" t="s">
        <v>1197</v>
      </c>
      <c r="B1149" s="35">
        <v>45719</v>
      </c>
      <c r="C1149" s="17" t="s">
        <v>12</v>
      </c>
      <c r="D1149" s="17" t="s">
        <v>32</v>
      </c>
      <c r="E1149" s="17" t="s">
        <v>51</v>
      </c>
      <c r="F1149" s="17" t="s">
        <v>52</v>
      </c>
      <c r="G1149" s="17" t="s">
        <v>38</v>
      </c>
      <c r="H1149" s="17" t="s">
        <v>2595</v>
      </c>
      <c r="I1149" s="17" t="s">
        <v>30</v>
      </c>
      <c r="J1149" s="36">
        <v>3000</v>
      </c>
      <c r="K1149" s="36">
        <v>3702.66</v>
      </c>
      <c r="L1149" s="36">
        <f t="shared" si="85"/>
        <v>702.65999999999985</v>
      </c>
      <c r="M1149" s="37">
        <f t="shared" si="86"/>
        <v>0.23421999999999996</v>
      </c>
      <c r="N1149" s="17" t="str">
        <f t="shared" si="87"/>
        <v>Over Budget</v>
      </c>
      <c r="O1149" s="38">
        <f t="shared" si="88"/>
        <v>-3702.66</v>
      </c>
      <c r="P1149" s="39">
        <f t="shared" si="89"/>
        <v>45717</v>
      </c>
    </row>
    <row r="1150" spans="1:16" ht="15.5" x14ac:dyDescent="0.35">
      <c r="A1150" s="17" t="s">
        <v>1198</v>
      </c>
      <c r="B1150" s="35">
        <v>45782</v>
      </c>
      <c r="C1150" s="17" t="s">
        <v>12</v>
      </c>
      <c r="D1150" s="17" t="s">
        <v>2585</v>
      </c>
      <c r="E1150" s="17" t="s">
        <v>41</v>
      </c>
      <c r="F1150" s="17" t="s">
        <v>34</v>
      </c>
      <c r="G1150" s="17" t="s">
        <v>22</v>
      </c>
      <c r="H1150" s="17" t="s">
        <v>2586</v>
      </c>
      <c r="I1150" s="17" t="s">
        <v>23</v>
      </c>
      <c r="J1150" s="36">
        <v>4642.8599999999997</v>
      </c>
      <c r="K1150" s="36">
        <v>9665.1</v>
      </c>
      <c r="L1150" s="36">
        <f t="shared" si="85"/>
        <v>5022.2400000000007</v>
      </c>
      <c r="M1150" s="37">
        <f t="shared" si="86"/>
        <v>1.0817125650999602</v>
      </c>
      <c r="N1150" s="17" t="str">
        <f t="shared" si="87"/>
        <v>Over Budget</v>
      </c>
      <c r="O1150" s="38">
        <f t="shared" si="88"/>
        <v>-9665.1</v>
      </c>
      <c r="P1150" s="39">
        <f t="shared" si="89"/>
        <v>45778</v>
      </c>
    </row>
    <row r="1151" spans="1:16" ht="15.5" x14ac:dyDescent="0.35">
      <c r="A1151" s="17" t="s">
        <v>1199</v>
      </c>
      <c r="B1151" s="35">
        <v>46170</v>
      </c>
      <c r="C1151" s="17" t="s">
        <v>25</v>
      </c>
      <c r="D1151" s="17" t="s">
        <v>32</v>
      </c>
      <c r="E1151" s="17" t="s">
        <v>109</v>
      </c>
      <c r="F1151" s="17" t="s">
        <v>52</v>
      </c>
      <c r="G1151" s="17" t="s">
        <v>38</v>
      </c>
      <c r="H1151" s="17" t="s">
        <v>2595</v>
      </c>
      <c r="I1151" s="17" t="s">
        <v>48</v>
      </c>
      <c r="J1151" s="36">
        <v>5882.35</v>
      </c>
      <c r="K1151" s="36">
        <v>10394.41</v>
      </c>
      <c r="L1151" s="36">
        <f t="shared" si="85"/>
        <v>4512.0599999999995</v>
      </c>
      <c r="M1151" s="37">
        <f t="shared" si="86"/>
        <v>0.76705058352529165</v>
      </c>
      <c r="N1151" s="17" t="str">
        <f t="shared" si="87"/>
        <v>Over Budget</v>
      </c>
      <c r="O1151" s="38">
        <f t="shared" si="88"/>
        <v>10394.41</v>
      </c>
      <c r="P1151" s="39">
        <f t="shared" si="89"/>
        <v>46143</v>
      </c>
    </row>
    <row r="1152" spans="1:16" ht="15.5" x14ac:dyDescent="0.35">
      <c r="A1152" s="17" t="s">
        <v>1200</v>
      </c>
      <c r="B1152" s="35">
        <v>45914</v>
      </c>
      <c r="C1152" s="17" t="s">
        <v>12</v>
      </c>
      <c r="D1152" s="17" t="s">
        <v>26</v>
      </c>
      <c r="E1152" s="17" t="s">
        <v>37</v>
      </c>
      <c r="F1152" s="17" t="s">
        <v>21</v>
      </c>
      <c r="G1152" s="17" t="s">
        <v>43</v>
      </c>
      <c r="H1152" s="17" t="s">
        <v>2593</v>
      </c>
      <c r="I1152" s="17" t="s">
        <v>48</v>
      </c>
      <c r="J1152" s="36">
        <v>3500</v>
      </c>
      <c r="K1152" s="36">
        <v>179.85</v>
      </c>
      <c r="L1152" s="36">
        <f t="shared" si="85"/>
        <v>-3320.15</v>
      </c>
      <c r="M1152" s="37">
        <f t="shared" si="86"/>
        <v>-0.94861428571428574</v>
      </c>
      <c r="N1152" s="17" t="str">
        <f t="shared" si="87"/>
        <v>Under Budget</v>
      </c>
      <c r="O1152" s="38">
        <f t="shared" si="88"/>
        <v>-179.85</v>
      </c>
      <c r="P1152" s="39">
        <f t="shared" si="89"/>
        <v>45901</v>
      </c>
    </row>
    <row r="1153" spans="1:16" ht="15.5" x14ac:dyDescent="0.35">
      <c r="A1153" s="17" t="s">
        <v>1201</v>
      </c>
      <c r="B1153" s="35">
        <v>45796</v>
      </c>
      <c r="C1153" s="17" t="s">
        <v>12</v>
      </c>
      <c r="D1153" s="17" t="s">
        <v>26</v>
      </c>
      <c r="E1153" s="17" t="s">
        <v>74</v>
      </c>
      <c r="F1153" s="17" t="s">
        <v>52</v>
      </c>
      <c r="G1153" s="17" t="s">
        <v>38</v>
      </c>
      <c r="H1153" s="17" t="s">
        <v>2598</v>
      </c>
      <c r="I1153" s="17" t="s">
        <v>17</v>
      </c>
      <c r="J1153" s="36">
        <v>5000</v>
      </c>
      <c r="K1153" s="36">
        <v>939.03</v>
      </c>
      <c r="L1153" s="36">
        <f t="shared" si="85"/>
        <v>-4060.9700000000003</v>
      </c>
      <c r="M1153" s="37">
        <f t="shared" si="86"/>
        <v>-0.81219400000000008</v>
      </c>
      <c r="N1153" s="17" t="str">
        <f t="shared" si="87"/>
        <v>Under Budget</v>
      </c>
      <c r="O1153" s="38">
        <f t="shared" si="88"/>
        <v>-939.03</v>
      </c>
      <c r="P1153" s="39">
        <f t="shared" si="89"/>
        <v>45778</v>
      </c>
    </row>
    <row r="1154" spans="1:16" ht="15.5" x14ac:dyDescent="0.35">
      <c r="A1154" s="17" t="s">
        <v>1202</v>
      </c>
      <c r="B1154" s="35">
        <v>46145</v>
      </c>
      <c r="C1154" s="17" t="s">
        <v>12</v>
      </c>
      <c r="D1154" s="17" t="s">
        <v>36</v>
      </c>
      <c r="E1154" s="17" t="s">
        <v>51</v>
      </c>
      <c r="F1154" s="17" t="s">
        <v>28</v>
      </c>
      <c r="G1154" s="17" t="s">
        <v>38</v>
      </c>
      <c r="H1154" s="17" t="s">
        <v>60</v>
      </c>
      <c r="I1154" s="17" t="s">
        <v>39</v>
      </c>
      <c r="J1154" s="36">
        <v>2727.27</v>
      </c>
      <c r="K1154" s="36">
        <v>7832.82</v>
      </c>
      <c r="L1154" s="36">
        <f t="shared" si="85"/>
        <v>5105.5499999999993</v>
      </c>
      <c r="M1154" s="37">
        <f t="shared" si="86"/>
        <v>1.8720368720368719</v>
      </c>
      <c r="N1154" s="17" t="str">
        <f t="shared" si="87"/>
        <v>Over Budget</v>
      </c>
      <c r="O1154" s="38">
        <f t="shared" si="88"/>
        <v>-7832.82</v>
      </c>
      <c r="P1154" s="39">
        <f t="shared" si="89"/>
        <v>46143</v>
      </c>
    </row>
    <row r="1155" spans="1:16" ht="15.5" x14ac:dyDescent="0.35">
      <c r="A1155" s="17" t="s">
        <v>1203</v>
      </c>
      <c r="B1155" s="35">
        <v>45865</v>
      </c>
      <c r="C1155" s="17" t="s">
        <v>12</v>
      </c>
      <c r="D1155" s="17" t="s">
        <v>19</v>
      </c>
      <c r="E1155" s="17" t="s">
        <v>74</v>
      </c>
      <c r="F1155" s="17" t="s">
        <v>28</v>
      </c>
      <c r="G1155" s="17" t="s">
        <v>38</v>
      </c>
      <c r="H1155" s="17" t="s">
        <v>2597</v>
      </c>
      <c r="I1155" s="17" t="s">
        <v>30</v>
      </c>
      <c r="J1155" s="36">
        <v>3333.33</v>
      </c>
      <c r="K1155" s="36">
        <v>4722.8100000000004</v>
      </c>
      <c r="L1155" s="36">
        <f t="shared" ref="L1155:L1218" si="90">K1155-J1155</f>
        <v>1389.4800000000005</v>
      </c>
      <c r="M1155" s="37">
        <f t="shared" ref="M1155:M1218" si="91">IF(J1155=0,0,L1155/J1155)</f>
        <v>0.41684441684441698</v>
      </c>
      <c r="N1155" s="17" t="str">
        <f t="shared" ref="N1155:N1218" si="92">IF(J1155=0,"No Budget",IF(K1155&gt;J1155,"Over Budget",IF(K1155&lt;J1155,"Under Budget","On Budget")))</f>
        <v>Over Budget</v>
      </c>
      <c r="O1155" s="38">
        <f t="shared" ref="O1155:O1218" si="93">IF(C1155="Revenue",K1155,-K1155)</f>
        <v>-4722.8100000000004</v>
      </c>
      <c r="P1155" s="39">
        <f t="shared" ref="P1155:P1218" si="94">DATE(YEAR(B1155),MONTH(B1155),1)</f>
        <v>45839</v>
      </c>
    </row>
    <row r="1156" spans="1:16" ht="15.5" x14ac:dyDescent="0.35">
      <c r="A1156" s="17" t="s">
        <v>1204</v>
      </c>
      <c r="B1156" s="35">
        <v>46093</v>
      </c>
      <c r="C1156" s="17" t="s">
        <v>12</v>
      </c>
      <c r="D1156" s="17" t="s">
        <v>26</v>
      </c>
      <c r="E1156" s="17" t="s">
        <v>45</v>
      </c>
      <c r="F1156" s="17" t="s">
        <v>34</v>
      </c>
      <c r="G1156" s="17" t="s">
        <v>16</v>
      </c>
      <c r="H1156" s="17" t="s">
        <v>2583</v>
      </c>
      <c r="I1156" s="17" t="s">
        <v>30</v>
      </c>
      <c r="J1156" s="36">
        <v>7200</v>
      </c>
      <c r="K1156" s="36">
        <v>7003.29</v>
      </c>
      <c r="L1156" s="36">
        <f t="shared" si="90"/>
        <v>-196.71000000000004</v>
      </c>
      <c r="M1156" s="37">
        <f t="shared" si="91"/>
        <v>-2.7320833333333339E-2</v>
      </c>
      <c r="N1156" s="17" t="str">
        <f t="shared" si="92"/>
        <v>Under Budget</v>
      </c>
      <c r="O1156" s="38">
        <f t="shared" si="93"/>
        <v>-7003.29</v>
      </c>
      <c r="P1156" s="39">
        <f t="shared" si="94"/>
        <v>46082</v>
      </c>
    </row>
    <row r="1157" spans="1:16" ht="15.5" x14ac:dyDescent="0.35">
      <c r="A1157" s="17" t="s">
        <v>1205</v>
      </c>
      <c r="B1157" s="35">
        <v>45661</v>
      </c>
      <c r="C1157" s="17" t="s">
        <v>12</v>
      </c>
      <c r="D1157" s="17" t="s">
        <v>26</v>
      </c>
      <c r="E1157" s="17" t="s">
        <v>45</v>
      </c>
      <c r="F1157" s="17" t="s">
        <v>34</v>
      </c>
      <c r="G1157" s="17" t="s">
        <v>22</v>
      </c>
      <c r="H1157" s="17" t="s">
        <v>2589</v>
      </c>
      <c r="I1157" s="17" t="s">
        <v>48</v>
      </c>
      <c r="J1157" s="36">
        <v>7591.3</v>
      </c>
      <c r="K1157" s="36">
        <v>7232.86</v>
      </c>
      <c r="L1157" s="36">
        <f t="shared" si="90"/>
        <v>-358.44000000000051</v>
      </c>
      <c r="M1157" s="37">
        <f t="shared" si="91"/>
        <v>-4.7217209173659389E-2</v>
      </c>
      <c r="N1157" s="17" t="str">
        <f t="shared" si="92"/>
        <v>Under Budget</v>
      </c>
      <c r="O1157" s="38">
        <f t="shared" si="93"/>
        <v>-7232.86</v>
      </c>
      <c r="P1157" s="39">
        <f t="shared" si="94"/>
        <v>45658</v>
      </c>
    </row>
    <row r="1158" spans="1:16" ht="15.5" x14ac:dyDescent="0.35">
      <c r="A1158" s="17" t="s">
        <v>1206</v>
      </c>
      <c r="B1158" s="35">
        <v>45875</v>
      </c>
      <c r="C1158" s="17" t="s">
        <v>12</v>
      </c>
      <c r="D1158" s="17" t="s">
        <v>26</v>
      </c>
      <c r="E1158" s="17" t="s">
        <v>45</v>
      </c>
      <c r="F1158" s="17" t="s">
        <v>21</v>
      </c>
      <c r="G1158" s="17" t="s">
        <v>16</v>
      </c>
      <c r="H1158" s="17" t="s">
        <v>2592</v>
      </c>
      <c r="I1158" s="17" t="s">
        <v>23</v>
      </c>
      <c r="J1158" s="36">
        <v>8181.82</v>
      </c>
      <c r="K1158" s="36">
        <v>12924.69</v>
      </c>
      <c r="L1158" s="36">
        <f t="shared" si="90"/>
        <v>4742.8700000000008</v>
      </c>
      <c r="M1158" s="37">
        <f t="shared" si="91"/>
        <v>0.57968398229244855</v>
      </c>
      <c r="N1158" s="17" t="str">
        <f t="shared" si="92"/>
        <v>Over Budget</v>
      </c>
      <c r="O1158" s="38">
        <f t="shared" si="93"/>
        <v>-12924.69</v>
      </c>
      <c r="P1158" s="39">
        <f t="shared" si="94"/>
        <v>45870</v>
      </c>
    </row>
    <row r="1159" spans="1:16" ht="15.5" x14ac:dyDescent="0.35">
      <c r="A1159" s="17" t="s">
        <v>1207</v>
      </c>
      <c r="B1159" s="35">
        <v>45853</v>
      </c>
      <c r="C1159" s="17" t="s">
        <v>12</v>
      </c>
      <c r="D1159" s="17" t="s">
        <v>2584</v>
      </c>
      <c r="E1159" s="17" t="s">
        <v>20</v>
      </c>
      <c r="F1159" s="17" t="s">
        <v>52</v>
      </c>
      <c r="G1159" s="17" t="s">
        <v>43</v>
      </c>
      <c r="H1159" s="17" t="s">
        <v>2588</v>
      </c>
      <c r="I1159" s="17" t="s">
        <v>30</v>
      </c>
      <c r="J1159" s="36">
        <v>2250</v>
      </c>
      <c r="K1159" s="36">
        <v>1773.44</v>
      </c>
      <c r="L1159" s="36">
        <f t="shared" si="90"/>
        <v>-476.55999999999995</v>
      </c>
      <c r="M1159" s="37">
        <f t="shared" si="91"/>
        <v>-0.21180444444444441</v>
      </c>
      <c r="N1159" s="17" t="str">
        <f t="shared" si="92"/>
        <v>Under Budget</v>
      </c>
      <c r="O1159" s="38">
        <f t="shared" si="93"/>
        <v>-1773.44</v>
      </c>
      <c r="P1159" s="39">
        <f t="shared" si="94"/>
        <v>45839</v>
      </c>
    </row>
    <row r="1160" spans="1:16" ht="15.5" x14ac:dyDescent="0.35">
      <c r="A1160" s="17" t="s">
        <v>1208</v>
      </c>
      <c r="B1160" s="35">
        <v>45871</v>
      </c>
      <c r="C1160" s="17" t="s">
        <v>12</v>
      </c>
      <c r="D1160" s="17" t="s">
        <v>19</v>
      </c>
      <c r="E1160" s="17" t="s">
        <v>37</v>
      </c>
      <c r="F1160" s="17" t="s">
        <v>15</v>
      </c>
      <c r="G1160" s="17" t="s">
        <v>38</v>
      </c>
      <c r="H1160" s="17" t="s">
        <v>2593</v>
      </c>
      <c r="I1160" s="17" t="s">
        <v>17</v>
      </c>
      <c r="J1160" s="36">
        <v>4666.67</v>
      </c>
      <c r="K1160" s="36">
        <v>3183.49</v>
      </c>
      <c r="L1160" s="36">
        <f t="shared" si="90"/>
        <v>-1483.1800000000003</v>
      </c>
      <c r="M1160" s="37">
        <f t="shared" si="91"/>
        <v>-0.31782405869710101</v>
      </c>
      <c r="N1160" s="17" t="str">
        <f t="shared" si="92"/>
        <v>Under Budget</v>
      </c>
      <c r="O1160" s="38">
        <f t="shared" si="93"/>
        <v>-3183.49</v>
      </c>
      <c r="P1160" s="39">
        <f t="shared" si="94"/>
        <v>45870</v>
      </c>
    </row>
    <row r="1161" spans="1:16" ht="15.5" x14ac:dyDescent="0.35">
      <c r="A1161" s="17" t="s">
        <v>1209</v>
      </c>
      <c r="B1161" s="35">
        <v>46163</v>
      </c>
      <c r="C1161" s="17" t="s">
        <v>12</v>
      </c>
      <c r="D1161" s="17" t="s">
        <v>32</v>
      </c>
      <c r="E1161" s="17" t="s">
        <v>77</v>
      </c>
      <c r="F1161" s="17" t="s">
        <v>52</v>
      </c>
      <c r="G1161" s="17" t="s">
        <v>38</v>
      </c>
      <c r="H1161" s="17" t="s">
        <v>80</v>
      </c>
      <c r="I1161" s="17" t="s">
        <v>30</v>
      </c>
      <c r="J1161" s="36">
        <v>4400</v>
      </c>
      <c r="K1161" s="36">
        <v>3452.93</v>
      </c>
      <c r="L1161" s="36">
        <f t="shared" si="90"/>
        <v>-947.07000000000016</v>
      </c>
      <c r="M1161" s="37">
        <f t="shared" si="91"/>
        <v>-0.21524318181818186</v>
      </c>
      <c r="N1161" s="17" t="str">
        <f t="shared" si="92"/>
        <v>Under Budget</v>
      </c>
      <c r="O1161" s="38">
        <f t="shared" si="93"/>
        <v>-3452.93</v>
      </c>
      <c r="P1161" s="39">
        <f t="shared" si="94"/>
        <v>46143</v>
      </c>
    </row>
    <row r="1162" spans="1:16" ht="15.5" x14ac:dyDescent="0.35">
      <c r="A1162" s="17" t="s">
        <v>1210</v>
      </c>
      <c r="B1162" s="35">
        <v>45962</v>
      </c>
      <c r="C1162" s="17" t="s">
        <v>12</v>
      </c>
      <c r="D1162" s="17" t="s">
        <v>36</v>
      </c>
      <c r="E1162" s="17" t="s">
        <v>37</v>
      </c>
      <c r="F1162" s="17" t="s">
        <v>52</v>
      </c>
      <c r="G1162" s="17" t="s">
        <v>82</v>
      </c>
      <c r="H1162" s="17" t="s">
        <v>60</v>
      </c>
      <c r="I1162" s="17" t="s">
        <v>39</v>
      </c>
      <c r="J1162" s="36">
        <v>4900</v>
      </c>
      <c r="K1162" s="36">
        <v>1748.77</v>
      </c>
      <c r="L1162" s="36">
        <f t="shared" si="90"/>
        <v>-3151.23</v>
      </c>
      <c r="M1162" s="37">
        <f t="shared" si="91"/>
        <v>-0.64310816326530618</v>
      </c>
      <c r="N1162" s="17" t="str">
        <f t="shared" si="92"/>
        <v>Under Budget</v>
      </c>
      <c r="O1162" s="38">
        <f t="shared" si="93"/>
        <v>-1748.77</v>
      </c>
      <c r="P1162" s="39">
        <f t="shared" si="94"/>
        <v>45962</v>
      </c>
    </row>
    <row r="1163" spans="1:16" ht="15.5" x14ac:dyDescent="0.35">
      <c r="A1163" s="17" t="s">
        <v>1211</v>
      </c>
      <c r="B1163" s="35">
        <v>46182</v>
      </c>
      <c r="C1163" s="17" t="s">
        <v>25</v>
      </c>
      <c r="D1163" s="17" t="s">
        <v>13</v>
      </c>
      <c r="E1163" s="17" t="s">
        <v>33</v>
      </c>
      <c r="F1163" s="17" t="s">
        <v>52</v>
      </c>
      <c r="G1163" s="17" t="s">
        <v>38</v>
      </c>
      <c r="H1163" s="17" t="s">
        <v>2590</v>
      </c>
      <c r="I1163" s="17" t="s">
        <v>48</v>
      </c>
      <c r="J1163" s="36">
        <v>10000</v>
      </c>
      <c r="K1163" s="36">
        <v>17703.79</v>
      </c>
      <c r="L1163" s="36">
        <f t="shared" si="90"/>
        <v>7703.7900000000009</v>
      </c>
      <c r="M1163" s="37">
        <f t="shared" si="91"/>
        <v>0.77037900000000004</v>
      </c>
      <c r="N1163" s="17" t="str">
        <f t="shared" si="92"/>
        <v>Over Budget</v>
      </c>
      <c r="O1163" s="38">
        <f t="shared" si="93"/>
        <v>17703.79</v>
      </c>
      <c r="P1163" s="39">
        <f t="shared" si="94"/>
        <v>46174</v>
      </c>
    </row>
    <row r="1164" spans="1:16" ht="15.5" x14ac:dyDescent="0.35">
      <c r="A1164" s="17" t="s">
        <v>1212</v>
      </c>
      <c r="B1164" s="35">
        <v>46075</v>
      </c>
      <c r="C1164" s="17" t="s">
        <v>12</v>
      </c>
      <c r="D1164" s="17" t="s">
        <v>36</v>
      </c>
      <c r="E1164" s="17" t="s">
        <v>77</v>
      </c>
      <c r="F1164" s="17" t="s">
        <v>28</v>
      </c>
      <c r="G1164" s="17" t="s">
        <v>38</v>
      </c>
      <c r="H1164" s="17" t="s">
        <v>2587</v>
      </c>
      <c r="I1164" s="17" t="s">
        <v>39</v>
      </c>
      <c r="J1164" s="36">
        <v>2667.5</v>
      </c>
      <c r="K1164" s="36">
        <v>3194.62</v>
      </c>
      <c r="L1164" s="36">
        <f t="shared" si="90"/>
        <v>527.11999999999989</v>
      </c>
      <c r="M1164" s="37">
        <f t="shared" si="91"/>
        <v>0.19760824742268038</v>
      </c>
      <c r="N1164" s="17" t="str">
        <f t="shared" si="92"/>
        <v>Over Budget</v>
      </c>
      <c r="O1164" s="38">
        <f t="shared" si="93"/>
        <v>-3194.62</v>
      </c>
      <c r="P1164" s="39">
        <f t="shared" si="94"/>
        <v>46054</v>
      </c>
    </row>
    <row r="1165" spans="1:16" ht="15.5" x14ac:dyDescent="0.35">
      <c r="A1165" s="17" t="s">
        <v>1213</v>
      </c>
      <c r="B1165" s="35">
        <v>45893</v>
      </c>
      <c r="C1165" s="17" t="s">
        <v>12</v>
      </c>
      <c r="D1165" s="17" t="s">
        <v>19</v>
      </c>
      <c r="E1165" s="17" t="s">
        <v>14</v>
      </c>
      <c r="F1165" s="17" t="s">
        <v>34</v>
      </c>
      <c r="G1165" s="17" t="s">
        <v>38</v>
      </c>
      <c r="H1165" s="17" t="s">
        <v>2597</v>
      </c>
      <c r="I1165" s="17" t="s">
        <v>39</v>
      </c>
      <c r="J1165" s="36">
        <v>2285.71</v>
      </c>
      <c r="K1165" s="36">
        <v>2496.5</v>
      </c>
      <c r="L1165" s="36">
        <f t="shared" si="90"/>
        <v>210.78999999999996</v>
      </c>
      <c r="M1165" s="37">
        <f t="shared" si="91"/>
        <v>9.2220797913996067E-2</v>
      </c>
      <c r="N1165" s="17" t="str">
        <f t="shared" si="92"/>
        <v>Over Budget</v>
      </c>
      <c r="O1165" s="38">
        <f t="shared" si="93"/>
        <v>-2496.5</v>
      </c>
      <c r="P1165" s="39">
        <f t="shared" si="94"/>
        <v>45870</v>
      </c>
    </row>
    <row r="1166" spans="1:16" ht="15.5" x14ac:dyDescent="0.35">
      <c r="A1166" s="17" t="s">
        <v>1214</v>
      </c>
      <c r="B1166" s="35">
        <v>45715</v>
      </c>
      <c r="C1166" s="17" t="s">
        <v>12</v>
      </c>
      <c r="D1166" s="17" t="s">
        <v>19</v>
      </c>
      <c r="E1166" s="17" t="s">
        <v>45</v>
      </c>
      <c r="F1166" s="17" t="s">
        <v>28</v>
      </c>
      <c r="G1166" s="17" t="s">
        <v>16</v>
      </c>
      <c r="H1166" s="17" t="s">
        <v>2598</v>
      </c>
      <c r="I1166" s="17" t="s">
        <v>23</v>
      </c>
      <c r="J1166" s="36">
        <v>11640</v>
      </c>
      <c r="K1166" s="36">
        <v>16054.98</v>
      </c>
      <c r="L1166" s="36">
        <f t="shared" si="90"/>
        <v>4414.9799999999996</v>
      </c>
      <c r="M1166" s="37">
        <f t="shared" si="91"/>
        <v>0.37929381443298965</v>
      </c>
      <c r="N1166" s="17" t="str">
        <f t="shared" si="92"/>
        <v>Over Budget</v>
      </c>
      <c r="O1166" s="38">
        <f t="shared" si="93"/>
        <v>-16054.98</v>
      </c>
      <c r="P1166" s="39">
        <f t="shared" si="94"/>
        <v>45689</v>
      </c>
    </row>
    <row r="1167" spans="1:16" ht="15.5" x14ac:dyDescent="0.35">
      <c r="A1167" s="17" t="s">
        <v>1215</v>
      </c>
      <c r="B1167" s="35">
        <v>45727</v>
      </c>
      <c r="C1167" s="17" t="s">
        <v>25</v>
      </c>
      <c r="D1167" s="17" t="s">
        <v>26</v>
      </c>
      <c r="E1167" s="17" t="s">
        <v>33</v>
      </c>
      <c r="F1167" s="17" t="s">
        <v>34</v>
      </c>
      <c r="G1167" s="17" t="s">
        <v>22</v>
      </c>
      <c r="H1167" s="17" t="s">
        <v>2586</v>
      </c>
      <c r="I1167" s="17" t="s">
        <v>23</v>
      </c>
      <c r="J1167" s="36">
        <v>8064.52</v>
      </c>
      <c r="K1167" s="36">
        <v>11957.25</v>
      </c>
      <c r="L1167" s="36">
        <f t="shared" si="90"/>
        <v>3892.7299999999996</v>
      </c>
      <c r="M1167" s="37">
        <f t="shared" si="91"/>
        <v>0.48269828830482153</v>
      </c>
      <c r="N1167" s="17" t="str">
        <f t="shared" si="92"/>
        <v>Over Budget</v>
      </c>
      <c r="O1167" s="38">
        <f t="shared" si="93"/>
        <v>11957.25</v>
      </c>
      <c r="P1167" s="39">
        <f t="shared" si="94"/>
        <v>45717</v>
      </c>
    </row>
    <row r="1168" spans="1:16" ht="15.5" x14ac:dyDescent="0.35">
      <c r="A1168" s="17" t="s">
        <v>1216</v>
      </c>
      <c r="B1168" s="35">
        <v>45938</v>
      </c>
      <c r="C1168" s="17" t="s">
        <v>12</v>
      </c>
      <c r="D1168" s="17" t="s">
        <v>32</v>
      </c>
      <c r="E1168" s="17" t="s">
        <v>77</v>
      </c>
      <c r="F1168" s="17" t="s">
        <v>34</v>
      </c>
      <c r="G1168" s="17" t="s">
        <v>43</v>
      </c>
      <c r="H1168" s="17" t="s">
        <v>2597</v>
      </c>
      <c r="I1168" s="17" t="s">
        <v>30</v>
      </c>
      <c r="J1168" s="36">
        <v>5500</v>
      </c>
      <c r="K1168" s="36">
        <v>1638.07</v>
      </c>
      <c r="L1168" s="36">
        <f t="shared" si="90"/>
        <v>-3861.9300000000003</v>
      </c>
      <c r="M1168" s="37">
        <f t="shared" si="91"/>
        <v>-0.70216909090909096</v>
      </c>
      <c r="N1168" s="17" t="str">
        <f t="shared" si="92"/>
        <v>Under Budget</v>
      </c>
      <c r="O1168" s="38">
        <f t="shared" si="93"/>
        <v>-1638.07</v>
      </c>
      <c r="P1168" s="39">
        <f t="shared" si="94"/>
        <v>45931</v>
      </c>
    </row>
    <row r="1169" spans="1:16" ht="15.5" x14ac:dyDescent="0.35">
      <c r="A1169" s="17" t="s">
        <v>1217</v>
      </c>
      <c r="B1169" s="35">
        <v>45887</v>
      </c>
      <c r="C1169" s="17" t="s">
        <v>12</v>
      </c>
      <c r="D1169" s="17" t="s">
        <v>26</v>
      </c>
      <c r="E1169" s="17" t="s">
        <v>47</v>
      </c>
      <c r="F1169" s="17" t="s">
        <v>52</v>
      </c>
      <c r="G1169" s="17" t="s">
        <v>16</v>
      </c>
      <c r="H1169" s="17" t="s">
        <v>2590</v>
      </c>
      <c r="I1169" s="17" t="s">
        <v>23</v>
      </c>
      <c r="J1169" s="36">
        <v>17500</v>
      </c>
      <c r="K1169" s="36">
        <v>363.74</v>
      </c>
      <c r="L1169" s="36">
        <f t="shared" si="90"/>
        <v>-17136.259999999998</v>
      </c>
      <c r="M1169" s="37">
        <f t="shared" si="91"/>
        <v>-0.97921485714285705</v>
      </c>
      <c r="N1169" s="17" t="str">
        <f t="shared" si="92"/>
        <v>Under Budget</v>
      </c>
      <c r="O1169" s="38">
        <f t="shared" si="93"/>
        <v>-363.74</v>
      </c>
      <c r="P1169" s="39">
        <f t="shared" si="94"/>
        <v>45870</v>
      </c>
    </row>
    <row r="1170" spans="1:16" ht="15.5" x14ac:dyDescent="0.35">
      <c r="A1170" s="17" t="s">
        <v>1218</v>
      </c>
      <c r="B1170" s="35">
        <v>46048</v>
      </c>
      <c r="C1170" s="17" t="s">
        <v>12</v>
      </c>
      <c r="D1170" s="17" t="s">
        <v>19</v>
      </c>
      <c r="E1170" s="17" t="s">
        <v>20</v>
      </c>
      <c r="F1170" s="17" t="s">
        <v>52</v>
      </c>
      <c r="G1170" s="17" t="s">
        <v>16</v>
      </c>
      <c r="H1170" s="17" t="s">
        <v>2592</v>
      </c>
      <c r="I1170" s="17" t="s">
        <v>48</v>
      </c>
      <c r="J1170" s="36">
        <v>5820</v>
      </c>
      <c r="K1170" s="36">
        <v>1272.2</v>
      </c>
      <c r="L1170" s="36">
        <f t="shared" si="90"/>
        <v>-4547.8</v>
      </c>
      <c r="M1170" s="37">
        <f t="shared" si="91"/>
        <v>-0.78140893470790385</v>
      </c>
      <c r="N1170" s="17" t="str">
        <f t="shared" si="92"/>
        <v>Under Budget</v>
      </c>
      <c r="O1170" s="38">
        <f t="shared" si="93"/>
        <v>-1272.2</v>
      </c>
      <c r="P1170" s="39">
        <f t="shared" si="94"/>
        <v>46023</v>
      </c>
    </row>
    <row r="1171" spans="1:16" ht="15.5" x14ac:dyDescent="0.35">
      <c r="A1171" s="17" t="s">
        <v>1219</v>
      </c>
      <c r="B1171" s="35">
        <v>46035</v>
      </c>
      <c r="C1171" s="17" t="s">
        <v>12</v>
      </c>
      <c r="D1171" s="17" t="s">
        <v>26</v>
      </c>
      <c r="E1171" s="17" t="s">
        <v>41</v>
      </c>
      <c r="F1171" s="17" t="s">
        <v>34</v>
      </c>
      <c r="G1171" s="17" t="s">
        <v>43</v>
      </c>
      <c r="H1171" s="17" t="s">
        <v>2594</v>
      </c>
      <c r="I1171" s="17" t="s">
        <v>23</v>
      </c>
      <c r="J1171" s="36">
        <v>6305</v>
      </c>
      <c r="K1171" s="36">
        <v>11838.87</v>
      </c>
      <c r="L1171" s="36">
        <f t="shared" si="90"/>
        <v>5533.8700000000008</v>
      </c>
      <c r="M1171" s="37">
        <f t="shared" si="91"/>
        <v>0.87769547977795415</v>
      </c>
      <c r="N1171" s="17" t="str">
        <f t="shared" si="92"/>
        <v>Over Budget</v>
      </c>
      <c r="O1171" s="38">
        <f t="shared" si="93"/>
        <v>-11838.87</v>
      </c>
      <c r="P1171" s="39">
        <f t="shared" si="94"/>
        <v>46023</v>
      </c>
    </row>
    <row r="1172" spans="1:16" ht="15.5" x14ac:dyDescent="0.35">
      <c r="A1172" s="17" t="s">
        <v>1220</v>
      </c>
      <c r="B1172" s="35">
        <v>46061</v>
      </c>
      <c r="C1172" s="17" t="s">
        <v>12</v>
      </c>
      <c r="D1172" s="17" t="s">
        <v>2584</v>
      </c>
      <c r="E1172" s="17" t="s">
        <v>77</v>
      </c>
      <c r="F1172" s="17" t="s">
        <v>52</v>
      </c>
      <c r="G1172" s="17" t="s">
        <v>43</v>
      </c>
      <c r="H1172" s="17" t="s">
        <v>2589</v>
      </c>
      <c r="I1172" s="17" t="s">
        <v>30</v>
      </c>
      <c r="J1172" s="36">
        <v>2667.5</v>
      </c>
      <c r="K1172" s="36">
        <v>3099.53</v>
      </c>
      <c r="L1172" s="36">
        <f t="shared" si="90"/>
        <v>432.0300000000002</v>
      </c>
      <c r="M1172" s="37">
        <f t="shared" si="91"/>
        <v>0.16196063730084356</v>
      </c>
      <c r="N1172" s="17" t="str">
        <f t="shared" si="92"/>
        <v>Over Budget</v>
      </c>
      <c r="O1172" s="38">
        <f t="shared" si="93"/>
        <v>-3099.53</v>
      </c>
      <c r="P1172" s="39">
        <f t="shared" si="94"/>
        <v>46054</v>
      </c>
    </row>
    <row r="1173" spans="1:16" ht="15.5" x14ac:dyDescent="0.35">
      <c r="A1173" s="17" t="s">
        <v>1221</v>
      </c>
      <c r="B1173" s="35">
        <v>46168</v>
      </c>
      <c r="C1173" s="17" t="s">
        <v>12</v>
      </c>
      <c r="D1173" s="17" t="s">
        <v>36</v>
      </c>
      <c r="E1173" s="17" t="s">
        <v>14</v>
      </c>
      <c r="F1173" s="17" t="s">
        <v>15</v>
      </c>
      <c r="G1173" s="17" t="s">
        <v>22</v>
      </c>
      <c r="H1173" s="17" t="s">
        <v>2586</v>
      </c>
      <c r="I1173" s="17" t="s">
        <v>23</v>
      </c>
      <c r="J1173" s="36">
        <v>8000</v>
      </c>
      <c r="K1173" s="36">
        <v>4925.76</v>
      </c>
      <c r="L1173" s="36">
        <f t="shared" si="90"/>
        <v>-3074.24</v>
      </c>
      <c r="M1173" s="37">
        <f t="shared" si="91"/>
        <v>-0.38427999999999995</v>
      </c>
      <c r="N1173" s="17" t="str">
        <f t="shared" si="92"/>
        <v>Under Budget</v>
      </c>
      <c r="O1173" s="38">
        <f t="shared" si="93"/>
        <v>-4925.76</v>
      </c>
      <c r="P1173" s="39">
        <f t="shared" si="94"/>
        <v>46143</v>
      </c>
    </row>
    <row r="1174" spans="1:16" ht="15.5" x14ac:dyDescent="0.35">
      <c r="A1174" s="17" t="s">
        <v>1222</v>
      </c>
      <c r="B1174" s="35">
        <v>45961</v>
      </c>
      <c r="C1174" s="17" t="s">
        <v>25</v>
      </c>
      <c r="D1174" s="17" t="s">
        <v>32</v>
      </c>
      <c r="E1174" s="17" t="s">
        <v>33</v>
      </c>
      <c r="F1174" s="17" t="s">
        <v>28</v>
      </c>
      <c r="G1174" s="17" t="s">
        <v>22</v>
      </c>
      <c r="H1174" s="17" t="s">
        <v>60</v>
      </c>
      <c r="I1174" s="17" t="s">
        <v>30</v>
      </c>
      <c r="J1174" s="36">
        <v>8928.57</v>
      </c>
      <c r="K1174" s="36">
        <v>11827.02</v>
      </c>
      <c r="L1174" s="36">
        <f t="shared" si="90"/>
        <v>2898.4500000000007</v>
      </c>
      <c r="M1174" s="37">
        <f t="shared" si="91"/>
        <v>0.32462645194023243</v>
      </c>
      <c r="N1174" s="17" t="str">
        <f t="shared" si="92"/>
        <v>Over Budget</v>
      </c>
      <c r="O1174" s="38">
        <f t="shared" si="93"/>
        <v>11827.02</v>
      </c>
      <c r="P1174" s="39">
        <f t="shared" si="94"/>
        <v>45931</v>
      </c>
    </row>
    <row r="1175" spans="1:16" ht="15.5" x14ac:dyDescent="0.35">
      <c r="A1175" s="17" t="s">
        <v>1223</v>
      </c>
      <c r="B1175" s="35">
        <v>45678</v>
      </c>
      <c r="C1175" s="17" t="s">
        <v>12</v>
      </c>
      <c r="D1175" s="17" t="s">
        <v>19</v>
      </c>
      <c r="E1175" s="17" t="s">
        <v>14</v>
      </c>
      <c r="F1175" s="17" t="s">
        <v>52</v>
      </c>
      <c r="G1175" s="17" t="s">
        <v>43</v>
      </c>
      <c r="H1175" s="17" t="s">
        <v>2595</v>
      </c>
      <c r="I1175" s="17" t="s">
        <v>30</v>
      </c>
      <c r="J1175" s="36">
        <v>7760</v>
      </c>
      <c r="K1175" s="36">
        <v>1792.1</v>
      </c>
      <c r="L1175" s="36">
        <f t="shared" si="90"/>
        <v>-5967.9</v>
      </c>
      <c r="M1175" s="37">
        <f t="shared" si="91"/>
        <v>-0.76905927835051546</v>
      </c>
      <c r="N1175" s="17" t="str">
        <f t="shared" si="92"/>
        <v>Under Budget</v>
      </c>
      <c r="O1175" s="38">
        <f t="shared" si="93"/>
        <v>-1792.1</v>
      </c>
      <c r="P1175" s="39">
        <f t="shared" si="94"/>
        <v>45658</v>
      </c>
    </row>
    <row r="1176" spans="1:16" ht="15.5" x14ac:dyDescent="0.35">
      <c r="A1176" s="17" t="s">
        <v>1224</v>
      </c>
      <c r="B1176" s="35">
        <v>45795</v>
      </c>
      <c r="C1176" s="17" t="s">
        <v>25</v>
      </c>
      <c r="D1176" s="17" t="s">
        <v>26</v>
      </c>
      <c r="E1176" s="17" t="s">
        <v>27</v>
      </c>
      <c r="F1176" s="17" t="s">
        <v>15</v>
      </c>
      <c r="G1176" s="17" t="s">
        <v>16</v>
      </c>
      <c r="H1176" s="17" t="s">
        <v>2588</v>
      </c>
      <c r="I1176" s="17" t="s">
        <v>39</v>
      </c>
      <c r="J1176" s="36">
        <v>10000</v>
      </c>
      <c r="K1176" s="36">
        <v>4563.76</v>
      </c>
      <c r="L1176" s="36">
        <f t="shared" si="90"/>
        <v>-5436.24</v>
      </c>
      <c r="M1176" s="37">
        <f t="shared" si="91"/>
        <v>-0.543624</v>
      </c>
      <c r="N1176" s="17" t="str">
        <f t="shared" si="92"/>
        <v>Under Budget</v>
      </c>
      <c r="O1176" s="38">
        <f t="shared" si="93"/>
        <v>4563.76</v>
      </c>
      <c r="P1176" s="39">
        <f t="shared" si="94"/>
        <v>45778</v>
      </c>
    </row>
    <row r="1177" spans="1:16" ht="15.5" x14ac:dyDescent="0.35">
      <c r="A1177" s="17" t="s">
        <v>1225</v>
      </c>
      <c r="B1177" s="35">
        <v>45760</v>
      </c>
      <c r="C1177" s="17" t="s">
        <v>12</v>
      </c>
      <c r="D1177" s="17" t="s">
        <v>2584</v>
      </c>
      <c r="E1177" s="17" t="s">
        <v>47</v>
      </c>
      <c r="F1177" s="17" t="s">
        <v>34</v>
      </c>
      <c r="G1177" s="17" t="s">
        <v>22</v>
      </c>
      <c r="H1177" s="17" t="s">
        <v>2592</v>
      </c>
      <c r="I1177" s="17" t="s">
        <v>23</v>
      </c>
      <c r="J1177" s="36">
        <v>4375</v>
      </c>
      <c r="K1177" s="36">
        <v>3577.04</v>
      </c>
      <c r="L1177" s="36">
        <f t="shared" si="90"/>
        <v>-797.96</v>
      </c>
      <c r="M1177" s="37">
        <f t="shared" si="91"/>
        <v>-0.18239085714285716</v>
      </c>
      <c r="N1177" s="17" t="str">
        <f t="shared" si="92"/>
        <v>Under Budget</v>
      </c>
      <c r="O1177" s="38">
        <f t="shared" si="93"/>
        <v>-3577.04</v>
      </c>
      <c r="P1177" s="39">
        <f t="shared" si="94"/>
        <v>45748</v>
      </c>
    </row>
    <row r="1178" spans="1:16" ht="15.5" x14ac:dyDescent="0.35">
      <c r="A1178" s="17" t="s">
        <v>1226</v>
      </c>
      <c r="B1178" s="35">
        <v>45868</v>
      </c>
      <c r="C1178" s="17" t="s">
        <v>12</v>
      </c>
      <c r="D1178" s="17" t="s">
        <v>26</v>
      </c>
      <c r="E1178" s="17" t="s">
        <v>65</v>
      </c>
      <c r="F1178" s="17" t="s">
        <v>15</v>
      </c>
      <c r="G1178" s="17" t="s">
        <v>82</v>
      </c>
      <c r="H1178" s="17" t="s">
        <v>2591</v>
      </c>
      <c r="I1178" s="17" t="s">
        <v>39</v>
      </c>
      <c r="J1178" s="36">
        <v>3437.5</v>
      </c>
      <c r="K1178" s="36">
        <v>2446.48</v>
      </c>
      <c r="L1178" s="36">
        <f t="shared" si="90"/>
        <v>-991.02</v>
      </c>
      <c r="M1178" s="37">
        <f t="shared" si="91"/>
        <v>-0.28829672727272726</v>
      </c>
      <c r="N1178" s="17" t="str">
        <f t="shared" si="92"/>
        <v>Under Budget</v>
      </c>
      <c r="O1178" s="38">
        <f t="shared" si="93"/>
        <v>-2446.48</v>
      </c>
      <c r="P1178" s="39">
        <f t="shared" si="94"/>
        <v>45839</v>
      </c>
    </row>
    <row r="1179" spans="1:16" ht="15.5" x14ac:dyDescent="0.35">
      <c r="A1179" s="17" t="s">
        <v>1227</v>
      </c>
      <c r="B1179" s="35">
        <v>46097</v>
      </c>
      <c r="C1179" s="17" t="s">
        <v>12</v>
      </c>
      <c r="D1179" s="17" t="s">
        <v>19</v>
      </c>
      <c r="E1179" s="17" t="s">
        <v>47</v>
      </c>
      <c r="F1179" s="17" t="s">
        <v>52</v>
      </c>
      <c r="G1179" s="17" t="s">
        <v>22</v>
      </c>
      <c r="H1179" s="17" t="s">
        <v>2590</v>
      </c>
      <c r="I1179" s="17" t="s">
        <v>23</v>
      </c>
      <c r="J1179" s="36">
        <v>3181.82</v>
      </c>
      <c r="K1179" s="36">
        <v>370.1</v>
      </c>
      <c r="L1179" s="36">
        <f t="shared" si="90"/>
        <v>-2811.7200000000003</v>
      </c>
      <c r="M1179" s="37">
        <f t="shared" si="91"/>
        <v>-0.88368292360975798</v>
      </c>
      <c r="N1179" s="17" t="str">
        <f t="shared" si="92"/>
        <v>Under Budget</v>
      </c>
      <c r="O1179" s="38">
        <f t="shared" si="93"/>
        <v>-370.1</v>
      </c>
      <c r="P1179" s="39">
        <f t="shared" si="94"/>
        <v>46082</v>
      </c>
    </row>
    <row r="1180" spans="1:16" ht="15.5" x14ac:dyDescent="0.35">
      <c r="A1180" s="17" t="s">
        <v>1228</v>
      </c>
      <c r="B1180" s="35">
        <v>45813</v>
      </c>
      <c r="C1180" s="17" t="s">
        <v>12</v>
      </c>
      <c r="D1180" s="17" t="s">
        <v>2584</v>
      </c>
      <c r="E1180" s="17" t="s">
        <v>45</v>
      </c>
      <c r="F1180" s="17" t="s">
        <v>21</v>
      </c>
      <c r="G1180" s="17" t="s">
        <v>22</v>
      </c>
      <c r="H1180" s="17" t="s">
        <v>2592</v>
      </c>
      <c r="I1180" s="17" t="s">
        <v>23</v>
      </c>
      <c r="J1180" s="36">
        <v>6428.57</v>
      </c>
      <c r="K1180" s="36">
        <v>12645.07</v>
      </c>
      <c r="L1180" s="36">
        <f t="shared" si="90"/>
        <v>6216.5</v>
      </c>
      <c r="M1180" s="37">
        <f t="shared" si="91"/>
        <v>0.96701132600251694</v>
      </c>
      <c r="N1180" s="17" t="str">
        <f t="shared" si="92"/>
        <v>Over Budget</v>
      </c>
      <c r="O1180" s="38">
        <f t="shared" si="93"/>
        <v>-12645.07</v>
      </c>
      <c r="P1180" s="39">
        <f t="shared" si="94"/>
        <v>45809</v>
      </c>
    </row>
    <row r="1181" spans="1:16" ht="15.5" x14ac:dyDescent="0.35">
      <c r="A1181" s="17" t="s">
        <v>1229</v>
      </c>
      <c r="B1181" s="35">
        <v>46073</v>
      </c>
      <c r="C1181" s="17" t="s">
        <v>12</v>
      </c>
      <c r="D1181" s="17" t="s">
        <v>2585</v>
      </c>
      <c r="E1181" s="17" t="s">
        <v>51</v>
      </c>
      <c r="F1181" s="17" t="s">
        <v>21</v>
      </c>
      <c r="G1181" s="17" t="s">
        <v>22</v>
      </c>
      <c r="H1181" s="17" t="s">
        <v>2588</v>
      </c>
      <c r="I1181" s="17" t="s">
        <v>23</v>
      </c>
      <c r="J1181" s="36">
        <v>2910</v>
      </c>
      <c r="K1181" s="36">
        <v>2595.67</v>
      </c>
      <c r="L1181" s="36">
        <f t="shared" si="90"/>
        <v>-314.32999999999993</v>
      </c>
      <c r="M1181" s="37">
        <f t="shared" si="91"/>
        <v>-0.10801718213058417</v>
      </c>
      <c r="N1181" s="17" t="str">
        <f t="shared" si="92"/>
        <v>Under Budget</v>
      </c>
      <c r="O1181" s="38">
        <f t="shared" si="93"/>
        <v>-2595.67</v>
      </c>
      <c r="P1181" s="39">
        <f t="shared" si="94"/>
        <v>46054</v>
      </c>
    </row>
    <row r="1182" spans="1:16" ht="15.5" x14ac:dyDescent="0.35">
      <c r="A1182" s="17" t="s">
        <v>1230</v>
      </c>
      <c r="B1182" s="35">
        <v>45754</v>
      </c>
      <c r="C1182" s="17" t="s">
        <v>12</v>
      </c>
      <c r="D1182" s="17" t="s">
        <v>26</v>
      </c>
      <c r="E1182" s="17" t="s">
        <v>41</v>
      </c>
      <c r="F1182" s="17" t="s">
        <v>28</v>
      </c>
      <c r="G1182" s="17" t="s">
        <v>22</v>
      </c>
      <c r="H1182" s="17" t="s">
        <v>2588</v>
      </c>
      <c r="I1182" s="17" t="s">
        <v>48</v>
      </c>
      <c r="J1182" s="36">
        <v>5416.67</v>
      </c>
      <c r="K1182" s="36">
        <v>9253.2999999999993</v>
      </c>
      <c r="L1182" s="36">
        <f t="shared" si="90"/>
        <v>3836.6299999999992</v>
      </c>
      <c r="M1182" s="37">
        <f t="shared" si="91"/>
        <v>0.70830048719970007</v>
      </c>
      <c r="N1182" s="17" t="str">
        <f t="shared" si="92"/>
        <v>Over Budget</v>
      </c>
      <c r="O1182" s="38">
        <f t="shared" si="93"/>
        <v>-9253.2999999999993</v>
      </c>
      <c r="P1182" s="39">
        <f t="shared" si="94"/>
        <v>45748</v>
      </c>
    </row>
    <row r="1183" spans="1:16" ht="15.5" x14ac:dyDescent="0.35">
      <c r="A1183" s="17" t="s">
        <v>1231</v>
      </c>
      <c r="B1183" s="35">
        <v>45797</v>
      </c>
      <c r="C1183" s="17" t="s">
        <v>25</v>
      </c>
      <c r="D1183" s="17" t="s">
        <v>32</v>
      </c>
      <c r="E1183" s="17" t="s">
        <v>169</v>
      </c>
      <c r="F1183" s="17" t="s">
        <v>34</v>
      </c>
      <c r="G1183" s="17" t="s">
        <v>22</v>
      </c>
      <c r="H1183" s="17" t="s">
        <v>2598</v>
      </c>
      <c r="I1183" s="17" t="s">
        <v>23</v>
      </c>
      <c r="J1183" s="36">
        <v>10000</v>
      </c>
      <c r="K1183" s="36">
        <v>4025.03</v>
      </c>
      <c r="L1183" s="36">
        <f t="shared" si="90"/>
        <v>-5974.9699999999993</v>
      </c>
      <c r="M1183" s="37">
        <f t="shared" si="91"/>
        <v>-0.59749699999999994</v>
      </c>
      <c r="N1183" s="17" t="str">
        <f t="shared" si="92"/>
        <v>Under Budget</v>
      </c>
      <c r="O1183" s="38">
        <f t="shared" si="93"/>
        <v>4025.03</v>
      </c>
      <c r="P1183" s="39">
        <f t="shared" si="94"/>
        <v>45778</v>
      </c>
    </row>
    <row r="1184" spans="1:16" ht="15.5" x14ac:dyDescent="0.35">
      <c r="A1184" s="17" t="s">
        <v>1232</v>
      </c>
      <c r="B1184" s="35">
        <v>45981</v>
      </c>
      <c r="C1184" s="17" t="s">
        <v>25</v>
      </c>
      <c r="D1184" s="17" t="s">
        <v>19</v>
      </c>
      <c r="E1184" s="17" t="s">
        <v>109</v>
      </c>
      <c r="F1184" s="17" t="s">
        <v>52</v>
      </c>
      <c r="G1184" s="17" t="s">
        <v>38</v>
      </c>
      <c r="H1184" s="17" t="s">
        <v>2598</v>
      </c>
      <c r="I1184" s="17" t="s">
        <v>23</v>
      </c>
      <c r="J1184" s="36">
        <v>9545.4500000000007</v>
      </c>
      <c r="K1184" s="36">
        <v>15851.69</v>
      </c>
      <c r="L1184" s="36">
        <f t="shared" si="90"/>
        <v>6306.24</v>
      </c>
      <c r="M1184" s="37">
        <f t="shared" si="91"/>
        <v>0.66065402888287084</v>
      </c>
      <c r="N1184" s="17" t="str">
        <f t="shared" si="92"/>
        <v>Over Budget</v>
      </c>
      <c r="O1184" s="38">
        <f t="shared" si="93"/>
        <v>15851.69</v>
      </c>
      <c r="P1184" s="39">
        <f t="shared" si="94"/>
        <v>45962</v>
      </c>
    </row>
    <row r="1185" spans="1:16" ht="15.5" x14ac:dyDescent="0.35">
      <c r="A1185" s="17" t="s">
        <v>1233</v>
      </c>
      <c r="B1185" s="35">
        <v>45867</v>
      </c>
      <c r="C1185" s="17" t="s">
        <v>25</v>
      </c>
      <c r="D1185" s="17" t="s">
        <v>26</v>
      </c>
      <c r="E1185" s="17" t="s">
        <v>33</v>
      </c>
      <c r="F1185" s="17" t="s">
        <v>52</v>
      </c>
      <c r="G1185" s="17" t="s">
        <v>43</v>
      </c>
      <c r="H1185" s="17" t="s">
        <v>60</v>
      </c>
      <c r="I1185" s="17" t="s">
        <v>23</v>
      </c>
      <c r="J1185" s="36">
        <v>12500</v>
      </c>
      <c r="K1185" s="36">
        <v>14082.19</v>
      </c>
      <c r="L1185" s="36">
        <f t="shared" si="90"/>
        <v>1582.1900000000005</v>
      </c>
      <c r="M1185" s="37">
        <f t="shared" si="91"/>
        <v>0.12657520000000005</v>
      </c>
      <c r="N1185" s="17" t="str">
        <f t="shared" si="92"/>
        <v>Over Budget</v>
      </c>
      <c r="O1185" s="38">
        <f t="shared" si="93"/>
        <v>14082.19</v>
      </c>
      <c r="P1185" s="39">
        <f t="shared" si="94"/>
        <v>45839</v>
      </c>
    </row>
    <row r="1186" spans="1:16" ht="15.5" x14ac:dyDescent="0.35">
      <c r="A1186" s="17" t="s">
        <v>1234</v>
      </c>
      <c r="B1186" s="35">
        <v>45743</v>
      </c>
      <c r="C1186" s="17" t="s">
        <v>25</v>
      </c>
      <c r="D1186" s="17" t="s">
        <v>19</v>
      </c>
      <c r="E1186" s="17" t="s">
        <v>33</v>
      </c>
      <c r="F1186" s="17" t="s">
        <v>21</v>
      </c>
      <c r="G1186" s="17" t="s">
        <v>38</v>
      </c>
      <c r="H1186" s="17" t="s">
        <v>2597</v>
      </c>
      <c r="I1186" s="17" t="s">
        <v>17</v>
      </c>
      <c r="J1186" s="36">
        <v>8064.52</v>
      </c>
      <c r="K1186" s="36">
        <v>13862.28</v>
      </c>
      <c r="L1186" s="36">
        <f t="shared" si="90"/>
        <v>5797.76</v>
      </c>
      <c r="M1186" s="37">
        <f t="shared" si="91"/>
        <v>0.71892189491749048</v>
      </c>
      <c r="N1186" s="17" t="str">
        <f t="shared" si="92"/>
        <v>Over Budget</v>
      </c>
      <c r="O1186" s="38">
        <f t="shared" si="93"/>
        <v>13862.28</v>
      </c>
      <c r="P1186" s="39">
        <f t="shared" si="94"/>
        <v>45717</v>
      </c>
    </row>
    <row r="1187" spans="1:16" ht="15.5" x14ac:dyDescent="0.35">
      <c r="A1187" s="17" t="s">
        <v>1235</v>
      </c>
      <c r="B1187" s="35">
        <v>46174</v>
      </c>
      <c r="C1187" s="17" t="s">
        <v>25</v>
      </c>
      <c r="D1187" s="17" t="s">
        <v>26</v>
      </c>
      <c r="E1187" s="17" t="s">
        <v>169</v>
      </c>
      <c r="F1187" s="17" t="s">
        <v>52</v>
      </c>
      <c r="G1187" s="17" t="s">
        <v>43</v>
      </c>
      <c r="H1187" s="17" t="s">
        <v>60</v>
      </c>
      <c r="I1187" s="17" t="s">
        <v>48</v>
      </c>
      <c r="J1187" s="36">
        <v>10000</v>
      </c>
      <c r="K1187" s="36">
        <v>3768.1</v>
      </c>
      <c r="L1187" s="36">
        <f t="shared" si="90"/>
        <v>-6231.9</v>
      </c>
      <c r="M1187" s="37">
        <f t="shared" si="91"/>
        <v>-0.62318999999999991</v>
      </c>
      <c r="N1187" s="17" t="str">
        <f t="shared" si="92"/>
        <v>Under Budget</v>
      </c>
      <c r="O1187" s="38">
        <f t="shared" si="93"/>
        <v>3768.1</v>
      </c>
      <c r="P1187" s="39">
        <f t="shared" si="94"/>
        <v>46174</v>
      </c>
    </row>
    <row r="1188" spans="1:16" ht="15.5" x14ac:dyDescent="0.35">
      <c r="A1188" s="17" t="s">
        <v>1236</v>
      </c>
      <c r="B1188" s="35">
        <v>45730</v>
      </c>
      <c r="C1188" s="17" t="s">
        <v>12</v>
      </c>
      <c r="D1188" s="17" t="s">
        <v>19</v>
      </c>
      <c r="E1188" s="17" t="s">
        <v>20</v>
      </c>
      <c r="F1188" s="17" t="s">
        <v>34</v>
      </c>
      <c r="G1188" s="17" t="s">
        <v>38</v>
      </c>
      <c r="H1188" s="17" t="s">
        <v>60</v>
      </c>
      <c r="I1188" s="17" t="s">
        <v>23</v>
      </c>
      <c r="J1188" s="36">
        <v>3000</v>
      </c>
      <c r="K1188" s="36">
        <v>1598.42</v>
      </c>
      <c r="L1188" s="36">
        <f t="shared" si="90"/>
        <v>-1401.58</v>
      </c>
      <c r="M1188" s="37">
        <f t="shared" si="91"/>
        <v>-0.46719333333333329</v>
      </c>
      <c r="N1188" s="17" t="str">
        <f t="shared" si="92"/>
        <v>Under Budget</v>
      </c>
      <c r="O1188" s="38">
        <f t="shared" si="93"/>
        <v>-1598.42</v>
      </c>
      <c r="P1188" s="39">
        <f t="shared" si="94"/>
        <v>45717</v>
      </c>
    </row>
    <row r="1189" spans="1:16" ht="15.5" x14ac:dyDescent="0.35">
      <c r="A1189" s="17" t="s">
        <v>1237</v>
      </c>
      <c r="B1189" s="35">
        <v>46083</v>
      </c>
      <c r="C1189" s="17" t="s">
        <v>25</v>
      </c>
      <c r="D1189" s="17" t="s">
        <v>32</v>
      </c>
      <c r="E1189" s="17" t="s">
        <v>169</v>
      </c>
      <c r="F1189" s="17" t="s">
        <v>34</v>
      </c>
      <c r="G1189" s="17" t="s">
        <v>43</v>
      </c>
      <c r="H1189" s="17" t="s">
        <v>2587</v>
      </c>
      <c r="I1189" s="17" t="s">
        <v>23</v>
      </c>
      <c r="J1189" s="36">
        <v>10000</v>
      </c>
      <c r="K1189" s="36">
        <v>3485.19</v>
      </c>
      <c r="L1189" s="36">
        <f t="shared" si="90"/>
        <v>-6514.8099999999995</v>
      </c>
      <c r="M1189" s="37">
        <f t="shared" si="91"/>
        <v>-0.65148099999999998</v>
      </c>
      <c r="N1189" s="17" t="str">
        <f t="shared" si="92"/>
        <v>Under Budget</v>
      </c>
      <c r="O1189" s="38">
        <f t="shared" si="93"/>
        <v>3485.19</v>
      </c>
      <c r="P1189" s="39">
        <f t="shared" si="94"/>
        <v>46082</v>
      </c>
    </row>
    <row r="1190" spans="1:16" ht="15.5" x14ac:dyDescent="0.35">
      <c r="A1190" s="17" t="s">
        <v>1238</v>
      </c>
      <c r="B1190" s="35">
        <v>46166</v>
      </c>
      <c r="C1190" s="17" t="s">
        <v>12</v>
      </c>
      <c r="D1190" s="17" t="s">
        <v>36</v>
      </c>
      <c r="E1190" s="17" t="s">
        <v>47</v>
      </c>
      <c r="F1190" s="17" t="s">
        <v>52</v>
      </c>
      <c r="G1190" s="17" t="s">
        <v>22</v>
      </c>
      <c r="H1190" s="17" t="s">
        <v>2588</v>
      </c>
      <c r="I1190" s="17" t="s">
        <v>48</v>
      </c>
      <c r="J1190" s="36">
        <v>2692.31</v>
      </c>
      <c r="K1190" s="36">
        <v>3643</v>
      </c>
      <c r="L1190" s="36">
        <f t="shared" si="90"/>
        <v>950.69</v>
      </c>
      <c r="M1190" s="37">
        <f t="shared" si="91"/>
        <v>0.35311312590303495</v>
      </c>
      <c r="N1190" s="17" t="str">
        <f t="shared" si="92"/>
        <v>Over Budget</v>
      </c>
      <c r="O1190" s="38">
        <f t="shared" si="93"/>
        <v>-3643</v>
      </c>
      <c r="P1190" s="39">
        <f t="shared" si="94"/>
        <v>46143</v>
      </c>
    </row>
    <row r="1191" spans="1:16" ht="15.5" x14ac:dyDescent="0.35">
      <c r="A1191" s="17" t="s">
        <v>1239</v>
      </c>
      <c r="B1191" s="35">
        <v>45731</v>
      </c>
      <c r="C1191" s="17" t="s">
        <v>12</v>
      </c>
      <c r="D1191" s="17" t="s">
        <v>19</v>
      </c>
      <c r="E1191" s="17" t="s">
        <v>45</v>
      </c>
      <c r="F1191" s="17" t="s">
        <v>28</v>
      </c>
      <c r="G1191" s="17" t="s">
        <v>38</v>
      </c>
      <c r="H1191" s="17" t="s">
        <v>2598</v>
      </c>
      <c r="I1191" s="17" t="s">
        <v>23</v>
      </c>
      <c r="J1191" s="36">
        <v>6000</v>
      </c>
      <c r="K1191" s="36">
        <v>16014.52</v>
      </c>
      <c r="L1191" s="36">
        <f t="shared" si="90"/>
        <v>10014.52</v>
      </c>
      <c r="M1191" s="37">
        <f t="shared" si="91"/>
        <v>1.6690866666666668</v>
      </c>
      <c r="N1191" s="17" t="str">
        <f t="shared" si="92"/>
        <v>Over Budget</v>
      </c>
      <c r="O1191" s="38">
        <f t="shared" si="93"/>
        <v>-16014.52</v>
      </c>
      <c r="P1191" s="39">
        <f t="shared" si="94"/>
        <v>45717</v>
      </c>
    </row>
    <row r="1192" spans="1:16" ht="15.5" x14ac:dyDescent="0.35">
      <c r="A1192" s="17" t="s">
        <v>1240</v>
      </c>
      <c r="B1192" s="35">
        <v>46122</v>
      </c>
      <c r="C1192" s="17" t="s">
        <v>12</v>
      </c>
      <c r="D1192" s="17" t="s">
        <v>2584</v>
      </c>
      <c r="E1192" s="17" t="s">
        <v>45</v>
      </c>
      <c r="F1192" s="17" t="s">
        <v>34</v>
      </c>
      <c r="G1192" s="17" t="s">
        <v>22</v>
      </c>
      <c r="H1192" s="17" t="s">
        <v>80</v>
      </c>
      <c r="I1192" s="17" t="s">
        <v>23</v>
      </c>
      <c r="J1192" s="36">
        <v>8571.43</v>
      </c>
      <c r="K1192" s="36">
        <v>2275.7399999999998</v>
      </c>
      <c r="L1192" s="36">
        <f t="shared" si="90"/>
        <v>-6295.6900000000005</v>
      </c>
      <c r="M1192" s="37">
        <f t="shared" si="91"/>
        <v>-0.73449704425049267</v>
      </c>
      <c r="N1192" s="17" t="str">
        <f t="shared" si="92"/>
        <v>Under Budget</v>
      </c>
      <c r="O1192" s="38">
        <f t="shared" si="93"/>
        <v>-2275.7399999999998</v>
      </c>
      <c r="P1192" s="39">
        <f t="shared" si="94"/>
        <v>46113</v>
      </c>
    </row>
    <row r="1193" spans="1:16" ht="15.5" x14ac:dyDescent="0.35">
      <c r="A1193" s="17" t="s">
        <v>1241</v>
      </c>
      <c r="B1193" s="35">
        <v>45948</v>
      </c>
      <c r="C1193" s="17" t="s">
        <v>25</v>
      </c>
      <c r="D1193" s="17" t="s">
        <v>26</v>
      </c>
      <c r="E1193" s="17" t="s">
        <v>109</v>
      </c>
      <c r="F1193" s="17" t="s">
        <v>34</v>
      </c>
      <c r="G1193" s="17" t="s">
        <v>82</v>
      </c>
      <c r="H1193" s="17" t="s">
        <v>2596</v>
      </c>
      <c r="I1193" s="17" t="s">
        <v>48</v>
      </c>
      <c r="J1193" s="36">
        <v>7692.31</v>
      </c>
      <c r="K1193" s="36">
        <v>17340.330000000002</v>
      </c>
      <c r="L1193" s="36">
        <f t="shared" si="90"/>
        <v>9648.02</v>
      </c>
      <c r="M1193" s="37">
        <f t="shared" si="91"/>
        <v>1.254242223727333</v>
      </c>
      <c r="N1193" s="17" t="str">
        <f t="shared" si="92"/>
        <v>Over Budget</v>
      </c>
      <c r="O1193" s="38">
        <f t="shared" si="93"/>
        <v>17340.330000000002</v>
      </c>
      <c r="P1193" s="39">
        <f t="shared" si="94"/>
        <v>45931</v>
      </c>
    </row>
    <row r="1194" spans="1:16" ht="15.5" x14ac:dyDescent="0.35">
      <c r="A1194" s="17" t="s">
        <v>1242</v>
      </c>
      <c r="B1194" s="35">
        <v>45909</v>
      </c>
      <c r="C1194" s="17" t="s">
        <v>25</v>
      </c>
      <c r="D1194" s="17" t="s">
        <v>32</v>
      </c>
      <c r="E1194" s="17" t="s">
        <v>109</v>
      </c>
      <c r="F1194" s="17" t="s">
        <v>15</v>
      </c>
      <c r="G1194" s="17" t="s">
        <v>22</v>
      </c>
      <c r="H1194" s="17" t="s">
        <v>2596</v>
      </c>
      <c r="I1194" s="17" t="s">
        <v>48</v>
      </c>
      <c r="J1194" s="36">
        <v>7142.86</v>
      </c>
      <c r="K1194" s="36">
        <v>17755.88</v>
      </c>
      <c r="L1194" s="36">
        <f t="shared" si="90"/>
        <v>10613.02</v>
      </c>
      <c r="M1194" s="37">
        <f t="shared" si="91"/>
        <v>1.4858222056711179</v>
      </c>
      <c r="N1194" s="17" t="str">
        <f t="shared" si="92"/>
        <v>Over Budget</v>
      </c>
      <c r="O1194" s="38">
        <f t="shared" si="93"/>
        <v>17755.88</v>
      </c>
      <c r="P1194" s="39">
        <f t="shared" si="94"/>
        <v>45901</v>
      </c>
    </row>
    <row r="1195" spans="1:16" ht="15.5" x14ac:dyDescent="0.35">
      <c r="A1195" s="17" t="s">
        <v>1243</v>
      </c>
      <c r="B1195" s="35">
        <v>45672</v>
      </c>
      <c r="C1195" s="17" t="s">
        <v>25</v>
      </c>
      <c r="D1195" s="17" t="s">
        <v>26</v>
      </c>
      <c r="E1195" s="17" t="s">
        <v>109</v>
      </c>
      <c r="F1195" s="17" t="s">
        <v>52</v>
      </c>
      <c r="G1195" s="17" t="s">
        <v>82</v>
      </c>
      <c r="H1195" s="17" t="s">
        <v>2588</v>
      </c>
      <c r="I1195" s="17" t="s">
        <v>23</v>
      </c>
      <c r="J1195" s="36">
        <v>9700</v>
      </c>
      <c r="K1195" s="36">
        <v>9688.84</v>
      </c>
      <c r="L1195" s="36">
        <f t="shared" si="90"/>
        <v>-11.159999999999854</v>
      </c>
      <c r="M1195" s="37">
        <f t="shared" si="91"/>
        <v>-1.1505154639175107E-3</v>
      </c>
      <c r="N1195" s="17" t="str">
        <f t="shared" si="92"/>
        <v>Under Budget</v>
      </c>
      <c r="O1195" s="38">
        <f t="shared" si="93"/>
        <v>9688.84</v>
      </c>
      <c r="P1195" s="39">
        <f t="shared" si="94"/>
        <v>45658</v>
      </c>
    </row>
    <row r="1196" spans="1:16" ht="15.5" x14ac:dyDescent="0.35">
      <c r="A1196" s="17" t="s">
        <v>1244</v>
      </c>
      <c r="B1196" s="35">
        <v>45748</v>
      </c>
      <c r="C1196" s="17" t="s">
        <v>25</v>
      </c>
      <c r="D1196" s="17" t="s">
        <v>32</v>
      </c>
      <c r="E1196" s="17" t="s">
        <v>33</v>
      </c>
      <c r="F1196" s="17" t="s">
        <v>34</v>
      </c>
      <c r="G1196" s="17" t="s">
        <v>22</v>
      </c>
      <c r="H1196" s="17" t="s">
        <v>2592</v>
      </c>
      <c r="I1196" s="17" t="s">
        <v>39</v>
      </c>
      <c r="J1196" s="36">
        <v>11363.64</v>
      </c>
      <c r="K1196" s="36">
        <v>9338.76</v>
      </c>
      <c r="L1196" s="36">
        <f t="shared" si="90"/>
        <v>-2024.8799999999992</v>
      </c>
      <c r="M1196" s="37">
        <f t="shared" si="91"/>
        <v>-0.17818938297939738</v>
      </c>
      <c r="N1196" s="17" t="str">
        <f t="shared" si="92"/>
        <v>Under Budget</v>
      </c>
      <c r="O1196" s="38">
        <f t="shared" si="93"/>
        <v>9338.76</v>
      </c>
      <c r="P1196" s="39">
        <f t="shared" si="94"/>
        <v>45748</v>
      </c>
    </row>
    <row r="1197" spans="1:16" ht="15.5" x14ac:dyDescent="0.35">
      <c r="A1197" s="17" t="s">
        <v>1245</v>
      </c>
      <c r="B1197" s="35">
        <v>45998</v>
      </c>
      <c r="C1197" s="17" t="s">
        <v>25</v>
      </c>
      <c r="D1197" s="17" t="s">
        <v>26</v>
      </c>
      <c r="E1197" s="17" t="s">
        <v>33</v>
      </c>
      <c r="F1197" s="17" t="s">
        <v>34</v>
      </c>
      <c r="G1197" s="17" t="s">
        <v>38</v>
      </c>
      <c r="H1197" s="17" t="s">
        <v>2591</v>
      </c>
      <c r="I1197" s="17" t="s">
        <v>30</v>
      </c>
      <c r="J1197" s="36">
        <v>15441.18</v>
      </c>
      <c r="K1197" s="36">
        <v>16469.32</v>
      </c>
      <c r="L1197" s="36">
        <f t="shared" si="90"/>
        <v>1028.1399999999994</v>
      </c>
      <c r="M1197" s="37">
        <f t="shared" si="91"/>
        <v>6.6584289542638536E-2</v>
      </c>
      <c r="N1197" s="17" t="str">
        <f t="shared" si="92"/>
        <v>Over Budget</v>
      </c>
      <c r="O1197" s="38">
        <f t="shared" si="93"/>
        <v>16469.32</v>
      </c>
      <c r="P1197" s="39">
        <f t="shared" si="94"/>
        <v>45992</v>
      </c>
    </row>
    <row r="1198" spans="1:16" ht="15.5" x14ac:dyDescent="0.35">
      <c r="A1198" s="17" t="s">
        <v>1246</v>
      </c>
      <c r="B1198" s="35">
        <v>45833</v>
      </c>
      <c r="C1198" s="17" t="s">
        <v>12</v>
      </c>
      <c r="D1198" s="17" t="s">
        <v>13</v>
      </c>
      <c r="E1198" s="17" t="s">
        <v>45</v>
      </c>
      <c r="F1198" s="17" t="s">
        <v>21</v>
      </c>
      <c r="G1198" s="17" t="s">
        <v>38</v>
      </c>
      <c r="H1198" s="17" t="s">
        <v>2587</v>
      </c>
      <c r="I1198" s="17" t="s">
        <v>39</v>
      </c>
      <c r="J1198" s="36">
        <v>6428.57</v>
      </c>
      <c r="K1198" s="36">
        <v>7984.88</v>
      </c>
      <c r="L1198" s="36">
        <f t="shared" si="90"/>
        <v>1556.3100000000004</v>
      </c>
      <c r="M1198" s="37">
        <f t="shared" si="91"/>
        <v>0.24209272046504907</v>
      </c>
      <c r="N1198" s="17" t="str">
        <f t="shared" si="92"/>
        <v>Over Budget</v>
      </c>
      <c r="O1198" s="38">
        <f t="shared" si="93"/>
        <v>-7984.88</v>
      </c>
      <c r="P1198" s="39">
        <f t="shared" si="94"/>
        <v>45809</v>
      </c>
    </row>
    <row r="1199" spans="1:16" ht="15.5" x14ac:dyDescent="0.35">
      <c r="A1199" s="17" t="s">
        <v>1247</v>
      </c>
      <c r="B1199" s="35">
        <v>45987</v>
      </c>
      <c r="C1199" s="17" t="s">
        <v>12</v>
      </c>
      <c r="D1199" s="17" t="s">
        <v>36</v>
      </c>
      <c r="E1199" s="17" t="s">
        <v>45</v>
      </c>
      <c r="F1199" s="17" t="s">
        <v>52</v>
      </c>
      <c r="G1199" s="17" t="s">
        <v>38</v>
      </c>
      <c r="H1199" s="17" t="s">
        <v>2593</v>
      </c>
      <c r="I1199" s="17" t="s">
        <v>30</v>
      </c>
      <c r="J1199" s="36">
        <v>9947.3700000000008</v>
      </c>
      <c r="K1199" s="36">
        <v>13065.71</v>
      </c>
      <c r="L1199" s="36">
        <f t="shared" si="90"/>
        <v>3118.3399999999983</v>
      </c>
      <c r="M1199" s="37">
        <f t="shared" si="91"/>
        <v>0.31348386558457142</v>
      </c>
      <c r="N1199" s="17" t="str">
        <f t="shared" si="92"/>
        <v>Over Budget</v>
      </c>
      <c r="O1199" s="38">
        <f t="shared" si="93"/>
        <v>-13065.71</v>
      </c>
      <c r="P1199" s="39">
        <f t="shared" si="94"/>
        <v>45962</v>
      </c>
    </row>
    <row r="1200" spans="1:16" ht="15.5" x14ac:dyDescent="0.35">
      <c r="A1200" s="17" t="s">
        <v>1248</v>
      </c>
      <c r="B1200" s="35">
        <v>46198</v>
      </c>
      <c r="C1200" s="17" t="s">
        <v>12</v>
      </c>
      <c r="D1200" s="17" t="s">
        <v>2583</v>
      </c>
      <c r="E1200" s="17" t="s">
        <v>65</v>
      </c>
      <c r="F1200" s="17" t="s">
        <v>52</v>
      </c>
      <c r="G1200" s="17" t="s">
        <v>43</v>
      </c>
      <c r="H1200" s="17" t="s">
        <v>2596</v>
      </c>
      <c r="I1200" s="17" t="s">
        <v>23</v>
      </c>
      <c r="J1200" s="36">
        <v>3666.67</v>
      </c>
      <c r="K1200" s="36">
        <v>7028.12</v>
      </c>
      <c r="L1200" s="36">
        <f t="shared" si="90"/>
        <v>3361.45</v>
      </c>
      <c r="M1200" s="37">
        <f t="shared" si="91"/>
        <v>0.91675825749249307</v>
      </c>
      <c r="N1200" s="17" t="str">
        <f t="shared" si="92"/>
        <v>Over Budget</v>
      </c>
      <c r="O1200" s="38">
        <f t="shared" si="93"/>
        <v>-7028.12</v>
      </c>
      <c r="P1200" s="39">
        <f t="shared" si="94"/>
        <v>46174</v>
      </c>
    </row>
    <row r="1201" spans="1:16" ht="15.5" x14ac:dyDescent="0.35">
      <c r="A1201" s="17" t="s">
        <v>1249</v>
      </c>
      <c r="B1201" s="35">
        <v>45715</v>
      </c>
      <c r="C1201" s="17" t="s">
        <v>12</v>
      </c>
      <c r="D1201" s="17" t="s">
        <v>2584</v>
      </c>
      <c r="E1201" s="17" t="s">
        <v>37</v>
      </c>
      <c r="F1201" s="17" t="s">
        <v>28</v>
      </c>
      <c r="G1201" s="17" t="s">
        <v>43</v>
      </c>
      <c r="H1201" s="17" t="s">
        <v>80</v>
      </c>
      <c r="I1201" s="17" t="s">
        <v>39</v>
      </c>
      <c r="J1201" s="36">
        <v>6790</v>
      </c>
      <c r="K1201" s="36">
        <v>700.26</v>
      </c>
      <c r="L1201" s="36">
        <f t="shared" si="90"/>
        <v>-6089.74</v>
      </c>
      <c r="M1201" s="37">
        <f t="shared" si="91"/>
        <v>-0.8968689248895434</v>
      </c>
      <c r="N1201" s="17" t="str">
        <f t="shared" si="92"/>
        <v>Under Budget</v>
      </c>
      <c r="O1201" s="38">
        <f t="shared" si="93"/>
        <v>-700.26</v>
      </c>
      <c r="P1201" s="39">
        <f t="shared" si="94"/>
        <v>45689</v>
      </c>
    </row>
    <row r="1202" spans="1:16" ht="15.5" x14ac:dyDescent="0.35">
      <c r="A1202" s="17" t="s">
        <v>1250</v>
      </c>
      <c r="B1202" s="35">
        <v>45756</v>
      </c>
      <c r="C1202" s="17" t="s">
        <v>25</v>
      </c>
      <c r="D1202" s="17" t="s">
        <v>32</v>
      </c>
      <c r="E1202" s="17" t="s">
        <v>109</v>
      </c>
      <c r="F1202" s="17" t="s">
        <v>15</v>
      </c>
      <c r="G1202" s="17" t="s">
        <v>22</v>
      </c>
      <c r="H1202" s="17" t="s">
        <v>2595</v>
      </c>
      <c r="I1202" s="17" t="s">
        <v>48</v>
      </c>
      <c r="J1202" s="36">
        <v>14285.71</v>
      </c>
      <c r="K1202" s="36">
        <v>3698.18</v>
      </c>
      <c r="L1202" s="36">
        <f t="shared" si="90"/>
        <v>-10587.529999999999</v>
      </c>
      <c r="M1202" s="37">
        <f t="shared" si="91"/>
        <v>-0.74112732233819667</v>
      </c>
      <c r="N1202" s="17" t="str">
        <f t="shared" si="92"/>
        <v>Under Budget</v>
      </c>
      <c r="O1202" s="38">
        <f t="shared" si="93"/>
        <v>3698.18</v>
      </c>
      <c r="P1202" s="39">
        <f t="shared" si="94"/>
        <v>45748</v>
      </c>
    </row>
    <row r="1203" spans="1:16" ht="15.5" x14ac:dyDescent="0.35">
      <c r="A1203" s="17" t="s">
        <v>1251</v>
      </c>
      <c r="B1203" s="35">
        <v>45977</v>
      </c>
      <c r="C1203" s="17" t="s">
        <v>12</v>
      </c>
      <c r="D1203" s="17" t="s">
        <v>13</v>
      </c>
      <c r="E1203" s="17" t="s">
        <v>74</v>
      </c>
      <c r="F1203" s="17" t="s">
        <v>52</v>
      </c>
      <c r="G1203" s="17" t="s">
        <v>38</v>
      </c>
      <c r="H1203" s="17" t="s">
        <v>60</v>
      </c>
      <c r="I1203" s="17" t="s">
        <v>48</v>
      </c>
      <c r="J1203" s="36">
        <v>4666.67</v>
      </c>
      <c r="K1203" s="36">
        <v>3853.61</v>
      </c>
      <c r="L1203" s="36">
        <f t="shared" si="90"/>
        <v>-813.06</v>
      </c>
      <c r="M1203" s="37">
        <f t="shared" si="91"/>
        <v>-0.17422701840927254</v>
      </c>
      <c r="N1203" s="17" t="str">
        <f t="shared" si="92"/>
        <v>Under Budget</v>
      </c>
      <c r="O1203" s="38">
        <f t="shared" si="93"/>
        <v>-3853.61</v>
      </c>
      <c r="P1203" s="39">
        <f t="shared" si="94"/>
        <v>45962</v>
      </c>
    </row>
    <row r="1204" spans="1:16" ht="15.5" x14ac:dyDescent="0.35">
      <c r="A1204" s="17" t="s">
        <v>1252</v>
      </c>
      <c r="B1204" s="35">
        <v>45734</v>
      </c>
      <c r="C1204" s="17" t="s">
        <v>25</v>
      </c>
      <c r="D1204" s="17" t="s">
        <v>2584</v>
      </c>
      <c r="E1204" s="17" t="s">
        <v>109</v>
      </c>
      <c r="F1204" s="17" t="s">
        <v>21</v>
      </c>
      <c r="G1204" s="17" t="s">
        <v>29</v>
      </c>
      <c r="H1204" s="17" t="s">
        <v>2597</v>
      </c>
      <c r="I1204" s="17" t="s">
        <v>17</v>
      </c>
      <c r="J1204" s="36">
        <v>9090.91</v>
      </c>
      <c r="K1204" s="36">
        <v>3439.1</v>
      </c>
      <c r="L1204" s="36">
        <f t="shared" si="90"/>
        <v>-5651.8099999999995</v>
      </c>
      <c r="M1204" s="37">
        <f t="shared" si="91"/>
        <v>-0.62169903783009617</v>
      </c>
      <c r="N1204" s="17" t="str">
        <f t="shared" si="92"/>
        <v>Under Budget</v>
      </c>
      <c r="O1204" s="38">
        <f t="shared" si="93"/>
        <v>3439.1</v>
      </c>
      <c r="P1204" s="39">
        <f t="shared" si="94"/>
        <v>45717</v>
      </c>
    </row>
    <row r="1205" spans="1:16" ht="15.5" x14ac:dyDescent="0.35">
      <c r="A1205" s="17" t="s">
        <v>1253</v>
      </c>
      <c r="B1205" s="35">
        <v>46066</v>
      </c>
      <c r="C1205" s="17" t="s">
        <v>12</v>
      </c>
      <c r="D1205" s="17" t="s">
        <v>26</v>
      </c>
      <c r="E1205" s="17" t="s">
        <v>45</v>
      </c>
      <c r="F1205" s="17" t="s">
        <v>34</v>
      </c>
      <c r="G1205" s="17" t="s">
        <v>16</v>
      </c>
      <c r="H1205" s="17" t="s">
        <v>2586</v>
      </c>
      <c r="I1205" s="17" t="s">
        <v>30</v>
      </c>
      <c r="J1205" s="36">
        <v>9189.4699999999993</v>
      </c>
      <c r="K1205" s="36">
        <v>0</v>
      </c>
      <c r="L1205" s="36">
        <f t="shared" si="90"/>
        <v>-9189.4699999999993</v>
      </c>
      <c r="M1205" s="37">
        <f t="shared" si="91"/>
        <v>-1</v>
      </c>
      <c r="N1205" s="17" t="str">
        <f t="shared" si="92"/>
        <v>Under Budget</v>
      </c>
      <c r="O1205" s="38">
        <f t="shared" si="93"/>
        <v>0</v>
      </c>
      <c r="P1205" s="39">
        <f t="shared" si="94"/>
        <v>46054</v>
      </c>
    </row>
    <row r="1206" spans="1:16" ht="15.5" x14ac:dyDescent="0.35">
      <c r="A1206" s="17" t="s">
        <v>1254</v>
      </c>
      <c r="B1206" s="35">
        <v>46034</v>
      </c>
      <c r="C1206" s="17" t="s">
        <v>25</v>
      </c>
      <c r="D1206" s="17" t="s">
        <v>32</v>
      </c>
      <c r="E1206" s="17" t="s">
        <v>109</v>
      </c>
      <c r="F1206" s="17" t="s">
        <v>21</v>
      </c>
      <c r="G1206" s="17" t="s">
        <v>43</v>
      </c>
      <c r="H1206" s="17" t="s">
        <v>2598</v>
      </c>
      <c r="I1206" s="17" t="s">
        <v>23</v>
      </c>
      <c r="J1206" s="36">
        <v>6062.5</v>
      </c>
      <c r="K1206" s="36">
        <v>10496.33</v>
      </c>
      <c r="L1206" s="36">
        <f t="shared" si="90"/>
        <v>4433.83</v>
      </c>
      <c r="M1206" s="37">
        <f t="shared" si="91"/>
        <v>0.73135340206185562</v>
      </c>
      <c r="N1206" s="17" t="str">
        <f t="shared" si="92"/>
        <v>Over Budget</v>
      </c>
      <c r="O1206" s="38">
        <f t="shared" si="93"/>
        <v>10496.33</v>
      </c>
      <c r="P1206" s="39">
        <f t="shared" si="94"/>
        <v>46023</v>
      </c>
    </row>
    <row r="1207" spans="1:16" ht="15.5" x14ac:dyDescent="0.35">
      <c r="A1207" s="17" t="s">
        <v>1255</v>
      </c>
      <c r="B1207" s="35">
        <v>46110</v>
      </c>
      <c r="C1207" s="17" t="s">
        <v>25</v>
      </c>
      <c r="D1207" s="17" t="s">
        <v>32</v>
      </c>
      <c r="E1207" s="17" t="s">
        <v>27</v>
      </c>
      <c r="F1207" s="17" t="s">
        <v>34</v>
      </c>
      <c r="G1207" s="17" t="s">
        <v>22</v>
      </c>
      <c r="H1207" s="17" t="s">
        <v>2591</v>
      </c>
      <c r="I1207" s="17" t="s">
        <v>48</v>
      </c>
      <c r="J1207" s="36">
        <v>10000</v>
      </c>
      <c r="K1207" s="36">
        <v>6921.58</v>
      </c>
      <c r="L1207" s="36">
        <f t="shared" si="90"/>
        <v>-3078.42</v>
      </c>
      <c r="M1207" s="37">
        <f t="shared" si="91"/>
        <v>-0.307842</v>
      </c>
      <c r="N1207" s="17" t="str">
        <f t="shared" si="92"/>
        <v>Under Budget</v>
      </c>
      <c r="O1207" s="38">
        <f t="shared" si="93"/>
        <v>6921.58</v>
      </c>
      <c r="P1207" s="39">
        <f t="shared" si="94"/>
        <v>46082</v>
      </c>
    </row>
    <row r="1208" spans="1:16" ht="15.5" x14ac:dyDescent="0.35">
      <c r="A1208" s="17" t="s">
        <v>1256</v>
      </c>
      <c r="B1208" s="35">
        <v>45787</v>
      </c>
      <c r="C1208" s="17" t="s">
        <v>12</v>
      </c>
      <c r="D1208" s="17" t="s">
        <v>19</v>
      </c>
      <c r="E1208" s="17" t="s">
        <v>14</v>
      </c>
      <c r="F1208" s="17" t="s">
        <v>34</v>
      </c>
      <c r="G1208" s="17" t="s">
        <v>82</v>
      </c>
      <c r="H1208" s="17" t="s">
        <v>2598</v>
      </c>
      <c r="I1208" s="17" t="s">
        <v>30</v>
      </c>
      <c r="J1208" s="36">
        <v>2909.09</v>
      </c>
      <c r="K1208" s="36">
        <v>1266.8800000000001</v>
      </c>
      <c r="L1208" s="36">
        <f t="shared" si="90"/>
        <v>-1642.21</v>
      </c>
      <c r="M1208" s="37">
        <f t="shared" si="91"/>
        <v>-0.56450986390933244</v>
      </c>
      <c r="N1208" s="17" t="str">
        <f t="shared" si="92"/>
        <v>Under Budget</v>
      </c>
      <c r="O1208" s="38">
        <f t="shared" si="93"/>
        <v>-1266.8800000000001</v>
      </c>
      <c r="P1208" s="39">
        <f t="shared" si="94"/>
        <v>45778</v>
      </c>
    </row>
    <row r="1209" spans="1:16" ht="15.5" x14ac:dyDescent="0.35">
      <c r="A1209" s="17" t="s">
        <v>1257</v>
      </c>
      <c r="B1209" s="35">
        <v>45700</v>
      </c>
      <c r="C1209" s="17" t="s">
        <v>25</v>
      </c>
      <c r="D1209" s="17" t="s">
        <v>32</v>
      </c>
      <c r="E1209" s="17" t="s">
        <v>169</v>
      </c>
      <c r="F1209" s="17" t="s">
        <v>21</v>
      </c>
      <c r="G1209" s="17" t="s">
        <v>38</v>
      </c>
      <c r="H1209" s="17" t="s">
        <v>2590</v>
      </c>
      <c r="I1209" s="17" t="s">
        <v>30</v>
      </c>
      <c r="J1209" s="36">
        <v>3233.33</v>
      </c>
      <c r="K1209" s="36">
        <v>1868.79</v>
      </c>
      <c r="L1209" s="36">
        <f t="shared" si="90"/>
        <v>-1364.54</v>
      </c>
      <c r="M1209" s="37">
        <f t="shared" si="91"/>
        <v>-0.4220231154877479</v>
      </c>
      <c r="N1209" s="17" t="str">
        <f t="shared" si="92"/>
        <v>Under Budget</v>
      </c>
      <c r="O1209" s="38">
        <f t="shared" si="93"/>
        <v>1868.79</v>
      </c>
      <c r="P1209" s="39">
        <f t="shared" si="94"/>
        <v>45689</v>
      </c>
    </row>
    <row r="1210" spans="1:16" ht="15.5" x14ac:dyDescent="0.35">
      <c r="A1210" s="17" t="s">
        <v>1258</v>
      </c>
      <c r="B1210" s="35">
        <v>45946</v>
      </c>
      <c r="C1210" s="17" t="s">
        <v>12</v>
      </c>
      <c r="D1210" s="17" t="s">
        <v>19</v>
      </c>
      <c r="E1210" s="17" t="s">
        <v>74</v>
      </c>
      <c r="F1210" s="17" t="s">
        <v>15</v>
      </c>
      <c r="G1210" s="17" t="s">
        <v>38</v>
      </c>
      <c r="H1210" s="17" t="s">
        <v>2587</v>
      </c>
      <c r="I1210" s="17" t="s">
        <v>30</v>
      </c>
      <c r="J1210" s="36">
        <v>3333.33</v>
      </c>
      <c r="K1210" s="36">
        <v>5554.26</v>
      </c>
      <c r="L1210" s="36">
        <f t="shared" si="90"/>
        <v>2220.9300000000003</v>
      </c>
      <c r="M1210" s="37">
        <f t="shared" si="91"/>
        <v>0.66627966627966639</v>
      </c>
      <c r="N1210" s="17" t="str">
        <f t="shared" si="92"/>
        <v>Over Budget</v>
      </c>
      <c r="O1210" s="38">
        <f t="shared" si="93"/>
        <v>-5554.26</v>
      </c>
      <c r="P1210" s="39">
        <f t="shared" si="94"/>
        <v>45931</v>
      </c>
    </row>
    <row r="1211" spans="1:16" ht="15.5" x14ac:dyDescent="0.35">
      <c r="A1211" s="17" t="s">
        <v>1259</v>
      </c>
      <c r="B1211" s="35">
        <v>45932</v>
      </c>
      <c r="C1211" s="17" t="s">
        <v>12</v>
      </c>
      <c r="D1211" s="17" t="s">
        <v>36</v>
      </c>
      <c r="E1211" s="17" t="s">
        <v>20</v>
      </c>
      <c r="F1211" s="17" t="s">
        <v>34</v>
      </c>
      <c r="G1211" s="17" t="s">
        <v>38</v>
      </c>
      <c r="H1211" s="17" t="s">
        <v>80</v>
      </c>
      <c r="I1211" s="17" t="s">
        <v>48</v>
      </c>
      <c r="J1211" s="36">
        <v>3000</v>
      </c>
      <c r="K1211" s="36">
        <v>1083.6099999999999</v>
      </c>
      <c r="L1211" s="36">
        <f t="shared" si="90"/>
        <v>-1916.39</v>
      </c>
      <c r="M1211" s="37">
        <f t="shared" si="91"/>
        <v>-0.63879666666666668</v>
      </c>
      <c r="N1211" s="17" t="str">
        <f t="shared" si="92"/>
        <v>Under Budget</v>
      </c>
      <c r="O1211" s="38">
        <f t="shared" si="93"/>
        <v>-1083.6099999999999</v>
      </c>
      <c r="P1211" s="39">
        <f t="shared" si="94"/>
        <v>45931</v>
      </c>
    </row>
    <row r="1212" spans="1:16" ht="15.5" x14ac:dyDescent="0.35">
      <c r="A1212" s="17" t="s">
        <v>1260</v>
      </c>
      <c r="B1212" s="35">
        <v>45954</v>
      </c>
      <c r="C1212" s="17" t="s">
        <v>25</v>
      </c>
      <c r="D1212" s="17" t="s">
        <v>32</v>
      </c>
      <c r="E1212" s="17" t="s">
        <v>169</v>
      </c>
      <c r="F1212" s="17" t="s">
        <v>52</v>
      </c>
      <c r="G1212" s="17" t="s">
        <v>82</v>
      </c>
      <c r="H1212" s="17" t="s">
        <v>2588</v>
      </c>
      <c r="I1212" s="17" t="s">
        <v>30</v>
      </c>
      <c r="J1212" s="36">
        <v>6666.67</v>
      </c>
      <c r="K1212" s="36">
        <v>790.37</v>
      </c>
      <c r="L1212" s="36">
        <f t="shared" si="90"/>
        <v>-5876.3</v>
      </c>
      <c r="M1212" s="37">
        <f t="shared" si="91"/>
        <v>-0.88144455927772036</v>
      </c>
      <c r="N1212" s="17" t="str">
        <f t="shared" si="92"/>
        <v>Under Budget</v>
      </c>
      <c r="O1212" s="38">
        <f t="shared" si="93"/>
        <v>790.37</v>
      </c>
      <c r="P1212" s="39">
        <f t="shared" si="94"/>
        <v>45931</v>
      </c>
    </row>
    <row r="1213" spans="1:16" ht="15.5" x14ac:dyDescent="0.35">
      <c r="A1213" s="17" t="s">
        <v>1261</v>
      </c>
      <c r="B1213" s="35">
        <v>45929</v>
      </c>
      <c r="C1213" s="17" t="s">
        <v>25</v>
      </c>
      <c r="D1213" s="17" t="s">
        <v>32</v>
      </c>
      <c r="E1213" s="17" t="s">
        <v>33</v>
      </c>
      <c r="F1213" s="17" t="s">
        <v>52</v>
      </c>
      <c r="G1213" s="17" t="s">
        <v>22</v>
      </c>
      <c r="H1213" s="17" t="s">
        <v>2587</v>
      </c>
      <c r="I1213" s="17" t="s">
        <v>48</v>
      </c>
      <c r="J1213" s="36">
        <v>11904.76</v>
      </c>
      <c r="K1213" s="36">
        <v>18501.2</v>
      </c>
      <c r="L1213" s="36">
        <f t="shared" si="90"/>
        <v>6596.4400000000005</v>
      </c>
      <c r="M1213" s="37">
        <f t="shared" si="91"/>
        <v>0.55410104865616783</v>
      </c>
      <c r="N1213" s="17" t="str">
        <f t="shared" si="92"/>
        <v>Over Budget</v>
      </c>
      <c r="O1213" s="38">
        <f t="shared" si="93"/>
        <v>18501.2</v>
      </c>
      <c r="P1213" s="39">
        <f t="shared" si="94"/>
        <v>45901</v>
      </c>
    </row>
    <row r="1214" spans="1:16" ht="15.5" x14ac:dyDescent="0.35">
      <c r="A1214" s="17" t="s">
        <v>1262</v>
      </c>
      <c r="B1214" s="35">
        <v>46121</v>
      </c>
      <c r="C1214" s="17" t="s">
        <v>12</v>
      </c>
      <c r="D1214" s="17" t="s">
        <v>26</v>
      </c>
      <c r="E1214" s="17" t="s">
        <v>45</v>
      </c>
      <c r="F1214" s="17" t="s">
        <v>52</v>
      </c>
      <c r="G1214" s="17" t="s">
        <v>29</v>
      </c>
      <c r="H1214" s="17" t="s">
        <v>2590</v>
      </c>
      <c r="I1214" s="17" t="s">
        <v>23</v>
      </c>
      <c r="J1214" s="36">
        <v>8571.43</v>
      </c>
      <c r="K1214" s="36">
        <v>1914.69</v>
      </c>
      <c r="L1214" s="36">
        <f t="shared" si="90"/>
        <v>-6656.74</v>
      </c>
      <c r="M1214" s="37">
        <f t="shared" si="91"/>
        <v>-0.77661953723007704</v>
      </c>
      <c r="N1214" s="17" t="str">
        <f t="shared" si="92"/>
        <v>Under Budget</v>
      </c>
      <c r="O1214" s="38">
        <f t="shared" si="93"/>
        <v>-1914.69</v>
      </c>
      <c r="P1214" s="39">
        <f t="shared" si="94"/>
        <v>46113</v>
      </c>
    </row>
    <row r="1215" spans="1:16" ht="15.5" x14ac:dyDescent="0.35">
      <c r="A1215" s="17" t="s">
        <v>1263</v>
      </c>
      <c r="B1215" s="35">
        <v>45931</v>
      </c>
      <c r="C1215" s="17" t="s">
        <v>25</v>
      </c>
      <c r="D1215" s="17" t="s">
        <v>19</v>
      </c>
      <c r="E1215" s="17" t="s">
        <v>27</v>
      </c>
      <c r="F1215" s="17" t="s">
        <v>34</v>
      </c>
      <c r="G1215" s="17" t="s">
        <v>16</v>
      </c>
      <c r="H1215" s="17" t="s">
        <v>2589</v>
      </c>
      <c r="I1215" s="17" t="s">
        <v>48</v>
      </c>
      <c r="J1215" s="36">
        <v>4705.88</v>
      </c>
      <c r="K1215" s="36">
        <v>6339.03</v>
      </c>
      <c r="L1215" s="36">
        <f t="shared" si="90"/>
        <v>1633.1499999999996</v>
      </c>
      <c r="M1215" s="37">
        <f t="shared" si="91"/>
        <v>0.34704454852227418</v>
      </c>
      <c r="N1215" s="17" t="str">
        <f t="shared" si="92"/>
        <v>Over Budget</v>
      </c>
      <c r="O1215" s="38">
        <f t="shared" si="93"/>
        <v>6339.03</v>
      </c>
      <c r="P1215" s="39">
        <f t="shared" si="94"/>
        <v>45931</v>
      </c>
    </row>
    <row r="1216" spans="1:16" ht="15.5" x14ac:dyDescent="0.35">
      <c r="A1216" s="17" t="s">
        <v>1264</v>
      </c>
      <c r="B1216" s="35">
        <v>45696</v>
      </c>
      <c r="C1216" s="17" t="s">
        <v>12</v>
      </c>
      <c r="D1216" s="17" t="s">
        <v>2584</v>
      </c>
      <c r="E1216" s="17" t="s">
        <v>45</v>
      </c>
      <c r="F1216" s="17" t="s">
        <v>52</v>
      </c>
      <c r="G1216" s="17" t="s">
        <v>82</v>
      </c>
      <c r="H1216" s="17" t="s">
        <v>2596</v>
      </c>
      <c r="I1216" s="17" t="s">
        <v>23</v>
      </c>
      <c r="J1216" s="36">
        <v>11640</v>
      </c>
      <c r="K1216" s="36">
        <v>5351.41</v>
      </c>
      <c r="L1216" s="36">
        <f t="shared" si="90"/>
        <v>-6288.59</v>
      </c>
      <c r="M1216" s="37">
        <f t="shared" si="91"/>
        <v>-0.54025687285223367</v>
      </c>
      <c r="N1216" s="17" t="str">
        <f t="shared" si="92"/>
        <v>Under Budget</v>
      </c>
      <c r="O1216" s="38">
        <f t="shared" si="93"/>
        <v>-5351.41</v>
      </c>
      <c r="P1216" s="39">
        <f t="shared" si="94"/>
        <v>45689</v>
      </c>
    </row>
    <row r="1217" spans="1:16" ht="15.5" x14ac:dyDescent="0.35">
      <c r="A1217" s="17" t="s">
        <v>1265</v>
      </c>
      <c r="B1217" s="35">
        <v>45691</v>
      </c>
      <c r="C1217" s="17" t="s">
        <v>12</v>
      </c>
      <c r="D1217" s="17" t="s">
        <v>26</v>
      </c>
      <c r="E1217" s="17" t="s">
        <v>37</v>
      </c>
      <c r="F1217" s="17" t="s">
        <v>21</v>
      </c>
      <c r="G1217" s="17" t="s">
        <v>38</v>
      </c>
      <c r="H1217" s="17" t="s">
        <v>2591</v>
      </c>
      <c r="I1217" s="17" t="s">
        <v>23</v>
      </c>
      <c r="J1217" s="36">
        <v>6790</v>
      </c>
      <c r="K1217" s="36">
        <v>2151.9499999999998</v>
      </c>
      <c r="L1217" s="36">
        <f t="shared" si="90"/>
        <v>-4638.05</v>
      </c>
      <c r="M1217" s="37">
        <f t="shared" si="91"/>
        <v>-0.68307069219440353</v>
      </c>
      <c r="N1217" s="17" t="str">
        <f t="shared" si="92"/>
        <v>Under Budget</v>
      </c>
      <c r="O1217" s="38">
        <f t="shared" si="93"/>
        <v>-2151.9499999999998</v>
      </c>
      <c r="P1217" s="39">
        <f t="shared" si="94"/>
        <v>45689</v>
      </c>
    </row>
    <row r="1218" spans="1:16" ht="15.5" x14ac:dyDescent="0.35">
      <c r="A1218" s="17" t="s">
        <v>1266</v>
      </c>
      <c r="B1218" s="35">
        <v>45850</v>
      </c>
      <c r="C1218" s="17" t="s">
        <v>12</v>
      </c>
      <c r="D1218" s="17" t="s">
        <v>26</v>
      </c>
      <c r="E1218" s="17" t="s">
        <v>65</v>
      </c>
      <c r="F1218" s="17" t="s">
        <v>52</v>
      </c>
      <c r="G1218" s="17" t="s">
        <v>38</v>
      </c>
      <c r="H1218" s="17" t="s">
        <v>2592</v>
      </c>
      <c r="I1218" s="17" t="s">
        <v>39</v>
      </c>
      <c r="J1218" s="36">
        <v>3437.5</v>
      </c>
      <c r="K1218" s="36">
        <v>8942</v>
      </c>
      <c r="L1218" s="36">
        <f t="shared" si="90"/>
        <v>5504.5</v>
      </c>
      <c r="M1218" s="37">
        <f t="shared" si="91"/>
        <v>1.601309090909091</v>
      </c>
      <c r="N1218" s="17" t="str">
        <f t="shared" si="92"/>
        <v>Over Budget</v>
      </c>
      <c r="O1218" s="38">
        <f t="shared" si="93"/>
        <v>-8942</v>
      </c>
      <c r="P1218" s="39">
        <f t="shared" si="94"/>
        <v>45839</v>
      </c>
    </row>
    <row r="1219" spans="1:16" ht="15.5" x14ac:dyDescent="0.35">
      <c r="A1219" s="17" t="s">
        <v>1267</v>
      </c>
      <c r="B1219" s="35">
        <v>46009</v>
      </c>
      <c r="C1219" s="17" t="s">
        <v>25</v>
      </c>
      <c r="D1219" s="17" t="s">
        <v>26</v>
      </c>
      <c r="E1219" s="17" t="s">
        <v>109</v>
      </c>
      <c r="F1219" s="17" t="s">
        <v>28</v>
      </c>
      <c r="G1219" s="17" t="s">
        <v>22</v>
      </c>
      <c r="H1219" s="17" t="s">
        <v>2597</v>
      </c>
      <c r="I1219" s="17" t="s">
        <v>39</v>
      </c>
      <c r="J1219" s="36">
        <v>9545.4500000000007</v>
      </c>
      <c r="K1219" s="36">
        <v>9432.44</v>
      </c>
      <c r="L1219" s="36">
        <f t="shared" ref="L1219:L1282" si="95">K1219-J1219</f>
        <v>-113.01000000000022</v>
      </c>
      <c r="M1219" s="37">
        <f t="shared" ref="M1219:M1282" si="96">IF(J1219=0,0,L1219/J1219)</f>
        <v>-1.1839148494832639E-2</v>
      </c>
      <c r="N1219" s="17" t="str">
        <f t="shared" ref="N1219:N1282" si="97">IF(J1219=0,"No Budget",IF(K1219&gt;J1219,"Over Budget",IF(K1219&lt;J1219,"Under Budget","On Budget")))</f>
        <v>Under Budget</v>
      </c>
      <c r="O1219" s="38">
        <f t="shared" ref="O1219:O1282" si="98">IF(C1219="Revenue",K1219,-K1219)</f>
        <v>9432.44</v>
      </c>
      <c r="P1219" s="39">
        <f t="shared" ref="P1219:P1282" si="99">DATE(YEAR(B1219),MONTH(B1219),1)</f>
        <v>45992</v>
      </c>
    </row>
    <row r="1220" spans="1:16" ht="15.5" x14ac:dyDescent="0.35">
      <c r="A1220" s="17" t="s">
        <v>1268</v>
      </c>
      <c r="B1220" s="35">
        <v>46065</v>
      </c>
      <c r="C1220" s="17" t="s">
        <v>12</v>
      </c>
      <c r="D1220" s="17" t="s">
        <v>19</v>
      </c>
      <c r="E1220" s="17" t="s">
        <v>41</v>
      </c>
      <c r="F1220" s="17" t="s">
        <v>52</v>
      </c>
      <c r="G1220" s="17" t="s">
        <v>29</v>
      </c>
      <c r="H1220" s="17" t="s">
        <v>2596</v>
      </c>
      <c r="I1220" s="17" t="s">
        <v>30</v>
      </c>
      <c r="J1220" s="36">
        <v>6305</v>
      </c>
      <c r="K1220" s="36">
        <v>10461.24</v>
      </c>
      <c r="L1220" s="36">
        <f t="shared" si="95"/>
        <v>4156.24</v>
      </c>
      <c r="M1220" s="37">
        <f t="shared" si="96"/>
        <v>0.65919746233148291</v>
      </c>
      <c r="N1220" s="17" t="str">
        <f t="shared" si="97"/>
        <v>Over Budget</v>
      </c>
      <c r="O1220" s="38">
        <f t="shared" si="98"/>
        <v>-10461.24</v>
      </c>
      <c r="P1220" s="39">
        <f t="shared" si="99"/>
        <v>46054</v>
      </c>
    </row>
    <row r="1221" spans="1:16" ht="15.5" x14ac:dyDescent="0.35">
      <c r="A1221" s="17" t="s">
        <v>1269</v>
      </c>
      <c r="B1221" s="35">
        <v>45867</v>
      </c>
      <c r="C1221" s="17" t="s">
        <v>25</v>
      </c>
      <c r="D1221" s="17" t="s">
        <v>32</v>
      </c>
      <c r="E1221" s="17" t="s">
        <v>109</v>
      </c>
      <c r="F1221" s="17" t="s">
        <v>34</v>
      </c>
      <c r="G1221" s="17" t="s">
        <v>38</v>
      </c>
      <c r="H1221" s="17" t="s">
        <v>2589</v>
      </c>
      <c r="I1221" s="17" t="s">
        <v>23</v>
      </c>
      <c r="J1221" s="36">
        <v>7142.86</v>
      </c>
      <c r="K1221" s="36">
        <v>13617.42</v>
      </c>
      <c r="L1221" s="36">
        <f t="shared" si="95"/>
        <v>6474.56</v>
      </c>
      <c r="M1221" s="37">
        <f t="shared" si="96"/>
        <v>0.90643803742478513</v>
      </c>
      <c r="N1221" s="17" t="str">
        <f t="shared" si="97"/>
        <v>Over Budget</v>
      </c>
      <c r="O1221" s="38">
        <f t="shared" si="98"/>
        <v>13617.42</v>
      </c>
      <c r="P1221" s="39">
        <f t="shared" si="99"/>
        <v>45839</v>
      </c>
    </row>
    <row r="1222" spans="1:16" ht="15.5" x14ac:dyDescent="0.35">
      <c r="A1222" s="17" t="s">
        <v>1270</v>
      </c>
      <c r="B1222" s="35">
        <v>45934</v>
      </c>
      <c r="C1222" s="17" t="s">
        <v>25</v>
      </c>
      <c r="D1222" s="17" t="s">
        <v>32</v>
      </c>
      <c r="E1222" s="17" t="s">
        <v>27</v>
      </c>
      <c r="F1222" s="17" t="s">
        <v>34</v>
      </c>
      <c r="G1222" s="17" t="s">
        <v>38</v>
      </c>
      <c r="H1222" s="17" t="s">
        <v>80</v>
      </c>
      <c r="I1222" s="17" t="s">
        <v>39</v>
      </c>
      <c r="J1222" s="36">
        <v>4705.88</v>
      </c>
      <c r="K1222" s="36">
        <v>3675.85</v>
      </c>
      <c r="L1222" s="36">
        <f t="shared" si="95"/>
        <v>-1030.0300000000002</v>
      </c>
      <c r="M1222" s="37">
        <f t="shared" si="96"/>
        <v>-0.21888148444074226</v>
      </c>
      <c r="N1222" s="17" t="str">
        <f t="shared" si="97"/>
        <v>Under Budget</v>
      </c>
      <c r="O1222" s="38">
        <f t="shared" si="98"/>
        <v>3675.85</v>
      </c>
      <c r="P1222" s="39">
        <f t="shared" si="99"/>
        <v>45931</v>
      </c>
    </row>
    <row r="1223" spans="1:16" ht="15.5" x14ac:dyDescent="0.35">
      <c r="A1223" s="17" t="s">
        <v>1271</v>
      </c>
      <c r="B1223" s="35">
        <v>45874</v>
      </c>
      <c r="C1223" s="17" t="s">
        <v>25</v>
      </c>
      <c r="D1223" s="17" t="s">
        <v>2585</v>
      </c>
      <c r="E1223" s="17" t="s">
        <v>33</v>
      </c>
      <c r="F1223" s="17" t="s">
        <v>34</v>
      </c>
      <c r="G1223" s="17" t="s">
        <v>16</v>
      </c>
      <c r="H1223" s="17" t="s">
        <v>2591</v>
      </c>
      <c r="I1223" s="17" t="s">
        <v>23</v>
      </c>
      <c r="J1223" s="36">
        <v>10416.67</v>
      </c>
      <c r="K1223" s="36">
        <v>18152.28</v>
      </c>
      <c r="L1223" s="36">
        <f t="shared" si="95"/>
        <v>7735.6099999999988</v>
      </c>
      <c r="M1223" s="37">
        <f t="shared" si="96"/>
        <v>0.74261832236213676</v>
      </c>
      <c r="N1223" s="17" t="str">
        <f t="shared" si="97"/>
        <v>Over Budget</v>
      </c>
      <c r="O1223" s="38">
        <f t="shared" si="98"/>
        <v>18152.28</v>
      </c>
      <c r="P1223" s="39">
        <f t="shared" si="99"/>
        <v>45870</v>
      </c>
    </row>
    <row r="1224" spans="1:16" ht="15.5" x14ac:dyDescent="0.35">
      <c r="A1224" s="17" t="s">
        <v>1272</v>
      </c>
      <c r="B1224" s="35">
        <v>45882</v>
      </c>
      <c r="C1224" s="17" t="s">
        <v>12</v>
      </c>
      <c r="D1224" s="17" t="s">
        <v>19</v>
      </c>
      <c r="E1224" s="17" t="s">
        <v>41</v>
      </c>
      <c r="F1224" s="17" t="s">
        <v>34</v>
      </c>
      <c r="G1224" s="17" t="s">
        <v>43</v>
      </c>
      <c r="H1224" s="17" t="s">
        <v>2587</v>
      </c>
      <c r="I1224" s="17" t="s">
        <v>23</v>
      </c>
      <c r="J1224" s="36">
        <v>10833.33</v>
      </c>
      <c r="K1224" s="36">
        <v>4219.8500000000004</v>
      </c>
      <c r="L1224" s="36">
        <f t="shared" si="95"/>
        <v>-6613.48</v>
      </c>
      <c r="M1224" s="37">
        <f t="shared" si="96"/>
        <v>-0.61047526476161984</v>
      </c>
      <c r="N1224" s="17" t="str">
        <f t="shared" si="97"/>
        <v>Under Budget</v>
      </c>
      <c r="O1224" s="38">
        <f t="shared" si="98"/>
        <v>-4219.8500000000004</v>
      </c>
      <c r="P1224" s="39">
        <f t="shared" si="99"/>
        <v>45870</v>
      </c>
    </row>
    <row r="1225" spans="1:16" ht="15.5" x14ac:dyDescent="0.35">
      <c r="A1225" s="17" t="s">
        <v>1273</v>
      </c>
      <c r="B1225" s="35">
        <v>45722</v>
      </c>
      <c r="C1225" s="17" t="s">
        <v>12</v>
      </c>
      <c r="D1225" s="17" t="s">
        <v>26</v>
      </c>
      <c r="E1225" s="17" t="s">
        <v>45</v>
      </c>
      <c r="F1225" s="17" t="s">
        <v>15</v>
      </c>
      <c r="G1225" s="17" t="s">
        <v>38</v>
      </c>
      <c r="H1225" s="17" t="s">
        <v>2595</v>
      </c>
      <c r="I1225" s="17" t="s">
        <v>23</v>
      </c>
      <c r="J1225" s="36">
        <v>6000</v>
      </c>
      <c r="K1225" s="36">
        <v>4521.03</v>
      </c>
      <c r="L1225" s="36">
        <f t="shared" si="95"/>
        <v>-1478.9700000000003</v>
      </c>
      <c r="M1225" s="37">
        <f t="shared" si="96"/>
        <v>-0.24649500000000005</v>
      </c>
      <c r="N1225" s="17" t="str">
        <f t="shared" si="97"/>
        <v>Under Budget</v>
      </c>
      <c r="O1225" s="38">
        <f t="shared" si="98"/>
        <v>-4521.03</v>
      </c>
      <c r="P1225" s="39">
        <f t="shared" si="99"/>
        <v>45717</v>
      </c>
    </row>
    <row r="1226" spans="1:16" ht="15.5" x14ac:dyDescent="0.35">
      <c r="A1226" s="17" t="s">
        <v>1274</v>
      </c>
      <c r="B1226" s="35">
        <v>45816</v>
      </c>
      <c r="C1226" s="17" t="s">
        <v>25</v>
      </c>
      <c r="D1226" s="17" t="s">
        <v>26</v>
      </c>
      <c r="E1226" s="17" t="s">
        <v>33</v>
      </c>
      <c r="F1226" s="17" t="s">
        <v>28</v>
      </c>
      <c r="G1226" s="17" t="s">
        <v>38</v>
      </c>
      <c r="H1226" s="17" t="s">
        <v>2597</v>
      </c>
      <c r="I1226" s="17" t="s">
        <v>48</v>
      </c>
      <c r="J1226" s="36">
        <v>9615.3799999999992</v>
      </c>
      <c r="K1226" s="36">
        <v>834.19</v>
      </c>
      <c r="L1226" s="36">
        <f t="shared" si="95"/>
        <v>-8781.1899999999987</v>
      </c>
      <c r="M1226" s="37">
        <f t="shared" si="96"/>
        <v>-0.91324419835721515</v>
      </c>
      <c r="N1226" s="17" t="str">
        <f t="shared" si="97"/>
        <v>Under Budget</v>
      </c>
      <c r="O1226" s="38">
        <f t="shared" si="98"/>
        <v>834.19</v>
      </c>
      <c r="P1226" s="39">
        <f t="shared" si="99"/>
        <v>45809</v>
      </c>
    </row>
    <row r="1227" spans="1:16" ht="15.5" x14ac:dyDescent="0.35">
      <c r="A1227" s="17" t="s">
        <v>1275</v>
      </c>
      <c r="B1227" s="35">
        <v>45835</v>
      </c>
      <c r="C1227" s="17" t="s">
        <v>12</v>
      </c>
      <c r="D1227" s="17" t="s">
        <v>13</v>
      </c>
      <c r="E1227" s="17" t="s">
        <v>41</v>
      </c>
      <c r="F1227" s="17" t="s">
        <v>15</v>
      </c>
      <c r="G1227" s="17" t="s">
        <v>43</v>
      </c>
      <c r="H1227" s="17" t="s">
        <v>2597</v>
      </c>
      <c r="I1227" s="17" t="s">
        <v>23</v>
      </c>
      <c r="J1227" s="36">
        <v>8125</v>
      </c>
      <c r="K1227" s="36">
        <v>4631.26</v>
      </c>
      <c r="L1227" s="36">
        <f t="shared" si="95"/>
        <v>-3493.74</v>
      </c>
      <c r="M1227" s="37">
        <f t="shared" si="96"/>
        <v>-0.42999876923076918</v>
      </c>
      <c r="N1227" s="17" t="str">
        <f t="shared" si="97"/>
        <v>Under Budget</v>
      </c>
      <c r="O1227" s="38">
        <f t="shared" si="98"/>
        <v>-4631.26</v>
      </c>
      <c r="P1227" s="39">
        <f t="shared" si="99"/>
        <v>45809</v>
      </c>
    </row>
    <row r="1228" spans="1:16" ht="15.5" x14ac:dyDescent="0.35">
      <c r="A1228" s="17" t="s">
        <v>1276</v>
      </c>
      <c r="B1228" s="35">
        <v>45678</v>
      </c>
      <c r="C1228" s="17" t="s">
        <v>12</v>
      </c>
      <c r="D1228" s="17" t="s">
        <v>26</v>
      </c>
      <c r="E1228" s="17" t="s">
        <v>65</v>
      </c>
      <c r="F1228" s="17" t="s">
        <v>52</v>
      </c>
      <c r="G1228" s="17" t="s">
        <v>29</v>
      </c>
      <c r="H1228" s="17" t="s">
        <v>2590</v>
      </c>
      <c r="I1228" s="17" t="s">
        <v>23</v>
      </c>
      <c r="J1228" s="36">
        <v>3810.71</v>
      </c>
      <c r="K1228" s="36">
        <v>5777.55</v>
      </c>
      <c r="L1228" s="36">
        <f t="shared" si="95"/>
        <v>1966.8400000000001</v>
      </c>
      <c r="M1228" s="37">
        <f t="shared" si="96"/>
        <v>0.51613478853022143</v>
      </c>
      <c r="N1228" s="17" t="str">
        <f t="shared" si="97"/>
        <v>Over Budget</v>
      </c>
      <c r="O1228" s="38">
        <f t="shared" si="98"/>
        <v>-5777.55</v>
      </c>
      <c r="P1228" s="39">
        <f t="shared" si="99"/>
        <v>45658</v>
      </c>
    </row>
    <row r="1229" spans="1:16" ht="15.5" x14ac:dyDescent="0.35">
      <c r="A1229" s="17" t="s">
        <v>1277</v>
      </c>
      <c r="B1229" s="35">
        <v>45766</v>
      </c>
      <c r="C1229" s="17" t="s">
        <v>25</v>
      </c>
      <c r="D1229" s="17" t="s">
        <v>13</v>
      </c>
      <c r="E1229" s="17" t="s">
        <v>33</v>
      </c>
      <c r="F1229" s="17" t="s">
        <v>15</v>
      </c>
      <c r="G1229" s="17" t="s">
        <v>22</v>
      </c>
      <c r="H1229" s="17" t="s">
        <v>2597</v>
      </c>
      <c r="I1229" s="17" t="s">
        <v>48</v>
      </c>
      <c r="J1229" s="36">
        <v>11363.64</v>
      </c>
      <c r="K1229" s="36">
        <v>20566.150000000001</v>
      </c>
      <c r="L1229" s="36">
        <f t="shared" si="95"/>
        <v>9202.510000000002</v>
      </c>
      <c r="M1229" s="37">
        <f t="shared" si="96"/>
        <v>0.80982062085740159</v>
      </c>
      <c r="N1229" s="17" t="str">
        <f t="shared" si="97"/>
        <v>Over Budget</v>
      </c>
      <c r="O1229" s="38">
        <f t="shared" si="98"/>
        <v>20566.150000000001</v>
      </c>
      <c r="P1229" s="39">
        <f t="shared" si="99"/>
        <v>45748</v>
      </c>
    </row>
    <row r="1230" spans="1:16" ht="15.5" x14ac:dyDescent="0.35">
      <c r="A1230" s="17" t="s">
        <v>1278</v>
      </c>
      <c r="B1230" s="35">
        <v>45757</v>
      </c>
      <c r="C1230" s="17" t="s">
        <v>25</v>
      </c>
      <c r="D1230" s="17" t="s">
        <v>36</v>
      </c>
      <c r="E1230" s="17" t="s">
        <v>27</v>
      </c>
      <c r="F1230" s="17" t="s">
        <v>34</v>
      </c>
      <c r="G1230" s="17" t="s">
        <v>16</v>
      </c>
      <c r="H1230" s="17" t="s">
        <v>2594</v>
      </c>
      <c r="I1230" s="17" t="s">
        <v>23</v>
      </c>
      <c r="J1230" s="36">
        <v>10000</v>
      </c>
      <c r="K1230" s="36">
        <v>3695.03</v>
      </c>
      <c r="L1230" s="36">
        <f t="shared" si="95"/>
        <v>-6304.9699999999993</v>
      </c>
      <c r="M1230" s="37">
        <f t="shared" si="96"/>
        <v>-0.63049699999999997</v>
      </c>
      <c r="N1230" s="17" t="str">
        <f t="shared" si="97"/>
        <v>Under Budget</v>
      </c>
      <c r="O1230" s="38">
        <f t="shared" si="98"/>
        <v>3695.03</v>
      </c>
      <c r="P1230" s="39">
        <f t="shared" si="99"/>
        <v>45748</v>
      </c>
    </row>
    <row r="1231" spans="1:16" ht="15.5" x14ac:dyDescent="0.35">
      <c r="A1231" s="17" t="s">
        <v>1279</v>
      </c>
      <c r="B1231" s="35">
        <v>46035</v>
      </c>
      <c r="C1231" s="17" t="s">
        <v>12</v>
      </c>
      <c r="D1231" s="17" t="s">
        <v>32</v>
      </c>
      <c r="E1231" s="17" t="s">
        <v>14</v>
      </c>
      <c r="F1231" s="17" t="s">
        <v>34</v>
      </c>
      <c r="G1231" s="17" t="s">
        <v>82</v>
      </c>
      <c r="H1231" s="17" t="s">
        <v>2591</v>
      </c>
      <c r="I1231" s="17" t="s">
        <v>30</v>
      </c>
      <c r="J1231" s="36">
        <v>3104</v>
      </c>
      <c r="K1231" s="36">
        <v>1317.21</v>
      </c>
      <c r="L1231" s="36">
        <f t="shared" si="95"/>
        <v>-1786.79</v>
      </c>
      <c r="M1231" s="37">
        <f t="shared" si="96"/>
        <v>-0.57564110824742265</v>
      </c>
      <c r="N1231" s="17" t="str">
        <f t="shared" si="97"/>
        <v>Under Budget</v>
      </c>
      <c r="O1231" s="38">
        <f t="shared" si="98"/>
        <v>-1317.21</v>
      </c>
      <c r="P1231" s="39">
        <f t="shared" si="99"/>
        <v>46023</v>
      </c>
    </row>
    <row r="1232" spans="1:16" ht="15.5" x14ac:dyDescent="0.35">
      <c r="A1232" s="17" t="s">
        <v>1280</v>
      </c>
      <c r="B1232" s="35">
        <v>45911</v>
      </c>
      <c r="C1232" s="17" t="s">
        <v>25</v>
      </c>
      <c r="D1232" s="17" t="s">
        <v>26</v>
      </c>
      <c r="E1232" s="17" t="s">
        <v>33</v>
      </c>
      <c r="F1232" s="17" t="s">
        <v>34</v>
      </c>
      <c r="G1232" s="17" t="s">
        <v>16</v>
      </c>
      <c r="H1232" s="17" t="s">
        <v>2588</v>
      </c>
      <c r="I1232" s="17" t="s">
        <v>48</v>
      </c>
      <c r="J1232" s="36">
        <v>11904.76</v>
      </c>
      <c r="K1232" s="36">
        <v>5567.7</v>
      </c>
      <c r="L1232" s="36">
        <f t="shared" si="95"/>
        <v>-6337.06</v>
      </c>
      <c r="M1232" s="37">
        <f t="shared" si="96"/>
        <v>-0.5323131251701001</v>
      </c>
      <c r="N1232" s="17" t="str">
        <f t="shared" si="97"/>
        <v>Under Budget</v>
      </c>
      <c r="O1232" s="38">
        <f t="shared" si="98"/>
        <v>5567.7</v>
      </c>
      <c r="P1232" s="39">
        <f t="shared" si="99"/>
        <v>45901</v>
      </c>
    </row>
    <row r="1233" spans="1:16" ht="15.5" x14ac:dyDescent="0.35">
      <c r="A1233" s="17" t="s">
        <v>1281</v>
      </c>
      <c r="B1233" s="35">
        <v>45869</v>
      </c>
      <c r="C1233" s="17" t="s">
        <v>25</v>
      </c>
      <c r="D1233" s="17" t="s">
        <v>26</v>
      </c>
      <c r="E1233" s="17" t="s">
        <v>33</v>
      </c>
      <c r="F1233" s="17" t="s">
        <v>52</v>
      </c>
      <c r="G1233" s="17" t="s">
        <v>38</v>
      </c>
      <c r="H1233" s="17" t="s">
        <v>2594</v>
      </c>
      <c r="I1233" s="17" t="s">
        <v>23</v>
      </c>
      <c r="J1233" s="36">
        <v>12500</v>
      </c>
      <c r="K1233" s="36">
        <v>9265.6200000000008</v>
      </c>
      <c r="L1233" s="36">
        <f t="shared" si="95"/>
        <v>-3234.3799999999992</v>
      </c>
      <c r="M1233" s="37">
        <f t="shared" si="96"/>
        <v>-0.25875039999999994</v>
      </c>
      <c r="N1233" s="17" t="str">
        <f t="shared" si="97"/>
        <v>Under Budget</v>
      </c>
      <c r="O1233" s="38">
        <f t="shared" si="98"/>
        <v>9265.6200000000008</v>
      </c>
      <c r="P1233" s="39">
        <f t="shared" si="99"/>
        <v>45839</v>
      </c>
    </row>
    <row r="1234" spans="1:16" ht="15.5" x14ac:dyDescent="0.35">
      <c r="A1234" s="17" t="s">
        <v>1282</v>
      </c>
      <c r="B1234" s="35">
        <v>46172</v>
      </c>
      <c r="C1234" s="17" t="s">
        <v>12</v>
      </c>
      <c r="D1234" s="17" t="s">
        <v>2584</v>
      </c>
      <c r="E1234" s="17" t="s">
        <v>47</v>
      </c>
      <c r="F1234" s="17" t="s">
        <v>34</v>
      </c>
      <c r="G1234" s="17" t="s">
        <v>38</v>
      </c>
      <c r="H1234" s="17" t="s">
        <v>2592</v>
      </c>
      <c r="I1234" s="17" t="s">
        <v>30</v>
      </c>
      <c r="J1234" s="36">
        <v>2692.31</v>
      </c>
      <c r="K1234" s="36">
        <v>850.37</v>
      </c>
      <c r="L1234" s="36">
        <f t="shared" si="95"/>
        <v>-1841.94</v>
      </c>
      <c r="M1234" s="37">
        <f t="shared" si="96"/>
        <v>-0.68414855644409456</v>
      </c>
      <c r="N1234" s="17" t="str">
        <f t="shared" si="97"/>
        <v>Under Budget</v>
      </c>
      <c r="O1234" s="38">
        <f t="shared" si="98"/>
        <v>-850.37</v>
      </c>
      <c r="P1234" s="39">
        <f t="shared" si="99"/>
        <v>46143</v>
      </c>
    </row>
    <row r="1235" spans="1:16" ht="15.5" x14ac:dyDescent="0.35">
      <c r="A1235" s="17" t="s">
        <v>1283</v>
      </c>
      <c r="B1235" s="35">
        <v>46044</v>
      </c>
      <c r="C1235" s="17" t="s">
        <v>12</v>
      </c>
      <c r="D1235" s="17" t="s">
        <v>19</v>
      </c>
      <c r="E1235" s="17" t="s">
        <v>45</v>
      </c>
      <c r="F1235" s="17" t="s">
        <v>15</v>
      </c>
      <c r="G1235" s="17" t="s">
        <v>38</v>
      </c>
      <c r="H1235" s="17" t="s">
        <v>2597</v>
      </c>
      <c r="I1235" s="17" t="s">
        <v>30</v>
      </c>
      <c r="J1235" s="36">
        <v>6715.38</v>
      </c>
      <c r="K1235" s="36">
        <v>3658.13</v>
      </c>
      <c r="L1235" s="36">
        <f t="shared" si="95"/>
        <v>-3057.25</v>
      </c>
      <c r="M1235" s="37">
        <f t="shared" si="96"/>
        <v>-0.45526090854128881</v>
      </c>
      <c r="N1235" s="17" t="str">
        <f t="shared" si="97"/>
        <v>Under Budget</v>
      </c>
      <c r="O1235" s="38">
        <f t="shared" si="98"/>
        <v>-3658.13</v>
      </c>
      <c r="P1235" s="39">
        <f t="shared" si="99"/>
        <v>46023</v>
      </c>
    </row>
    <row r="1236" spans="1:16" ht="15.5" x14ac:dyDescent="0.35">
      <c r="A1236" s="17" t="s">
        <v>1284</v>
      </c>
      <c r="B1236" s="35">
        <v>45854</v>
      </c>
      <c r="C1236" s="17" t="s">
        <v>25</v>
      </c>
      <c r="D1236" s="17" t="s">
        <v>32</v>
      </c>
      <c r="E1236" s="17" t="s">
        <v>33</v>
      </c>
      <c r="F1236" s="17" t="s">
        <v>15</v>
      </c>
      <c r="G1236" s="17" t="s">
        <v>38</v>
      </c>
      <c r="H1236" s="17" t="s">
        <v>2592</v>
      </c>
      <c r="I1236" s="17" t="s">
        <v>48</v>
      </c>
      <c r="J1236" s="36">
        <v>12500</v>
      </c>
      <c r="K1236" s="36">
        <v>20778.71</v>
      </c>
      <c r="L1236" s="36">
        <f t="shared" si="95"/>
        <v>8278.7099999999991</v>
      </c>
      <c r="M1236" s="37">
        <f t="shared" si="96"/>
        <v>0.66229679999999991</v>
      </c>
      <c r="N1236" s="17" t="str">
        <f t="shared" si="97"/>
        <v>Over Budget</v>
      </c>
      <c r="O1236" s="38">
        <f t="shared" si="98"/>
        <v>20778.71</v>
      </c>
      <c r="P1236" s="39">
        <f t="shared" si="99"/>
        <v>45839</v>
      </c>
    </row>
    <row r="1237" spans="1:16" ht="15.5" x14ac:dyDescent="0.35">
      <c r="A1237" s="17" t="s">
        <v>1285</v>
      </c>
      <c r="B1237" s="35">
        <v>46172</v>
      </c>
      <c r="C1237" s="17" t="s">
        <v>25</v>
      </c>
      <c r="D1237" s="17" t="s">
        <v>32</v>
      </c>
      <c r="E1237" s="17" t="s">
        <v>109</v>
      </c>
      <c r="F1237" s="17" t="s">
        <v>15</v>
      </c>
      <c r="G1237" s="17" t="s">
        <v>16</v>
      </c>
      <c r="H1237" s="17" t="s">
        <v>2598</v>
      </c>
      <c r="I1237" s="17" t="s">
        <v>17</v>
      </c>
      <c r="J1237" s="36">
        <v>5882.35</v>
      </c>
      <c r="K1237" s="36">
        <v>4444.22</v>
      </c>
      <c r="L1237" s="36">
        <f t="shared" si="95"/>
        <v>-1438.13</v>
      </c>
      <c r="M1237" s="37">
        <f t="shared" si="96"/>
        <v>-0.24448222224111113</v>
      </c>
      <c r="N1237" s="17" t="str">
        <f t="shared" si="97"/>
        <v>Under Budget</v>
      </c>
      <c r="O1237" s="38">
        <f t="shared" si="98"/>
        <v>4444.22</v>
      </c>
      <c r="P1237" s="39">
        <f t="shared" si="99"/>
        <v>46143</v>
      </c>
    </row>
    <row r="1238" spans="1:16" ht="15.5" x14ac:dyDescent="0.35">
      <c r="A1238" s="17" t="s">
        <v>1286</v>
      </c>
      <c r="B1238" s="35">
        <v>46078</v>
      </c>
      <c r="C1238" s="17" t="s">
        <v>12</v>
      </c>
      <c r="D1238" s="17" t="s">
        <v>2584</v>
      </c>
      <c r="E1238" s="17" t="s">
        <v>47</v>
      </c>
      <c r="F1238" s="17" t="s">
        <v>15</v>
      </c>
      <c r="G1238" s="17" t="s">
        <v>22</v>
      </c>
      <c r="H1238" s="17" t="s">
        <v>2597</v>
      </c>
      <c r="I1238" s="17" t="s">
        <v>30</v>
      </c>
      <c r="J1238" s="36">
        <v>5658.33</v>
      </c>
      <c r="K1238" s="36">
        <v>151.87</v>
      </c>
      <c r="L1238" s="36">
        <f t="shared" si="95"/>
        <v>-5506.46</v>
      </c>
      <c r="M1238" s="37">
        <f t="shared" si="96"/>
        <v>-0.97315992527830653</v>
      </c>
      <c r="N1238" s="17" t="str">
        <f t="shared" si="97"/>
        <v>Under Budget</v>
      </c>
      <c r="O1238" s="38">
        <f t="shared" si="98"/>
        <v>-151.87</v>
      </c>
      <c r="P1238" s="39">
        <f t="shared" si="99"/>
        <v>46054</v>
      </c>
    </row>
    <row r="1239" spans="1:16" ht="15.5" x14ac:dyDescent="0.35">
      <c r="A1239" s="17" t="s">
        <v>1287</v>
      </c>
      <c r="B1239" s="35">
        <v>45953</v>
      </c>
      <c r="C1239" s="17" t="s">
        <v>12</v>
      </c>
      <c r="D1239" s="17" t="s">
        <v>19</v>
      </c>
      <c r="E1239" s="17" t="s">
        <v>41</v>
      </c>
      <c r="F1239" s="17" t="s">
        <v>52</v>
      </c>
      <c r="G1239" s="17" t="s">
        <v>43</v>
      </c>
      <c r="H1239" s="17" t="s">
        <v>2592</v>
      </c>
      <c r="I1239" s="17" t="s">
        <v>48</v>
      </c>
      <c r="J1239" s="36">
        <v>9285.7099999999991</v>
      </c>
      <c r="K1239" s="36">
        <v>4642.1000000000004</v>
      </c>
      <c r="L1239" s="36">
        <f t="shared" si="95"/>
        <v>-4643.6099999999988</v>
      </c>
      <c r="M1239" s="37">
        <f t="shared" si="96"/>
        <v>-0.50008130772983428</v>
      </c>
      <c r="N1239" s="17" t="str">
        <f t="shared" si="97"/>
        <v>Under Budget</v>
      </c>
      <c r="O1239" s="38">
        <f t="shared" si="98"/>
        <v>-4642.1000000000004</v>
      </c>
      <c r="P1239" s="39">
        <f t="shared" si="99"/>
        <v>45931</v>
      </c>
    </row>
    <row r="1240" spans="1:16" ht="15.5" x14ac:dyDescent="0.35">
      <c r="A1240" s="17" t="s">
        <v>1288</v>
      </c>
      <c r="B1240" s="35">
        <v>45997</v>
      </c>
      <c r="C1240" s="17" t="s">
        <v>12</v>
      </c>
      <c r="D1240" s="17" t="s">
        <v>19</v>
      </c>
      <c r="E1240" s="17" t="s">
        <v>47</v>
      </c>
      <c r="F1240" s="17" t="s">
        <v>21</v>
      </c>
      <c r="G1240" s="17" t="s">
        <v>38</v>
      </c>
      <c r="H1240" s="17" t="s">
        <v>2588</v>
      </c>
      <c r="I1240" s="17" t="s">
        <v>39</v>
      </c>
      <c r="J1240" s="36">
        <v>6125</v>
      </c>
      <c r="K1240" s="36">
        <v>1662.45</v>
      </c>
      <c r="L1240" s="36">
        <f t="shared" si="95"/>
        <v>-4462.55</v>
      </c>
      <c r="M1240" s="37">
        <f t="shared" si="96"/>
        <v>-0.72857959183673471</v>
      </c>
      <c r="N1240" s="17" t="str">
        <f t="shared" si="97"/>
        <v>Under Budget</v>
      </c>
      <c r="O1240" s="38">
        <f t="shared" si="98"/>
        <v>-1662.45</v>
      </c>
      <c r="P1240" s="39">
        <f t="shared" si="99"/>
        <v>45992</v>
      </c>
    </row>
    <row r="1241" spans="1:16" ht="15.5" x14ac:dyDescent="0.35">
      <c r="A1241" s="17" t="s">
        <v>1289</v>
      </c>
      <c r="B1241" s="35">
        <v>46168</v>
      </c>
      <c r="C1241" s="17" t="s">
        <v>25</v>
      </c>
      <c r="D1241" s="17" t="s">
        <v>32</v>
      </c>
      <c r="E1241" s="17" t="s">
        <v>33</v>
      </c>
      <c r="F1241" s="17" t="s">
        <v>28</v>
      </c>
      <c r="G1241" s="17" t="s">
        <v>38</v>
      </c>
      <c r="H1241" s="17" t="s">
        <v>80</v>
      </c>
      <c r="I1241" s="17" t="s">
        <v>30</v>
      </c>
      <c r="J1241" s="36">
        <v>10869.57</v>
      </c>
      <c r="K1241" s="36">
        <v>14280.89</v>
      </c>
      <c r="L1241" s="36">
        <f t="shared" si="95"/>
        <v>3411.3199999999997</v>
      </c>
      <c r="M1241" s="37">
        <f t="shared" si="96"/>
        <v>0.31384130190982712</v>
      </c>
      <c r="N1241" s="17" t="str">
        <f t="shared" si="97"/>
        <v>Over Budget</v>
      </c>
      <c r="O1241" s="38">
        <f t="shared" si="98"/>
        <v>14280.89</v>
      </c>
      <c r="P1241" s="39">
        <f t="shared" si="99"/>
        <v>46143</v>
      </c>
    </row>
    <row r="1242" spans="1:16" ht="15.5" x14ac:dyDescent="0.35">
      <c r="A1242" s="17" t="s">
        <v>1290</v>
      </c>
      <c r="B1242" s="35">
        <v>45926</v>
      </c>
      <c r="C1242" s="17" t="s">
        <v>12</v>
      </c>
      <c r="D1242" s="17" t="s">
        <v>32</v>
      </c>
      <c r="E1242" s="17" t="s">
        <v>77</v>
      </c>
      <c r="F1242" s="17" t="s">
        <v>15</v>
      </c>
      <c r="G1242" s="17" t="s">
        <v>43</v>
      </c>
      <c r="H1242" s="17" t="s">
        <v>2598</v>
      </c>
      <c r="I1242" s="17" t="s">
        <v>23</v>
      </c>
      <c r="J1242" s="36">
        <v>5500</v>
      </c>
      <c r="K1242" s="36">
        <v>563.71</v>
      </c>
      <c r="L1242" s="36">
        <f t="shared" si="95"/>
        <v>-4936.29</v>
      </c>
      <c r="M1242" s="37">
        <f t="shared" si="96"/>
        <v>-0.89750727272727271</v>
      </c>
      <c r="N1242" s="17" t="str">
        <f t="shared" si="97"/>
        <v>Under Budget</v>
      </c>
      <c r="O1242" s="38">
        <f t="shared" si="98"/>
        <v>-563.71</v>
      </c>
      <c r="P1242" s="39">
        <f t="shared" si="99"/>
        <v>45901</v>
      </c>
    </row>
    <row r="1243" spans="1:16" ht="15.5" x14ac:dyDescent="0.35">
      <c r="A1243" s="17" t="s">
        <v>1291</v>
      </c>
      <c r="B1243" s="35">
        <v>45774</v>
      </c>
      <c r="C1243" s="17" t="s">
        <v>12</v>
      </c>
      <c r="D1243" s="17" t="s">
        <v>13</v>
      </c>
      <c r="E1243" s="17" t="s">
        <v>45</v>
      </c>
      <c r="F1243" s="17" t="s">
        <v>52</v>
      </c>
      <c r="G1243" s="17" t="s">
        <v>82</v>
      </c>
      <c r="H1243" s="17" t="s">
        <v>2586</v>
      </c>
      <c r="I1243" s="17" t="s">
        <v>23</v>
      </c>
      <c r="J1243" s="36">
        <v>13846.15</v>
      </c>
      <c r="K1243" s="36">
        <v>9388.85</v>
      </c>
      <c r="L1243" s="36">
        <f t="shared" si="95"/>
        <v>-4457.2999999999993</v>
      </c>
      <c r="M1243" s="37">
        <f t="shared" si="96"/>
        <v>-0.32191620053227787</v>
      </c>
      <c r="N1243" s="17" t="str">
        <f t="shared" si="97"/>
        <v>Under Budget</v>
      </c>
      <c r="O1243" s="38">
        <f t="shared" si="98"/>
        <v>-9388.85</v>
      </c>
      <c r="P1243" s="39">
        <f t="shared" si="99"/>
        <v>45748</v>
      </c>
    </row>
    <row r="1244" spans="1:16" ht="15.5" x14ac:dyDescent="0.35">
      <c r="A1244" s="17" t="s">
        <v>1292</v>
      </c>
      <c r="B1244" s="35">
        <v>45729</v>
      </c>
      <c r="C1244" s="17" t="s">
        <v>25</v>
      </c>
      <c r="D1244" s="17" t="s">
        <v>2584</v>
      </c>
      <c r="E1244" s="17" t="s">
        <v>27</v>
      </c>
      <c r="F1244" s="17" t="s">
        <v>52</v>
      </c>
      <c r="G1244" s="17" t="s">
        <v>16</v>
      </c>
      <c r="H1244" s="17" t="s">
        <v>2589</v>
      </c>
      <c r="I1244" s="17" t="s">
        <v>39</v>
      </c>
      <c r="J1244" s="36">
        <v>11428.57</v>
      </c>
      <c r="K1244" s="36">
        <v>7234.85</v>
      </c>
      <c r="L1244" s="36">
        <f t="shared" si="95"/>
        <v>-4193.7199999999993</v>
      </c>
      <c r="M1244" s="37">
        <f t="shared" si="96"/>
        <v>-0.3669505458688182</v>
      </c>
      <c r="N1244" s="17" t="str">
        <f t="shared" si="97"/>
        <v>Under Budget</v>
      </c>
      <c r="O1244" s="38">
        <f t="shared" si="98"/>
        <v>7234.85</v>
      </c>
      <c r="P1244" s="39">
        <f t="shared" si="99"/>
        <v>45717</v>
      </c>
    </row>
    <row r="1245" spans="1:16" ht="15.5" x14ac:dyDescent="0.35">
      <c r="A1245" s="17" t="s">
        <v>1293</v>
      </c>
      <c r="B1245" s="35">
        <v>45876</v>
      </c>
      <c r="C1245" s="17" t="s">
        <v>25</v>
      </c>
      <c r="D1245" s="17" t="s">
        <v>32</v>
      </c>
      <c r="E1245" s="17" t="s">
        <v>27</v>
      </c>
      <c r="F1245" s="17" t="s">
        <v>34</v>
      </c>
      <c r="G1245" s="17" t="s">
        <v>38</v>
      </c>
      <c r="H1245" s="17" t="s">
        <v>2589</v>
      </c>
      <c r="I1245" s="17" t="s">
        <v>30</v>
      </c>
      <c r="J1245" s="36">
        <v>13333.33</v>
      </c>
      <c r="K1245" s="36">
        <v>5090.7700000000004</v>
      </c>
      <c r="L1245" s="36">
        <f t="shared" si="95"/>
        <v>-8242.56</v>
      </c>
      <c r="M1245" s="37">
        <f t="shared" si="96"/>
        <v>-0.61819215454803855</v>
      </c>
      <c r="N1245" s="17" t="str">
        <f t="shared" si="97"/>
        <v>Under Budget</v>
      </c>
      <c r="O1245" s="38">
        <f t="shared" si="98"/>
        <v>5090.7700000000004</v>
      </c>
      <c r="P1245" s="39">
        <f t="shared" si="99"/>
        <v>45870</v>
      </c>
    </row>
    <row r="1246" spans="1:16" ht="15.5" x14ac:dyDescent="0.35">
      <c r="A1246" s="17" t="s">
        <v>1294</v>
      </c>
      <c r="B1246" s="35">
        <v>45840</v>
      </c>
      <c r="C1246" s="17" t="s">
        <v>12</v>
      </c>
      <c r="D1246" s="17" t="s">
        <v>2584</v>
      </c>
      <c r="E1246" s="17" t="s">
        <v>41</v>
      </c>
      <c r="F1246" s="17" t="s">
        <v>52</v>
      </c>
      <c r="G1246" s="17" t="s">
        <v>22</v>
      </c>
      <c r="H1246" s="17" t="s">
        <v>2596</v>
      </c>
      <c r="I1246" s="17" t="s">
        <v>48</v>
      </c>
      <c r="J1246" s="36">
        <v>5909.09</v>
      </c>
      <c r="K1246" s="36">
        <v>9573.57</v>
      </c>
      <c r="L1246" s="36">
        <f t="shared" si="95"/>
        <v>3664.4799999999996</v>
      </c>
      <c r="M1246" s="37">
        <f t="shared" si="96"/>
        <v>0.62014286463736368</v>
      </c>
      <c r="N1246" s="17" t="str">
        <f t="shared" si="97"/>
        <v>Over Budget</v>
      </c>
      <c r="O1246" s="38">
        <f t="shared" si="98"/>
        <v>-9573.57</v>
      </c>
      <c r="P1246" s="39">
        <f t="shared" si="99"/>
        <v>45839</v>
      </c>
    </row>
    <row r="1247" spans="1:16" ht="15.5" x14ac:dyDescent="0.35">
      <c r="A1247" s="17" t="s">
        <v>1295</v>
      </c>
      <c r="B1247" s="35">
        <v>45790</v>
      </c>
      <c r="C1247" s="17" t="s">
        <v>12</v>
      </c>
      <c r="D1247" s="17" t="s">
        <v>19</v>
      </c>
      <c r="E1247" s="17" t="s">
        <v>45</v>
      </c>
      <c r="F1247" s="17" t="s">
        <v>52</v>
      </c>
      <c r="G1247" s="17" t="s">
        <v>38</v>
      </c>
      <c r="H1247" s="17" t="s">
        <v>2590</v>
      </c>
      <c r="I1247" s="17" t="s">
        <v>39</v>
      </c>
      <c r="J1247" s="36">
        <v>7200</v>
      </c>
      <c r="K1247" s="36">
        <v>1066.46</v>
      </c>
      <c r="L1247" s="36">
        <f t="shared" si="95"/>
        <v>-6133.54</v>
      </c>
      <c r="M1247" s="37">
        <f t="shared" si="96"/>
        <v>-0.85188055555555553</v>
      </c>
      <c r="N1247" s="17" t="str">
        <f t="shared" si="97"/>
        <v>Under Budget</v>
      </c>
      <c r="O1247" s="38">
        <f t="shared" si="98"/>
        <v>-1066.46</v>
      </c>
      <c r="P1247" s="39">
        <f t="shared" si="99"/>
        <v>45778</v>
      </c>
    </row>
    <row r="1248" spans="1:16" ht="15.5" x14ac:dyDescent="0.35">
      <c r="A1248" s="17" t="s">
        <v>1296</v>
      </c>
      <c r="B1248" s="35">
        <v>46089</v>
      </c>
      <c r="C1248" s="17" t="s">
        <v>12</v>
      </c>
      <c r="D1248" s="17" t="s">
        <v>36</v>
      </c>
      <c r="E1248" s="17" t="s">
        <v>41</v>
      </c>
      <c r="F1248" s="17" t="s">
        <v>28</v>
      </c>
      <c r="G1248" s="17" t="s">
        <v>43</v>
      </c>
      <c r="H1248" s="17" t="s">
        <v>2593</v>
      </c>
      <c r="I1248" s="17" t="s">
        <v>23</v>
      </c>
      <c r="J1248" s="36">
        <v>6500</v>
      </c>
      <c r="K1248" s="36">
        <v>11852.01</v>
      </c>
      <c r="L1248" s="36">
        <f t="shared" si="95"/>
        <v>5352.01</v>
      </c>
      <c r="M1248" s="37">
        <f t="shared" si="96"/>
        <v>0.82338615384615388</v>
      </c>
      <c r="N1248" s="17" t="str">
        <f t="shared" si="97"/>
        <v>Over Budget</v>
      </c>
      <c r="O1248" s="38">
        <f t="shared" si="98"/>
        <v>-11852.01</v>
      </c>
      <c r="P1248" s="39">
        <f t="shared" si="99"/>
        <v>46082</v>
      </c>
    </row>
    <row r="1249" spans="1:16" ht="15.5" x14ac:dyDescent="0.35">
      <c r="A1249" s="17" t="s">
        <v>1297</v>
      </c>
      <c r="B1249" s="35">
        <v>45939</v>
      </c>
      <c r="C1249" s="17" t="s">
        <v>12</v>
      </c>
      <c r="D1249" s="17" t="s">
        <v>36</v>
      </c>
      <c r="E1249" s="17" t="s">
        <v>45</v>
      </c>
      <c r="F1249" s="17" t="s">
        <v>52</v>
      </c>
      <c r="G1249" s="17" t="s">
        <v>29</v>
      </c>
      <c r="H1249" s="17" t="s">
        <v>2591</v>
      </c>
      <c r="I1249" s="17" t="s">
        <v>39</v>
      </c>
      <c r="J1249" s="36">
        <v>7826.09</v>
      </c>
      <c r="K1249" s="36">
        <v>5634.02</v>
      </c>
      <c r="L1249" s="36">
        <f t="shared" si="95"/>
        <v>-2192.0699999999997</v>
      </c>
      <c r="M1249" s="37">
        <f t="shared" si="96"/>
        <v>-0.28009772440644048</v>
      </c>
      <c r="N1249" s="17" t="str">
        <f t="shared" si="97"/>
        <v>Under Budget</v>
      </c>
      <c r="O1249" s="38">
        <f t="shared" si="98"/>
        <v>-5634.02</v>
      </c>
      <c r="P1249" s="39">
        <f t="shared" si="99"/>
        <v>45931</v>
      </c>
    </row>
    <row r="1250" spans="1:16" ht="15.5" x14ac:dyDescent="0.35">
      <c r="A1250" s="17" t="s">
        <v>1298</v>
      </c>
      <c r="B1250" s="35">
        <v>46197</v>
      </c>
      <c r="C1250" s="17" t="s">
        <v>12</v>
      </c>
      <c r="D1250" s="17" t="s">
        <v>19</v>
      </c>
      <c r="E1250" s="17" t="s">
        <v>14</v>
      </c>
      <c r="F1250" s="17" t="s">
        <v>28</v>
      </c>
      <c r="G1250" s="17" t="s">
        <v>38</v>
      </c>
      <c r="H1250" s="17" t="s">
        <v>2592</v>
      </c>
      <c r="I1250" s="17" t="s">
        <v>48</v>
      </c>
      <c r="J1250" s="36">
        <v>3555.56</v>
      </c>
      <c r="K1250" s="36">
        <v>2475.59</v>
      </c>
      <c r="L1250" s="36">
        <f t="shared" si="95"/>
        <v>-1079.9699999999998</v>
      </c>
      <c r="M1250" s="37">
        <f t="shared" si="96"/>
        <v>-0.30374118282352142</v>
      </c>
      <c r="N1250" s="17" t="str">
        <f t="shared" si="97"/>
        <v>Under Budget</v>
      </c>
      <c r="O1250" s="38">
        <f t="shared" si="98"/>
        <v>-2475.59</v>
      </c>
      <c r="P1250" s="39">
        <f t="shared" si="99"/>
        <v>46174</v>
      </c>
    </row>
    <row r="1251" spans="1:16" ht="15.5" x14ac:dyDescent="0.35">
      <c r="A1251" s="17" t="s">
        <v>1299</v>
      </c>
      <c r="B1251" s="35">
        <v>45999</v>
      </c>
      <c r="C1251" s="17" t="s">
        <v>25</v>
      </c>
      <c r="D1251" s="17" t="s">
        <v>32</v>
      </c>
      <c r="E1251" s="17" t="s">
        <v>33</v>
      </c>
      <c r="F1251" s="17" t="s">
        <v>52</v>
      </c>
      <c r="G1251" s="17" t="s">
        <v>38</v>
      </c>
      <c r="H1251" s="17" t="s">
        <v>2594</v>
      </c>
      <c r="I1251" s="17" t="s">
        <v>48</v>
      </c>
      <c r="J1251" s="36">
        <v>15441.18</v>
      </c>
      <c r="K1251" s="36">
        <v>8009.94</v>
      </c>
      <c r="L1251" s="36">
        <f t="shared" si="95"/>
        <v>-7431.2400000000007</v>
      </c>
      <c r="M1251" s="37">
        <f t="shared" si="96"/>
        <v>-0.48126114714030926</v>
      </c>
      <c r="N1251" s="17" t="str">
        <f t="shared" si="97"/>
        <v>Under Budget</v>
      </c>
      <c r="O1251" s="38">
        <f t="shared" si="98"/>
        <v>8009.94</v>
      </c>
      <c r="P1251" s="39">
        <f t="shared" si="99"/>
        <v>45992</v>
      </c>
    </row>
    <row r="1252" spans="1:16" ht="15.5" x14ac:dyDescent="0.35">
      <c r="A1252" s="17" t="s">
        <v>1300</v>
      </c>
      <c r="B1252" s="35">
        <v>45676</v>
      </c>
      <c r="C1252" s="17" t="s">
        <v>12</v>
      </c>
      <c r="D1252" s="17" t="s">
        <v>32</v>
      </c>
      <c r="E1252" s="17" t="s">
        <v>45</v>
      </c>
      <c r="F1252" s="17" t="s">
        <v>52</v>
      </c>
      <c r="G1252" s="17" t="s">
        <v>38</v>
      </c>
      <c r="H1252" s="17" t="s">
        <v>2591</v>
      </c>
      <c r="I1252" s="17" t="s">
        <v>30</v>
      </c>
      <c r="J1252" s="36">
        <v>7591.3</v>
      </c>
      <c r="K1252" s="36">
        <v>6025.35</v>
      </c>
      <c r="L1252" s="36">
        <f t="shared" si="95"/>
        <v>-1565.9499999999998</v>
      </c>
      <c r="M1252" s="37">
        <f t="shared" si="96"/>
        <v>-0.20628219145600882</v>
      </c>
      <c r="N1252" s="17" t="str">
        <f t="shared" si="97"/>
        <v>Under Budget</v>
      </c>
      <c r="O1252" s="38">
        <f t="shared" si="98"/>
        <v>-6025.35</v>
      </c>
      <c r="P1252" s="39">
        <f t="shared" si="99"/>
        <v>45658</v>
      </c>
    </row>
    <row r="1253" spans="1:16" ht="15.5" x14ac:dyDescent="0.35">
      <c r="A1253" s="17" t="s">
        <v>1301</v>
      </c>
      <c r="B1253" s="35">
        <v>45810</v>
      </c>
      <c r="C1253" s="17" t="s">
        <v>25</v>
      </c>
      <c r="D1253" s="17" t="s">
        <v>36</v>
      </c>
      <c r="E1253" s="17" t="s">
        <v>109</v>
      </c>
      <c r="F1253" s="17" t="s">
        <v>52</v>
      </c>
      <c r="G1253" s="17" t="s">
        <v>29</v>
      </c>
      <c r="H1253" s="17" t="s">
        <v>2593</v>
      </c>
      <c r="I1253" s="17" t="s">
        <v>23</v>
      </c>
      <c r="J1253" s="36">
        <v>6250</v>
      </c>
      <c r="K1253" s="36">
        <v>1268.74</v>
      </c>
      <c r="L1253" s="36">
        <f t="shared" si="95"/>
        <v>-4981.26</v>
      </c>
      <c r="M1253" s="37">
        <f t="shared" si="96"/>
        <v>-0.79700160000000009</v>
      </c>
      <c r="N1253" s="17" t="str">
        <f t="shared" si="97"/>
        <v>Under Budget</v>
      </c>
      <c r="O1253" s="38">
        <f t="shared" si="98"/>
        <v>1268.74</v>
      </c>
      <c r="P1253" s="39">
        <f t="shared" si="99"/>
        <v>45809</v>
      </c>
    </row>
    <row r="1254" spans="1:16" ht="15.5" x14ac:dyDescent="0.35">
      <c r="A1254" s="17" t="s">
        <v>1302</v>
      </c>
      <c r="B1254" s="35">
        <v>46199</v>
      </c>
      <c r="C1254" s="17" t="s">
        <v>12</v>
      </c>
      <c r="D1254" s="17" t="s">
        <v>13</v>
      </c>
      <c r="E1254" s="17" t="s">
        <v>65</v>
      </c>
      <c r="F1254" s="17" t="s">
        <v>28</v>
      </c>
      <c r="G1254" s="17" t="s">
        <v>38</v>
      </c>
      <c r="H1254" s="17" t="s">
        <v>2592</v>
      </c>
      <c r="I1254" s="17" t="s">
        <v>30</v>
      </c>
      <c r="J1254" s="36">
        <v>3666.67</v>
      </c>
      <c r="K1254" s="36">
        <v>1778.09</v>
      </c>
      <c r="L1254" s="36">
        <f t="shared" si="95"/>
        <v>-1888.5800000000002</v>
      </c>
      <c r="M1254" s="37">
        <f t="shared" si="96"/>
        <v>-0.5150668044847232</v>
      </c>
      <c r="N1254" s="17" t="str">
        <f t="shared" si="97"/>
        <v>Under Budget</v>
      </c>
      <c r="O1254" s="38">
        <f t="shared" si="98"/>
        <v>-1778.09</v>
      </c>
      <c r="P1254" s="39">
        <f t="shared" si="99"/>
        <v>46174</v>
      </c>
    </row>
    <row r="1255" spans="1:16" ht="15.5" x14ac:dyDescent="0.35">
      <c r="A1255" s="17" t="s">
        <v>1303</v>
      </c>
      <c r="B1255" s="35">
        <v>45979</v>
      </c>
      <c r="C1255" s="17" t="s">
        <v>25</v>
      </c>
      <c r="D1255" s="17" t="s">
        <v>32</v>
      </c>
      <c r="E1255" s="17" t="s">
        <v>27</v>
      </c>
      <c r="F1255" s="17" t="s">
        <v>34</v>
      </c>
      <c r="G1255" s="17" t="s">
        <v>22</v>
      </c>
      <c r="H1255" s="17" t="s">
        <v>2598</v>
      </c>
      <c r="I1255" s="17" t="s">
        <v>17</v>
      </c>
      <c r="J1255" s="36">
        <v>8400</v>
      </c>
      <c r="K1255" s="36">
        <v>7046.31</v>
      </c>
      <c r="L1255" s="36">
        <f t="shared" si="95"/>
        <v>-1353.6899999999996</v>
      </c>
      <c r="M1255" s="37">
        <f t="shared" si="96"/>
        <v>-0.16115357142857137</v>
      </c>
      <c r="N1255" s="17" t="str">
        <f t="shared" si="97"/>
        <v>Under Budget</v>
      </c>
      <c r="O1255" s="38">
        <f t="shared" si="98"/>
        <v>7046.31</v>
      </c>
      <c r="P1255" s="39">
        <f t="shared" si="99"/>
        <v>45962</v>
      </c>
    </row>
    <row r="1256" spans="1:16" ht="15.5" x14ac:dyDescent="0.35">
      <c r="A1256" s="17" t="s">
        <v>1304</v>
      </c>
      <c r="B1256" s="35">
        <v>46139</v>
      </c>
      <c r="C1256" s="17" t="s">
        <v>25</v>
      </c>
      <c r="D1256" s="17" t="s">
        <v>19</v>
      </c>
      <c r="E1256" s="17" t="s">
        <v>169</v>
      </c>
      <c r="F1256" s="17" t="s">
        <v>34</v>
      </c>
      <c r="G1256" s="17" t="s">
        <v>22</v>
      </c>
      <c r="H1256" s="17" t="s">
        <v>2591</v>
      </c>
      <c r="I1256" s="17" t="s">
        <v>39</v>
      </c>
      <c r="J1256" s="36">
        <v>3333.33</v>
      </c>
      <c r="K1256" s="36">
        <v>4493.3</v>
      </c>
      <c r="L1256" s="36">
        <f t="shared" si="95"/>
        <v>1159.9700000000003</v>
      </c>
      <c r="M1256" s="37">
        <f t="shared" si="96"/>
        <v>0.34799134799134807</v>
      </c>
      <c r="N1256" s="17" t="str">
        <f t="shared" si="97"/>
        <v>Over Budget</v>
      </c>
      <c r="O1256" s="38">
        <f t="shared" si="98"/>
        <v>4493.3</v>
      </c>
      <c r="P1256" s="39">
        <f t="shared" si="99"/>
        <v>46113</v>
      </c>
    </row>
    <row r="1257" spans="1:16" ht="15.5" x14ac:dyDescent="0.35">
      <c r="A1257" s="17" t="s">
        <v>1305</v>
      </c>
      <c r="B1257" s="35">
        <v>46183</v>
      </c>
      <c r="C1257" s="17" t="s">
        <v>12</v>
      </c>
      <c r="D1257" s="17" t="s">
        <v>13</v>
      </c>
      <c r="E1257" s="17" t="s">
        <v>77</v>
      </c>
      <c r="F1257" s="17" t="s">
        <v>34</v>
      </c>
      <c r="G1257" s="17" t="s">
        <v>43</v>
      </c>
      <c r="H1257" s="17" t="s">
        <v>2597</v>
      </c>
      <c r="I1257" s="17" t="s">
        <v>48</v>
      </c>
      <c r="J1257" s="36">
        <v>3142.86</v>
      </c>
      <c r="K1257" s="36">
        <v>1462.13</v>
      </c>
      <c r="L1257" s="36">
        <f t="shared" si="95"/>
        <v>-1680.73</v>
      </c>
      <c r="M1257" s="37">
        <f t="shared" si="96"/>
        <v>-0.53477724111159897</v>
      </c>
      <c r="N1257" s="17" t="str">
        <f t="shared" si="97"/>
        <v>Under Budget</v>
      </c>
      <c r="O1257" s="38">
        <f t="shared" si="98"/>
        <v>-1462.13</v>
      </c>
      <c r="P1257" s="39">
        <f t="shared" si="99"/>
        <v>46174</v>
      </c>
    </row>
    <row r="1258" spans="1:16" ht="15.5" x14ac:dyDescent="0.35">
      <c r="A1258" s="17" t="s">
        <v>1306</v>
      </c>
      <c r="B1258" s="35">
        <v>46184</v>
      </c>
      <c r="C1258" s="17" t="s">
        <v>12</v>
      </c>
      <c r="D1258" s="17" t="s">
        <v>32</v>
      </c>
      <c r="E1258" s="17" t="s">
        <v>45</v>
      </c>
      <c r="F1258" s="17" t="s">
        <v>28</v>
      </c>
      <c r="G1258" s="17" t="s">
        <v>16</v>
      </c>
      <c r="H1258" s="17" t="s">
        <v>60</v>
      </c>
      <c r="I1258" s="17" t="s">
        <v>2583</v>
      </c>
      <c r="J1258" s="36">
        <v>8571.43</v>
      </c>
      <c r="K1258" s="36">
        <v>12673.16</v>
      </c>
      <c r="L1258" s="36">
        <f t="shared" si="95"/>
        <v>4101.7299999999996</v>
      </c>
      <c r="M1258" s="37">
        <f t="shared" si="96"/>
        <v>0.47853508691081881</v>
      </c>
      <c r="N1258" s="17" t="str">
        <f t="shared" si="97"/>
        <v>Over Budget</v>
      </c>
      <c r="O1258" s="38">
        <f t="shared" si="98"/>
        <v>-12673.16</v>
      </c>
      <c r="P1258" s="39">
        <f t="shared" si="99"/>
        <v>46174</v>
      </c>
    </row>
    <row r="1259" spans="1:16" ht="15.5" x14ac:dyDescent="0.35">
      <c r="A1259" s="17" t="s">
        <v>1307</v>
      </c>
      <c r="B1259" s="35">
        <v>46017</v>
      </c>
      <c r="C1259" s="17" t="s">
        <v>12</v>
      </c>
      <c r="D1259" s="17" t="s">
        <v>19</v>
      </c>
      <c r="E1259" s="17" t="s">
        <v>41</v>
      </c>
      <c r="F1259" s="17" t="s">
        <v>34</v>
      </c>
      <c r="G1259" s="17" t="s">
        <v>16</v>
      </c>
      <c r="H1259" s="17" t="s">
        <v>2597</v>
      </c>
      <c r="I1259" s="17" t="s">
        <v>23</v>
      </c>
      <c r="J1259" s="36">
        <v>5250</v>
      </c>
      <c r="K1259" s="36">
        <v>10894.71</v>
      </c>
      <c r="L1259" s="36">
        <f t="shared" si="95"/>
        <v>5644.7099999999991</v>
      </c>
      <c r="M1259" s="37">
        <f t="shared" si="96"/>
        <v>1.075182857142857</v>
      </c>
      <c r="N1259" s="17" t="str">
        <f t="shared" si="97"/>
        <v>Over Budget</v>
      </c>
      <c r="O1259" s="38">
        <f t="shared" si="98"/>
        <v>-10894.71</v>
      </c>
      <c r="P1259" s="39">
        <f t="shared" si="99"/>
        <v>45992</v>
      </c>
    </row>
    <row r="1260" spans="1:16" ht="15.5" x14ac:dyDescent="0.35">
      <c r="A1260" s="17" t="s">
        <v>1308</v>
      </c>
      <c r="B1260" s="35">
        <v>45812</v>
      </c>
      <c r="C1260" s="17" t="s">
        <v>12</v>
      </c>
      <c r="D1260" s="17" t="s">
        <v>19</v>
      </c>
      <c r="E1260" s="17" t="s">
        <v>20</v>
      </c>
      <c r="F1260" s="17" t="s">
        <v>52</v>
      </c>
      <c r="G1260" s="17" t="s">
        <v>22</v>
      </c>
      <c r="H1260" s="17" t="s">
        <v>2588</v>
      </c>
      <c r="I1260" s="17" t="s">
        <v>30</v>
      </c>
      <c r="J1260" s="36">
        <v>2000</v>
      </c>
      <c r="K1260" s="36">
        <v>0</v>
      </c>
      <c r="L1260" s="36">
        <f t="shared" si="95"/>
        <v>-2000</v>
      </c>
      <c r="M1260" s="37">
        <f t="shared" si="96"/>
        <v>-1</v>
      </c>
      <c r="N1260" s="17" t="str">
        <f t="shared" si="97"/>
        <v>Under Budget</v>
      </c>
      <c r="O1260" s="38">
        <f t="shared" si="98"/>
        <v>0</v>
      </c>
      <c r="P1260" s="39">
        <f t="shared" si="99"/>
        <v>45809</v>
      </c>
    </row>
    <row r="1261" spans="1:16" ht="15.5" x14ac:dyDescent="0.35">
      <c r="A1261" s="17" t="s">
        <v>1309</v>
      </c>
      <c r="B1261" s="35">
        <v>45894</v>
      </c>
      <c r="C1261" s="17" t="s">
        <v>12</v>
      </c>
      <c r="D1261" s="17" t="s">
        <v>13</v>
      </c>
      <c r="E1261" s="17" t="s">
        <v>45</v>
      </c>
      <c r="F1261" s="17" t="s">
        <v>52</v>
      </c>
      <c r="G1261" s="17" t="s">
        <v>43</v>
      </c>
      <c r="H1261" s="17" t="s">
        <v>2589</v>
      </c>
      <c r="I1261" s="17" t="s">
        <v>17</v>
      </c>
      <c r="J1261" s="36">
        <v>8181.82</v>
      </c>
      <c r="K1261" s="36">
        <v>10380.86</v>
      </c>
      <c r="L1261" s="36">
        <f t="shared" si="95"/>
        <v>2199.0400000000009</v>
      </c>
      <c r="M1261" s="37">
        <f t="shared" si="96"/>
        <v>0.26877149582855658</v>
      </c>
      <c r="N1261" s="17" t="str">
        <f t="shared" si="97"/>
        <v>Over Budget</v>
      </c>
      <c r="O1261" s="38">
        <f t="shared" si="98"/>
        <v>-10380.86</v>
      </c>
      <c r="P1261" s="39">
        <f t="shared" si="99"/>
        <v>45870</v>
      </c>
    </row>
    <row r="1262" spans="1:16" ht="15.5" x14ac:dyDescent="0.35">
      <c r="A1262" s="17" t="s">
        <v>1310</v>
      </c>
      <c r="B1262" s="35">
        <v>45864</v>
      </c>
      <c r="C1262" s="17" t="s">
        <v>25</v>
      </c>
      <c r="D1262" s="17" t="s">
        <v>19</v>
      </c>
      <c r="E1262" s="17" t="s">
        <v>33</v>
      </c>
      <c r="F1262" s="17" t="s">
        <v>21</v>
      </c>
      <c r="G1262" s="17" t="s">
        <v>43</v>
      </c>
      <c r="H1262" s="17" t="s">
        <v>2595</v>
      </c>
      <c r="I1262" s="17" t="s">
        <v>30</v>
      </c>
      <c r="J1262" s="36">
        <v>12500</v>
      </c>
      <c r="K1262" s="36">
        <v>16532.990000000002</v>
      </c>
      <c r="L1262" s="36">
        <f t="shared" si="95"/>
        <v>4032.9900000000016</v>
      </c>
      <c r="M1262" s="37">
        <f t="shared" si="96"/>
        <v>0.32263920000000013</v>
      </c>
      <c r="N1262" s="17" t="str">
        <f t="shared" si="97"/>
        <v>Over Budget</v>
      </c>
      <c r="O1262" s="38">
        <f t="shared" si="98"/>
        <v>16532.990000000002</v>
      </c>
      <c r="P1262" s="39">
        <f t="shared" si="99"/>
        <v>45839</v>
      </c>
    </row>
    <row r="1263" spans="1:16" ht="15.5" x14ac:dyDescent="0.35">
      <c r="A1263" s="17" t="s">
        <v>1311</v>
      </c>
      <c r="B1263" s="35">
        <v>46052</v>
      </c>
      <c r="C1263" s="17" t="s">
        <v>12</v>
      </c>
      <c r="D1263" s="17" t="s">
        <v>36</v>
      </c>
      <c r="E1263" s="17" t="s">
        <v>41</v>
      </c>
      <c r="F1263" s="17" t="s">
        <v>34</v>
      </c>
      <c r="G1263" s="17" t="s">
        <v>82</v>
      </c>
      <c r="H1263" s="17" t="s">
        <v>2593</v>
      </c>
      <c r="I1263" s="17" t="s">
        <v>39</v>
      </c>
      <c r="J1263" s="36">
        <v>6305</v>
      </c>
      <c r="K1263" s="36">
        <v>3924.59</v>
      </c>
      <c r="L1263" s="36">
        <f t="shared" si="95"/>
        <v>-2380.41</v>
      </c>
      <c r="M1263" s="37">
        <f t="shared" si="96"/>
        <v>-0.377543219666931</v>
      </c>
      <c r="N1263" s="17" t="str">
        <f t="shared" si="97"/>
        <v>Under Budget</v>
      </c>
      <c r="O1263" s="38">
        <f t="shared" si="98"/>
        <v>-3924.59</v>
      </c>
      <c r="P1263" s="39">
        <f t="shared" si="99"/>
        <v>46023</v>
      </c>
    </row>
    <row r="1264" spans="1:16" ht="15.5" x14ac:dyDescent="0.35">
      <c r="A1264" s="17" t="s">
        <v>1312</v>
      </c>
      <c r="B1264" s="35">
        <v>46068</v>
      </c>
      <c r="C1264" s="17" t="s">
        <v>12</v>
      </c>
      <c r="D1264" s="17" t="s">
        <v>26</v>
      </c>
      <c r="E1264" s="17" t="s">
        <v>45</v>
      </c>
      <c r="F1264" s="17" t="s">
        <v>21</v>
      </c>
      <c r="G1264" s="17" t="s">
        <v>29</v>
      </c>
      <c r="H1264" s="17" t="s">
        <v>2597</v>
      </c>
      <c r="I1264" s="17" t="s">
        <v>30</v>
      </c>
      <c r="J1264" s="36">
        <v>9189.4699999999993</v>
      </c>
      <c r="K1264" s="36">
        <v>17569.439999999999</v>
      </c>
      <c r="L1264" s="36">
        <f t="shared" si="95"/>
        <v>8379.9699999999993</v>
      </c>
      <c r="M1264" s="37">
        <f t="shared" si="96"/>
        <v>0.91191004486657012</v>
      </c>
      <c r="N1264" s="17" t="str">
        <f t="shared" si="97"/>
        <v>Over Budget</v>
      </c>
      <c r="O1264" s="38">
        <f t="shared" si="98"/>
        <v>-17569.439999999999</v>
      </c>
      <c r="P1264" s="39">
        <f t="shared" si="99"/>
        <v>46054</v>
      </c>
    </row>
    <row r="1265" spans="1:16" ht="15.5" x14ac:dyDescent="0.35">
      <c r="A1265" s="17" t="s">
        <v>1313</v>
      </c>
      <c r="B1265" s="35">
        <v>46102</v>
      </c>
      <c r="C1265" s="17" t="s">
        <v>25</v>
      </c>
      <c r="D1265" s="17" t="s">
        <v>19</v>
      </c>
      <c r="E1265" s="17" t="s">
        <v>33</v>
      </c>
      <c r="F1265" s="17" t="s">
        <v>28</v>
      </c>
      <c r="G1265" s="17" t="s">
        <v>38</v>
      </c>
      <c r="H1265" s="17" t="s">
        <v>2592</v>
      </c>
      <c r="I1265" s="17" t="s">
        <v>23</v>
      </c>
      <c r="J1265" s="36">
        <v>11363.64</v>
      </c>
      <c r="K1265" s="36">
        <v>21571.39</v>
      </c>
      <c r="L1265" s="36">
        <f t="shared" si="95"/>
        <v>10207.75</v>
      </c>
      <c r="M1265" s="37">
        <f t="shared" si="96"/>
        <v>0.89828171254985201</v>
      </c>
      <c r="N1265" s="17" t="str">
        <f t="shared" si="97"/>
        <v>Over Budget</v>
      </c>
      <c r="O1265" s="38">
        <f t="shared" si="98"/>
        <v>21571.39</v>
      </c>
      <c r="P1265" s="39">
        <f t="shared" si="99"/>
        <v>46082</v>
      </c>
    </row>
    <row r="1266" spans="1:16" ht="15.5" x14ac:dyDescent="0.35">
      <c r="A1266" s="17" t="s">
        <v>1314</v>
      </c>
      <c r="B1266" s="35">
        <v>46102</v>
      </c>
      <c r="C1266" s="17" t="s">
        <v>12</v>
      </c>
      <c r="D1266" s="17" t="s">
        <v>2584</v>
      </c>
      <c r="E1266" s="17" t="s">
        <v>45</v>
      </c>
      <c r="F1266" s="17" t="s">
        <v>34</v>
      </c>
      <c r="G1266" s="17" t="s">
        <v>22</v>
      </c>
      <c r="H1266" s="17" t="s">
        <v>2589</v>
      </c>
      <c r="I1266" s="17" t="s">
        <v>48</v>
      </c>
      <c r="J1266" s="36">
        <v>7200</v>
      </c>
      <c r="K1266" s="36">
        <v>17016.84</v>
      </c>
      <c r="L1266" s="36">
        <f t="shared" si="95"/>
        <v>9816.84</v>
      </c>
      <c r="M1266" s="37">
        <f t="shared" si="96"/>
        <v>1.3634500000000001</v>
      </c>
      <c r="N1266" s="17" t="str">
        <f t="shared" si="97"/>
        <v>Over Budget</v>
      </c>
      <c r="O1266" s="38">
        <f t="shared" si="98"/>
        <v>-17016.84</v>
      </c>
      <c r="P1266" s="39">
        <f t="shared" si="99"/>
        <v>46082</v>
      </c>
    </row>
    <row r="1267" spans="1:16" ht="15.5" x14ac:dyDescent="0.35">
      <c r="A1267" s="17" t="s">
        <v>1315</v>
      </c>
      <c r="B1267" s="35">
        <v>45667</v>
      </c>
      <c r="C1267" s="17" t="s">
        <v>25</v>
      </c>
      <c r="D1267" s="17" t="s">
        <v>32</v>
      </c>
      <c r="E1267" s="17" t="s">
        <v>33</v>
      </c>
      <c r="F1267" s="17" t="s">
        <v>28</v>
      </c>
      <c r="G1267" s="17" t="s">
        <v>38</v>
      </c>
      <c r="H1267" s="17" t="s">
        <v>2587</v>
      </c>
      <c r="I1267" s="17" t="s">
        <v>30</v>
      </c>
      <c r="J1267" s="36">
        <v>11022.73</v>
      </c>
      <c r="K1267" s="36">
        <v>4422.51</v>
      </c>
      <c r="L1267" s="36">
        <f t="shared" si="95"/>
        <v>-6600.2199999999993</v>
      </c>
      <c r="M1267" s="37">
        <f t="shared" si="96"/>
        <v>-0.59878269720840482</v>
      </c>
      <c r="N1267" s="17" t="str">
        <f t="shared" si="97"/>
        <v>Under Budget</v>
      </c>
      <c r="O1267" s="38">
        <f t="shared" si="98"/>
        <v>4422.51</v>
      </c>
      <c r="P1267" s="39">
        <f t="shared" si="99"/>
        <v>45658</v>
      </c>
    </row>
    <row r="1268" spans="1:16" ht="15.5" x14ac:dyDescent="0.35">
      <c r="A1268" s="17" t="s">
        <v>1316</v>
      </c>
      <c r="B1268" s="35">
        <v>46022</v>
      </c>
      <c r="C1268" s="17" t="s">
        <v>12</v>
      </c>
      <c r="D1268" s="17" t="s">
        <v>36</v>
      </c>
      <c r="E1268" s="17" t="s">
        <v>14</v>
      </c>
      <c r="F1268" s="17" t="s">
        <v>21</v>
      </c>
      <c r="G1268" s="17" t="s">
        <v>22</v>
      </c>
      <c r="H1268" s="17" t="s">
        <v>2587</v>
      </c>
      <c r="I1268" s="17" t="s">
        <v>23</v>
      </c>
      <c r="J1268" s="36">
        <v>4800</v>
      </c>
      <c r="K1268" s="36">
        <v>3462.69</v>
      </c>
      <c r="L1268" s="36">
        <f t="shared" si="95"/>
        <v>-1337.31</v>
      </c>
      <c r="M1268" s="37">
        <f t="shared" si="96"/>
        <v>-0.27860625</v>
      </c>
      <c r="N1268" s="17" t="str">
        <f t="shared" si="97"/>
        <v>Under Budget</v>
      </c>
      <c r="O1268" s="38">
        <f t="shared" si="98"/>
        <v>-3462.69</v>
      </c>
      <c r="P1268" s="39">
        <f t="shared" si="99"/>
        <v>45992</v>
      </c>
    </row>
    <row r="1269" spans="1:16" ht="15.5" x14ac:dyDescent="0.35">
      <c r="A1269" s="17" t="s">
        <v>1317</v>
      </c>
      <c r="B1269" s="35">
        <v>45829</v>
      </c>
      <c r="C1269" s="17" t="s">
        <v>12</v>
      </c>
      <c r="D1269" s="17" t="s">
        <v>32</v>
      </c>
      <c r="E1269" s="17" t="s">
        <v>20</v>
      </c>
      <c r="F1269" s="17" t="s">
        <v>21</v>
      </c>
      <c r="G1269" s="17" t="s">
        <v>38</v>
      </c>
      <c r="H1269" s="17" t="s">
        <v>2586</v>
      </c>
      <c r="I1269" s="17" t="s">
        <v>23</v>
      </c>
      <c r="J1269" s="36">
        <v>2000</v>
      </c>
      <c r="K1269" s="36">
        <v>63.76</v>
      </c>
      <c r="L1269" s="36">
        <f t="shared" si="95"/>
        <v>-1936.24</v>
      </c>
      <c r="M1269" s="37">
        <f t="shared" si="96"/>
        <v>-0.96811999999999998</v>
      </c>
      <c r="N1269" s="17" t="str">
        <f t="shared" si="97"/>
        <v>Under Budget</v>
      </c>
      <c r="O1269" s="38">
        <f t="shared" si="98"/>
        <v>-63.76</v>
      </c>
      <c r="P1269" s="39">
        <f t="shared" si="99"/>
        <v>45809</v>
      </c>
    </row>
    <row r="1270" spans="1:16" ht="15.5" x14ac:dyDescent="0.35">
      <c r="A1270" s="17" t="s">
        <v>1318</v>
      </c>
      <c r="B1270" s="35">
        <v>46024</v>
      </c>
      <c r="C1270" s="17" t="s">
        <v>12</v>
      </c>
      <c r="D1270" s="17" t="s">
        <v>32</v>
      </c>
      <c r="E1270" s="17" t="s">
        <v>45</v>
      </c>
      <c r="F1270" s="17" t="s">
        <v>34</v>
      </c>
      <c r="G1270" s="17" t="s">
        <v>22</v>
      </c>
      <c r="H1270" s="17" t="s">
        <v>2595</v>
      </c>
      <c r="I1270" s="17" t="s">
        <v>30</v>
      </c>
      <c r="J1270" s="36">
        <v>6715.38</v>
      </c>
      <c r="K1270" s="36">
        <v>7973.17</v>
      </c>
      <c r="L1270" s="36">
        <f t="shared" si="95"/>
        <v>1257.79</v>
      </c>
      <c r="M1270" s="37">
        <f t="shared" si="96"/>
        <v>0.1872998996333789</v>
      </c>
      <c r="N1270" s="17" t="str">
        <f t="shared" si="97"/>
        <v>Over Budget</v>
      </c>
      <c r="O1270" s="38">
        <f t="shared" si="98"/>
        <v>-7973.17</v>
      </c>
      <c r="P1270" s="39">
        <f t="shared" si="99"/>
        <v>46023</v>
      </c>
    </row>
    <row r="1271" spans="1:16" ht="15.5" x14ac:dyDescent="0.35">
      <c r="A1271" s="17" t="s">
        <v>1319</v>
      </c>
      <c r="B1271" s="35">
        <v>45817</v>
      </c>
      <c r="C1271" s="17" t="s">
        <v>25</v>
      </c>
      <c r="D1271" s="17" t="s">
        <v>32</v>
      </c>
      <c r="E1271" s="17" t="s">
        <v>33</v>
      </c>
      <c r="F1271" s="17" t="s">
        <v>21</v>
      </c>
      <c r="G1271" s="17" t="s">
        <v>38</v>
      </c>
      <c r="H1271" s="17" t="s">
        <v>2597</v>
      </c>
      <c r="I1271" s="17" t="s">
        <v>17</v>
      </c>
      <c r="J1271" s="36">
        <v>9615.3799999999992</v>
      </c>
      <c r="K1271" s="36">
        <v>12397.07</v>
      </c>
      <c r="L1271" s="36">
        <f t="shared" si="95"/>
        <v>2781.6900000000005</v>
      </c>
      <c r="M1271" s="37">
        <f t="shared" si="96"/>
        <v>0.28929589886203155</v>
      </c>
      <c r="N1271" s="17" t="str">
        <f t="shared" si="97"/>
        <v>Over Budget</v>
      </c>
      <c r="O1271" s="38">
        <f t="shared" si="98"/>
        <v>12397.07</v>
      </c>
      <c r="P1271" s="39">
        <f t="shared" si="99"/>
        <v>45809</v>
      </c>
    </row>
    <row r="1272" spans="1:16" ht="15.5" x14ac:dyDescent="0.35">
      <c r="A1272" s="17" t="s">
        <v>1320</v>
      </c>
      <c r="B1272" s="35">
        <v>45732</v>
      </c>
      <c r="C1272" s="17" t="s">
        <v>12</v>
      </c>
      <c r="D1272" s="17" t="s">
        <v>2585</v>
      </c>
      <c r="E1272" s="17" t="s">
        <v>20</v>
      </c>
      <c r="F1272" s="17" t="s">
        <v>15</v>
      </c>
      <c r="G1272" s="17" t="s">
        <v>82</v>
      </c>
      <c r="H1272" s="17" t="s">
        <v>2593</v>
      </c>
      <c r="I1272" s="17" t="s">
        <v>30</v>
      </c>
      <c r="J1272" s="36">
        <v>3000</v>
      </c>
      <c r="K1272" s="36">
        <v>238.56</v>
      </c>
      <c r="L1272" s="36">
        <f t="shared" si="95"/>
        <v>-2761.44</v>
      </c>
      <c r="M1272" s="37">
        <f t="shared" si="96"/>
        <v>-0.92047999999999996</v>
      </c>
      <c r="N1272" s="17" t="str">
        <f t="shared" si="97"/>
        <v>Under Budget</v>
      </c>
      <c r="O1272" s="38">
        <f t="shared" si="98"/>
        <v>-238.56</v>
      </c>
      <c r="P1272" s="39">
        <f t="shared" si="99"/>
        <v>45717</v>
      </c>
    </row>
    <row r="1273" spans="1:16" ht="15.5" x14ac:dyDescent="0.35">
      <c r="A1273" s="17" t="s">
        <v>1321</v>
      </c>
      <c r="B1273" s="35">
        <v>46139</v>
      </c>
      <c r="C1273" s="17" t="s">
        <v>25</v>
      </c>
      <c r="D1273" s="17" t="s">
        <v>32</v>
      </c>
      <c r="E1273" s="17" t="s">
        <v>109</v>
      </c>
      <c r="F1273" s="17" t="s">
        <v>52</v>
      </c>
      <c r="G1273" s="17" t="s">
        <v>38</v>
      </c>
      <c r="H1273" s="17" t="s">
        <v>80</v>
      </c>
      <c r="I1273" s="17" t="s">
        <v>39</v>
      </c>
      <c r="J1273" s="36">
        <v>7142.86</v>
      </c>
      <c r="K1273" s="36">
        <v>16029.25</v>
      </c>
      <c r="L1273" s="36">
        <f t="shared" si="95"/>
        <v>8886.39</v>
      </c>
      <c r="M1273" s="37">
        <f t="shared" si="96"/>
        <v>1.2440941023623591</v>
      </c>
      <c r="N1273" s="17" t="str">
        <f t="shared" si="97"/>
        <v>Over Budget</v>
      </c>
      <c r="O1273" s="38">
        <f t="shared" si="98"/>
        <v>16029.25</v>
      </c>
      <c r="P1273" s="39">
        <f t="shared" si="99"/>
        <v>46113</v>
      </c>
    </row>
    <row r="1274" spans="1:16" ht="15.5" x14ac:dyDescent="0.35">
      <c r="A1274" s="17" t="s">
        <v>1322</v>
      </c>
      <c r="B1274" s="35">
        <v>45880</v>
      </c>
      <c r="C1274" s="17" t="s">
        <v>12</v>
      </c>
      <c r="D1274" s="17" t="s">
        <v>13</v>
      </c>
      <c r="E1274" s="17" t="s">
        <v>65</v>
      </c>
      <c r="F1274" s="17" t="s">
        <v>34</v>
      </c>
      <c r="G1274" s="17" t="s">
        <v>38</v>
      </c>
      <c r="H1274" s="17" t="s">
        <v>2587</v>
      </c>
      <c r="I1274" s="17" t="s">
        <v>23</v>
      </c>
      <c r="J1274" s="36">
        <v>3928.57</v>
      </c>
      <c r="K1274" s="36">
        <v>7895.43</v>
      </c>
      <c r="L1274" s="36">
        <f t="shared" si="95"/>
        <v>3966.86</v>
      </c>
      <c r="M1274" s="37">
        <f t="shared" si="96"/>
        <v>1.0097465489987452</v>
      </c>
      <c r="N1274" s="17" t="str">
        <f t="shared" si="97"/>
        <v>Over Budget</v>
      </c>
      <c r="O1274" s="38">
        <f t="shared" si="98"/>
        <v>-7895.43</v>
      </c>
      <c r="P1274" s="39">
        <f t="shared" si="99"/>
        <v>45870</v>
      </c>
    </row>
    <row r="1275" spans="1:16" ht="15.5" x14ac:dyDescent="0.35">
      <c r="A1275" s="17" t="s">
        <v>1323</v>
      </c>
      <c r="B1275" s="35">
        <v>45862</v>
      </c>
      <c r="C1275" s="17" t="s">
        <v>25</v>
      </c>
      <c r="D1275" s="17" t="s">
        <v>32</v>
      </c>
      <c r="E1275" s="17" t="s">
        <v>109</v>
      </c>
      <c r="F1275" s="17" t="s">
        <v>52</v>
      </c>
      <c r="G1275" s="17" t="s">
        <v>29</v>
      </c>
      <c r="H1275" s="17" t="s">
        <v>2597</v>
      </c>
      <c r="I1275" s="17" t="s">
        <v>23</v>
      </c>
      <c r="J1275" s="36">
        <v>7142.86</v>
      </c>
      <c r="K1275" s="36">
        <v>4754.37</v>
      </c>
      <c r="L1275" s="36">
        <f t="shared" si="95"/>
        <v>-2388.4899999999998</v>
      </c>
      <c r="M1275" s="37">
        <f t="shared" si="96"/>
        <v>-0.33438846624461349</v>
      </c>
      <c r="N1275" s="17" t="str">
        <f t="shared" si="97"/>
        <v>Under Budget</v>
      </c>
      <c r="O1275" s="38">
        <f t="shared" si="98"/>
        <v>4754.37</v>
      </c>
      <c r="P1275" s="39">
        <f t="shared" si="99"/>
        <v>45839</v>
      </c>
    </row>
    <row r="1276" spans="1:16" ht="15.5" x14ac:dyDescent="0.35">
      <c r="A1276" s="17" t="s">
        <v>1324</v>
      </c>
      <c r="B1276" s="35">
        <v>45995</v>
      </c>
      <c r="C1276" s="17" t="s">
        <v>12</v>
      </c>
      <c r="D1276" s="17" t="s">
        <v>19</v>
      </c>
      <c r="E1276" s="17" t="s">
        <v>45</v>
      </c>
      <c r="F1276" s="17" t="s">
        <v>34</v>
      </c>
      <c r="G1276" s="17" t="s">
        <v>43</v>
      </c>
      <c r="H1276" s="17" t="s">
        <v>2589</v>
      </c>
      <c r="I1276" s="17" t="s">
        <v>30</v>
      </c>
      <c r="J1276" s="36">
        <v>7875</v>
      </c>
      <c r="K1276" s="36">
        <v>2504.5</v>
      </c>
      <c r="L1276" s="36">
        <f t="shared" si="95"/>
        <v>-5370.5</v>
      </c>
      <c r="M1276" s="37">
        <f t="shared" si="96"/>
        <v>-0.681968253968254</v>
      </c>
      <c r="N1276" s="17" t="str">
        <f t="shared" si="97"/>
        <v>Under Budget</v>
      </c>
      <c r="O1276" s="38">
        <f t="shared" si="98"/>
        <v>-2504.5</v>
      </c>
      <c r="P1276" s="39">
        <f t="shared" si="99"/>
        <v>45992</v>
      </c>
    </row>
    <row r="1277" spans="1:16" ht="15.5" x14ac:dyDescent="0.35">
      <c r="A1277" s="17" t="s">
        <v>1325</v>
      </c>
      <c r="B1277" s="35">
        <v>46083</v>
      </c>
      <c r="C1277" s="17" t="s">
        <v>12</v>
      </c>
      <c r="D1277" s="17" t="s">
        <v>2584</v>
      </c>
      <c r="E1277" s="17" t="s">
        <v>20</v>
      </c>
      <c r="F1277" s="17" t="s">
        <v>34</v>
      </c>
      <c r="G1277" s="17" t="s">
        <v>22</v>
      </c>
      <c r="H1277" s="17" t="s">
        <v>2592</v>
      </c>
      <c r="I1277" s="17" t="s">
        <v>23</v>
      </c>
      <c r="J1277" s="36">
        <v>2571.4299999999998</v>
      </c>
      <c r="K1277" s="36">
        <v>1277.9100000000001</v>
      </c>
      <c r="L1277" s="36">
        <f t="shared" si="95"/>
        <v>-1293.5199999999998</v>
      </c>
      <c r="M1277" s="37">
        <f t="shared" si="96"/>
        <v>-0.50303527609151322</v>
      </c>
      <c r="N1277" s="17" t="str">
        <f t="shared" si="97"/>
        <v>Under Budget</v>
      </c>
      <c r="O1277" s="38">
        <f t="shared" si="98"/>
        <v>-1277.9100000000001</v>
      </c>
      <c r="P1277" s="39">
        <f t="shared" si="99"/>
        <v>46082</v>
      </c>
    </row>
    <row r="1278" spans="1:16" ht="15.5" x14ac:dyDescent="0.35">
      <c r="A1278" s="17" t="s">
        <v>1326</v>
      </c>
      <c r="B1278" s="35">
        <v>46198</v>
      </c>
      <c r="C1278" s="17" t="s">
        <v>25</v>
      </c>
      <c r="D1278" s="17" t="s">
        <v>32</v>
      </c>
      <c r="E1278" s="17" t="s">
        <v>33</v>
      </c>
      <c r="F1278" s="17" t="s">
        <v>34</v>
      </c>
      <c r="G1278" s="17" t="s">
        <v>43</v>
      </c>
      <c r="H1278" s="17" t="s">
        <v>2598</v>
      </c>
      <c r="I1278" s="17" t="s">
        <v>39</v>
      </c>
      <c r="J1278" s="36">
        <v>10000</v>
      </c>
      <c r="K1278" s="36">
        <v>468.1</v>
      </c>
      <c r="L1278" s="36">
        <f t="shared" si="95"/>
        <v>-9531.9</v>
      </c>
      <c r="M1278" s="37">
        <f t="shared" si="96"/>
        <v>-0.95318999999999998</v>
      </c>
      <c r="N1278" s="17" t="str">
        <f t="shared" si="97"/>
        <v>Under Budget</v>
      </c>
      <c r="O1278" s="38">
        <f t="shared" si="98"/>
        <v>468.1</v>
      </c>
      <c r="P1278" s="39">
        <f t="shared" si="99"/>
        <v>46174</v>
      </c>
    </row>
    <row r="1279" spans="1:16" ht="15.5" x14ac:dyDescent="0.35">
      <c r="A1279" s="17" t="s">
        <v>1327</v>
      </c>
      <c r="B1279" s="35">
        <v>45678</v>
      </c>
      <c r="C1279" s="17" t="s">
        <v>25</v>
      </c>
      <c r="D1279" s="17" t="s">
        <v>26</v>
      </c>
      <c r="E1279" s="17" t="s">
        <v>33</v>
      </c>
      <c r="F1279" s="17" t="s">
        <v>21</v>
      </c>
      <c r="G1279" s="17" t="s">
        <v>43</v>
      </c>
      <c r="H1279" s="17" t="s">
        <v>2591</v>
      </c>
      <c r="I1279" s="17" t="s">
        <v>39</v>
      </c>
      <c r="J1279" s="36">
        <v>11022.73</v>
      </c>
      <c r="K1279" s="36">
        <v>20151.34</v>
      </c>
      <c r="L1279" s="36">
        <f t="shared" si="95"/>
        <v>9128.61</v>
      </c>
      <c r="M1279" s="37">
        <f t="shared" si="96"/>
        <v>0.82816235179488207</v>
      </c>
      <c r="N1279" s="17" t="str">
        <f t="shared" si="97"/>
        <v>Over Budget</v>
      </c>
      <c r="O1279" s="38">
        <f t="shared" si="98"/>
        <v>20151.34</v>
      </c>
      <c r="P1279" s="39">
        <f t="shared" si="99"/>
        <v>45658</v>
      </c>
    </row>
    <row r="1280" spans="1:16" ht="15.5" x14ac:dyDescent="0.35">
      <c r="A1280" s="17" t="s">
        <v>1328</v>
      </c>
      <c r="B1280" s="35">
        <v>46065</v>
      </c>
      <c r="C1280" s="17" t="s">
        <v>12</v>
      </c>
      <c r="D1280" s="17" t="s">
        <v>36</v>
      </c>
      <c r="E1280" s="17" t="s">
        <v>41</v>
      </c>
      <c r="F1280" s="17" t="s">
        <v>28</v>
      </c>
      <c r="G1280" s="17" t="s">
        <v>22</v>
      </c>
      <c r="H1280" s="17" t="s">
        <v>2586</v>
      </c>
      <c r="I1280" s="17" t="s">
        <v>17</v>
      </c>
      <c r="J1280" s="36">
        <v>6305</v>
      </c>
      <c r="K1280" s="36">
        <v>3101.08</v>
      </c>
      <c r="L1280" s="36">
        <f t="shared" si="95"/>
        <v>-3203.92</v>
      </c>
      <c r="M1280" s="37">
        <f t="shared" si="96"/>
        <v>-0.50815543219666937</v>
      </c>
      <c r="N1280" s="17" t="str">
        <f t="shared" si="97"/>
        <v>Under Budget</v>
      </c>
      <c r="O1280" s="38">
        <f t="shared" si="98"/>
        <v>-3101.08</v>
      </c>
      <c r="P1280" s="39">
        <f t="shared" si="99"/>
        <v>46054</v>
      </c>
    </row>
    <row r="1281" spans="1:16" ht="15.5" x14ac:dyDescent="0.35">
      <c r="A1281" s="17" t="s">
        <v>1329</v>
      </c>
      <c r="B1281" s="35">
        <v>45888</v>
      </c>
      <c r="C1281" s="17" t="s">
        <v>25</v>
      </c>
      <c r="D1281" s="17" t="s">
        <v>2583</v>
      </c>
      <c r="E1281" s="17" t="s">
        <v>27</v>
      </c>
      <c r="F1281" s="17" t="s">
        <v>52</v>
      </c>
      <c r="G1281" s="17" t="s">
        <v>38</v>
      </c>
      <c r="H1281" s="17" t="s">
        <v>2594</v>
      </c>
      <c r="I1281" s="17" t="s">
        <v>48</v>
      </c>
      <c r="J1281" s="36">
        <v>13333.33</v>
      </c>
      <c r="K1281" s="36">
        <v>6584.65</v>
      </c>
      <c r="L1281" s="36">
        <f t="shared" si="95"/>
        <v>-6748.68</v>
      </c>
      <c r="M1281" s="37">
        <f t="shared" si="96"/>
        <v>-0.5061511265377816</v>
      </c>
      <c r="N1281" s="17" t="str">
        <f t="shared" si="97"/>
        <v>Under Budget</v>
      </c>
      <c r="O1281" s="38">
        <f t="shared" si="98"/>
        <v>6584.65</v>
      </c>
      <c r="P1281" s="39">
        <f t="shared" si="99"/>
        <v>45870</v>
      </c>
    </row>
    <row r="1282" spans="1:16" ht="15.5" x14ac:dyDescent="0.35">
      <c r="A1282" s="17" t="s">
        <v>1330</v>
      </c>
      <c r="B1282" s="35">
        <v>46202</v>
      </c>
      <c r="C1282" s="17" t="s">
        <v>25</v>
      </c>
      <c r="D1282" s="17" t="s">
        <v>32</v>
      </c>
      <c r="E1282" s="17" t="s">
        <v>33</v>
      </c>
      <c r="F1282" s="17" t="s">
        <v>21</v>
      </c>
      <c r="G1282" s="17" t="s">
        <v>38</v>
      </c>
      <c r="H1282" s="17" t="s">
        <v>2589</v>
      </c>
      <c r="I1282" s="17" t="s">
        <v>48</v>
      </c>
      <c r="J1282" s="36">
        <v>10000</v>
      </c>
      <c r="K1282" s="36">
        <v>8115.17</v>
      </c>
      <c r="L1282" s="36">
        <f t="shared" si="95"/>
        <v>-1884.83</v>
      </c>
      <c r="M1282" s="37">
        <f t="shared" si="96"/>
        <v>-0.18848299999999998</v>
      </c>
      <c r="N1282" s="17" t="str">
        <f t="shared" si="97"/>
        <v>Under Budget</v>
      </c>
      <c r="O1282" s="38">
        <f t="shared" si="98"/>
        <v>8115.17</v>
      </c>
      <c r="P1282" s="39">
        <f t="shared" si="99"/>
        <v>46174</v>
      </c>
    </row>
    <row r="1283" spans="1:16" ht="15.5" x14ac:dyDescent="0.35">
      <c r="A1283" s="17" t="s">
        <v>1331</v>
      </c>
      <c r="B1283" s="35">
        <v>46099</v>
      </c>
      <c r="C1283" s="17" t="s">
        <v>12</v>
      </c>
      <c r="D1283" s="17" t="s">
        <v>19</v>
      </c>
      <c r="E1283" s="17" t="s">
        <v>51</v>
      </c>
      <c r="F1283" s="17" t="s">
        <v>28</v>
      </c>
      <c r="G1283" s="17" t="s">
        <v>43</v>
      </c>
      <c r="H1283" s="17" t="s">
        <v>2597</v>
      </c>
      <c r="I1283" s="17" t="s">
        <v>48</v>
      </c>
      <c r="J1283" s="36">
        <v>6000</v>
      </c>
      <c r="K1283" s="36">
        <v>7326.2</v>
      </c>
      <c r="L1283" s="36">
        <f t="shared" ref="L1283:L1346" si="100">K1283-J1283</f>
        <v>1326.1999999999998</v>
      </c>
      <c r="M1283" s="37">
        <f t="shared" ref="M1283:M1346" si="101">IF(J1283=0,0,L1283/J1283)</f>
        <v>0.2210333333333333</v>
      </c>
      <c r="N1283" s="17" t="str">
        <f t="shared" ref="N1283:N1346" si="102">IF(J1283=0,"No Budget",IF(K1283&gt;J1283,"Over Budget",IF(K1283&lt;J1283,"Under Budget","On Budget")))</f>
        <v>Over Budget</v>
      </c>
      <c r="O1283" s="38">
        <f t="shared" ref="O1283:O1346" si="103">IF(C1283="Revenue",K1283,-K1283)</f>
        <v>-7326.2</v>
      </c>
      <c r="P1283" s="39">
        <f t="shared" ref="P1283:P1346" si="104">DATE(YEAR(B1283),MONTH(B1283),1)</f>
        <v>46082</v>
      </c>
    </row>
    <row r="1284" spans="1:16" ht="15.5" x14ac:dyDescent="0.35">
      <c r="A1284" s="17" t="s">
        <v>1332</v>
      </c>
      <c r="B1284" s="35">
        <v>45712</v>
      </c>
      <c r="C1284" s="17" t="s">
        <v>12</v>
      </c>
      <c r="D1284" s="17" t="s">
        <v>19</v>
      </c>
      <c r="E1284" s="17" t="s">
        <v>20</v>
      </c>
      <c r="F1284" s="17" t="s">
        <v>15</v>
      </c>
      <c r="G1284" s="17" t="s">
        <v>38</v>
      </c>
      <c r="H1284" s="17" t="s">
        <v>80</v>
      </c>
      <c r="I1284" s="17" t="s">
        <v>23</v>
      </c>
      <c r="J1284" s="36">
        <v>1940</v>
      </c>
      <c r="K1284" s="36">
        <v>1514.3</v>
      </c>
      <c r="L1284" s="36">
        <f t="shared" si="100"/>
        <v>-425.70000000000005</v>
      </c>
      <c r="M1284" s="37">
        <f t="shared" si="101"/>
        <v>-0.21943298969072167</v>
      </c>
      <c r="N1284" s="17" t="str">
        <f t="shared" si="102"/>
        <v>Under Budget</v>
      </c>
      <c r="O1284" s="38">
        <f t="shared" si="103"/>
        <v>-1514.3</v>
      </c>
      <c r="P1284" s="39">
        <f t="shared" si="104"/>
        <v>45689</v>
      </c>
    </row>
    <row r="1285" spans="1:16" ht="15.5" x14ac:dyDescent="0.35">
      <c r="A1285" s="17" t="s">
        <v>1333</v>
      </c>
      <c r="B1285" s="35">
        <v>46115</v>
      </c>
      <c r="C1285" s="17" t="s">
        <v>12</v>
      </c>
      <c r="D1285" s="17" t="s">
        <v>26</v>
      </c>
      <c r="E1285" s="17" t="s">
        <v>37</v>
      </c>
      <c r="F1285" s="17" t="s">
        <v>52</v>
      </c>
      <c r="G1285" s="17" t="s">
        <v>43</v>
      </c>
      <c r="H1285" s="17" t="s">
        <v>2589</v>
      </c>
      <c r="I1285" s="17" t="s">
        <v>30</v>
      </c>
      <c r="J1285" s="36">
        <v>5600</v>
      </c>
      <c r="K1285" s="36">
        <v>2783.34</v>
      </c>
      <c r="L1285" s="36">
        <f t="shared" si="100"/>
        <v>-2816.66</v>
      </c>
      <c r="M1285" s="37">
        <f t="shared" si="101"/>
        <v>-0.50297499999999995</v>
      </c>
      <c r="N1285" s="17" t="str">
        <f t="shared" si="102"/>
        <v>Under Budget</v>
      </c>
      <c r="O1285" s="38">
        <f t="shared" si="103"/>
        <v>-2783.34</v>
      </c>
      <c r="P1285" s="39">
        <f t="shared" si="104"/>
        <v>46113</v>
      </c>
    </row>
    <row r="1286" spans="1:16" ht="15.5" x14ac:dyDescent="0.35">
      <c r="A1286" s="17" t="s">
        <v>1334</v>
      </c>
      <c r="B1286" s="35">
        <v>46118</v>
      </c>
      <c r="C1286" s="17" t="s">
        <v>25</v>
      </c>
      <c r="D1286" s="17" t="s">
        <v>32</v>
      </c>
      <c r="E1286" s="17" t="s">
        <v>33</v>
      </c>
      <c r="F1286" s="17" t="s">
        <v>34</v>
      </c>
      <c r="G1286" s="17" t="s">
        <v>38</v>
      </c>
      <c r="H1286" s="17" t="s">
        <v>2592</v>
      </c>
      <c r="I1286" s="17" t="s">
        <v>30</v>
      </c>
      <c r="J1286" s="36">
        <v>8333.33</v>
      </c>
      <c r="K1286" s="36">
        <v>18706.7</v>
      </c>
      <c r="L1286" s="36">
        <f t="shared" si="100"/>
        <v>10373.370000000001</v>
      </c>
      <c r="M1286" s="37">
        <f t="shared" si="101"/>
        <v>1.2448048979219593</v>
      </c>
      <c r="N1286" s="17" t="str">
        <f t="shared" si="102"/>
        <v>Over Budget</v>
      </c>
      <c r="O1286" s="38">
        <f t="shared" si="103"/>
        <v>18706.7</v>
      </c>
      <c r="P1286" s="39">
        <f t="shared" si="104"/>
        <v>46113</v>
      </c>
    </row>
    <row r="1287" spans="1:16" ht="15.5" x14ac:dyDescent="0.35">
      <c r="A1287" s="17" t="s">
        <v>1335</v>
      </c>
      <c r="B1287" s="35">
        <v>46006</v>
      </c>
      <c r="C1287" s="17" t="s">
        <v>12</v>
      </c>
      <c r="D1287" s="17" t="s">
        <v>19</v>
      </c>
      <c r="E1287" s="17" t="s">
        <v>37</v>
      </c>
      <c r="F1287" s="17" t="s">
        <v>52</v>
      </c>
      <c r="G1287" s="17" t="s">
        <v>82</v>
      </c>
      <c r="H1287" s="17" t="s">
        <v>2591</v>
      </c>
      <c r="I1287" s="17" t="s">
        <v>30</v>
      </c>
      <c r="J1287" s="36">
        <v>9800</v>
      </c>
      <c r="K1287" s="36">
        <v>762.38</v>
      </c>
      <c r="L1287" s="36">
        <f t="shared" si="100"/>
        <v>-9037.6200000000008</v>
      </c>
      <c r="M1287" s="37">
        <f t="shared" si="101"/>
        <v>-0.9222061224489797</v>
      </c>
      <c r="N1287" s="17" t="str">
        <f t="shared" si="102"/>
        <v>Under Budget</v>
      </c>
      <c r="O1287" s="38">
        <f t="shared" si="103"/>
        <v>-762.38</v>
      </c>
      <c r="P1287" s="39">
        <f t="shared" si="104"/>
        <v>45992</v>
      </c>
    </row>
    <row r="1288" spans="1:16" ht="15.5" x14ac:dyDescent="0.35">
      <c r="A1288" s="17" t="s">
        <v>1336</v>
      </c>
      <c r="B1288" s="35">
        <v>45813</v>
      </c>
      <c r="C1288" s="17" t="s">
        <v>25</v>
      </c>
      <c r="D1288" s="17" t="s">
        <v>2585</v>
      </c>
      <c r="E1288" s="17" t="s">
        <v>33</v>
      </c>
      <c r="F1288" s="17" t="s">
        <v>28</v>
      </c>
      <c r="G1288" s="17" t="s">
        <v>38</v>
      </c>
      <c r="H1288" s="17" t="s">
        <v>2595</v>
      </c>
      <c r="I1288" s="17" t="s">
        <v>39</v>
      </c>
      <c r="J1288" s="36">
        <v>9615.3799999999992</v>
      </c>
      <c r="K1288" s="36">
        <v>21211.4</v>
      </c>
      <c r="L1288" s="36">
        <f t="shared" si="100"/>
        <v>11596.020000000002</v>
      </c>
      <c r="M1288" s="37">
        <f t="shared" si="101"/>
        <v>1.2059866588735966</v>
      </c>
      <c r="N1288" s="17" t="str">
        <f t="shared" si="102"/>
        <v>Over Budget</v>
      </c>
      <c r="O1288" s="38">
        <f t="shared" si="103"/>
        <v>21211.4</v>
      </c>
      <c r="P1288" s="39">
        <f t="shared" si="104"/>
        <v>45809</v>
      </c>
    </row>
    <row r="1289" spans="1:16" ht="15.5" x14ac:dyDescent="0.35">
      <c r="A1289" s="17" t="s">
        <v>1337</v>
      </c>
      <c r="B1289" s="35">
        <v>45912</v>
      </c>
      <c r="C1289" s="17" t="s">
        <v>12</v>
      </c>
      <c r="D1289" s="17" t="s">
        <v>19</v>
      </c>
      <c r="E1289" s="17" t="s">
        <v>47</v>
      </c>
      <c r="F1289" s="17" t="s">
        <v>34</v>
      </c>
      <c r="G1289" s="17" t="s">
        <v>43</v>
      </c>
      <c r="H1289" s="17" t="s">
        <v>2586</v>
      </c>
      <c r="I1289" s="17" t="s">
        <v>39</v>
      </c>
      <c r="J1289" s="36">
        <v>3500</v>
      </c>
      <c r="K1289" s="36">
        <v>1300.49</v>
      </c>
      <c r="L1289" s="36">
        <f t="shared" si="100"/>
        <v>-2199.5100000000002</v>
      </c>
      <c r="M1289" s="37">
        <f t="shared" si="101"/>
        <v>-0.62843142857142864</v>
      </c>
      <c r="N1289" s="17" t="str">
        <f t="shared" si="102"/>
        <v>Under Budget</v>
      </c>
      <c r="O1289" s="38">
        <f t="shared" si="103"/>
        <v>-1300.49</v>
      </c>
      <c r="P1289" s="39">
        <f t="shared" si="104"/>
        <v>45901</v>
      </c>
    </row>
    <row r="1290" spans="1:16" ht="15.5" x14ac:dyDescent="0.35">
      <c r="A1290" s="17" t="s">
        <v>1338</v>
      </c>
      <c r="B1290" s="35">
        <v>45852</v>
      </c>
      <c r="C1290" s="17" t="s">
        <v>12</v>
      </c>
      <c r="D1290" s="17" t="s">
        <v>36</v>
      </c>
      <c r="E1290" s="17" t="s">
        <v>47</v>
      </c>
      <c r="F1290" s="17" t="s">
        <v>52</v>
      </c>
      <c r="G1290" s="17" t="s">
        <v>38</v>
      </c>
      <c r="H1290" s="17" t="s">
        <v>80</v>
      </c>
      <c r="I1290" s="17" t="s">
        <v>48</v>
      </c>
      <c r="J1290" s="36">
        <v>8750</v>
      </c>
      <c r="K1290" s="36">
        <v>3545.73</v>
      </c>
      <c r="L1290" s="36">
        <f t="shared" si="100"/>
        <v>-5204.2700000000004</v>
      </c>
      <c r="M1290" s="37">
        <f t="shared" si="101"/>
        <v>-0.59477371428571435</v>
      </c>
      <c r="N1290" s="17" t="str">
        <f t="shared" si="102"/>
        <v>Under Budget</v>
      </c>
      <c r="O1290" s="38">
        <f t="shared" si="103"/>
        <v>-3545.73</v>
      </c>
      <c r="P1290" s="39">
        <f t="shared" si="104"/>
        <v>45839</v>
      </c>
    </row>
    <row r="1291" spans="1:16" ht="15.5" x14ac:dyDescent="0.35">
      <c r="A1291" s="17" t="s">
        <v>1339</v>
      </c>
      <c r="B1291" s="35">
        <v>45998</v>
      </c>
      <c r="C1291" s="17" t="s">
        <v>12</v>
      </c>
      <c r="D1291" s="17" t="s">
        <v>19</v>
      </c>
      <c r="E1291" s="17" t="s">
        <v>41</v>
      </c>
      <c r="F1291" s="17" t="s">
        <v>34</v>
      </c>
      <c r="G1291" s="17" t="s">
        <v>29</v>
      </c>
      <c r="H1291" s="17" t="s">
        <v>2588</v>
      </c>
      <c r="I1291" s="17" t="s">
        <v>48</v>
      </c>
      <c r="J1291" s="36">
        <v>5250</v>
      </c>
      <c r="K1291" s="36">
        <v>5790.69</v>
      </c>
      <c r="L1291" s="36">
        <f t="shared" si="100"/>
        <v>540.6899999999996</v>
      </c>
      <c r="M1291" s="37">
        <f t="shared" si="101"/>
        <v>0.10298857142857135</v>
      </c>
      <c r="N1291" s="17" t="str">
        <f t="shared" si="102"/>
        <v>Over Budget</v>
      </c>
      <c r="O1291" s="38">
        <f t="shared" si="103"/>
        <v>-5790.69</v>
      </c>
      <c r="P1291" s="39">
        <f t="shared" si="104"/>
        <v>45992</v>
      </c>
    </row>
    <row r="1292" spans="1:16" ht="15.5" x14ac:dyDescent="0.35">
      <c r="A1292" s="17" t="s">
        <v>1340</v>
      </c>
      <c r="B1292" s="35">
        <v>46149</v>
      </c>
      <c r="C1292" s="17" t="s">
        <v>12</v>
      </c>
      <c r="D1292" s="17" t="s">
        <v>2585</v>
      </c>
      <c r="E1292" s="17" t="s">
        <v>45</v>
      </c>
      <c r="F1292" s="17" t="s">
        <v>52</v>
      </c>
      <c r="G1292" s="17" t="s">
        <v>38</v>
      </c>
      <c r="H1292" s="17" t="s">
        <v>2596</v>
      </c>
      <c r="I1292" s="17" t="s">
        <v>23</v>
      </c>
      <c r="J1292" s="36">
        <v>16363.64</v>
      </c>
      <c r="K1292" s="36">
        <v>4550.67</v>
      </c>
      <c r="L1292" s="36">
        <f t="shared" si="100"/>
        <v>-11812.97</v>
      </c>
      <c r="M1292" s="37">
        <f t="shared" si="101"/>
        <v>-0.72190356179920845</v>
      </c>
      <c r="N1292" s="17" t="str">
        <f t="shared" si="102"/>
        <v>Under Budget</v>
      </c>
      <c r="O1292" s="38">
        <f t="shared" si="103"/>
        <v>-4550.67</v>
      </c>
      <c r="P1292" s="39">
        <f t="shared" si="104"/>
        <v>46143</v>
      </c>
    </row>
    <row r="1293" spans="1:16" ht="15.5" x14ac:dyDescent="0.35">
      <c r="A1293" s="17" t="s">
        <v>1341</v>
      </c>
      <c r="B1293" s="35">
        <v>45912</v>
      </c>
      <c r="C1293" s="17" t="s">
        <v>12</v>
      </c>
      <c r="D1293" s="17" t="s">
        <v>19</v>
      </c>
      <c r="E1293" s="17" t="s">
        <v>20</v>
      </c>
      <c r="F1293" s="17" t="s">
        <v>52</v>
      </c>
      <c r="G1293" s="17" t="s">
        <v>38</v>
      </c>
      <c r="H1293" s="17" t="s">
        <v>2594</v>
      </c>
      <c r="I1293" s="17" t="s">
        <v>30</v>
      </c>
      <c r="J1293" s="36">
        <v>3600</v>
      </c>
      <c r="K1293" s="36">
        <v>1022.32</v>
      </c>
      <c r="L1293" s="36">
        <f t="shared" si="100"/>
        <v>-2577.6799999999998</v>
      </c>
      <c r="M1293" s="37">
        <f t="shared" si="101"/>
        <v>-0.71602222222222223</v>
      </c>
      <c r="N1293" s="17" t="str">
        <f t="shared" si="102"/>
        <v>Under Budget</v>
      </c>
      <c r="O1293" s="38">
        <f t="shared" si="103"/>
        <v>-1022.32</v>
      </c>
      <c r="P1293" s="39">
        <f t="shared" si="104"/>
        <v>45901</v>
      </c>
    </row>
    <row r="1294" spans="1:16" ht="15.5" x14ac:dyDescent="0.35">
      <c r="A1294" s="17" t="s">
        <v>1342</v>
      </c>
      <c r="B1294" s="35">
        <v>45947</v>
      </c>
      <c r="C1294" s="17" t="s">
        <v>12</v>
      </c>
      <c r="D1294" s="17" t="s">
        <v>13</v>
      </c>
      <c r="E1294" s="17" t="s">
        <v>65</v>
      </c>
      <c r="F1294" s="17" t="s">
        <v>15</v>
      </c>
      <c r="G1294" s="17" t="s">
        <v>38</v>
      </c>
      <c r="H1294" s="17" t="s">
        <v>2592</v>
      </c>
      <c r="I1294" s="17" t="s">
        <v>30</v>
      </c>
      <c r="J1294" s="36">
        <v>3928.57</v>
      </c>
      <c r="K1294" s="36">
        <v>7016.62</v>
      </c>
      <c r="L1294" s="36">
        <f t="shared" si="100"/>
        <v>3088.0499999999997</v>
      </c>
      <c r="M1294" s="37">
        <f t="shared" si="101"/>
        <v>0.78604937674522779</v>
      </c>
      <c r="N1294" s="17" t="str">
        <f t="shared" si="102"/>
        <v>Over Budget</v>
      </c>
      <c r="O1294" s="38">
        <f t="shared" si="103"/>
        <v>-7016.62</v>
      </c>
      <c r="P1294" s="39">
        <f t="shared" si="104"/>
        <v>45931</v>
      </c>
    </row>
    <row r="1295" spans="1:16" ht="15.5" x14ac:dyDescent="0.35">
      <c r="A1295" s="17" t="s">
        <v>1343</v>
      </c>
      <c r="B1295" s="35">
        <v>45681</v>
      </c>
      <c r="C1295" s="17" t="s">
        <v>12</v>
      </c>
      <c r="D1295" s="17" t="s">
        <v>2585</v>
      </c>
      <c r="E1295" s="17" t="s">
        <v>47</v>
      </c>
      <c r="F1295" s="17" t="s">
        <v>21</v>
      </c>
      <c r="G1295" s="17" t="s">
        <v>38</v>
      </c>
      <c r="H1295" s="17" t="s">
        <v>2594</v>
      </c>
      <c r="I1295" s="17" t="s">
        <v>48</v>
      </c>
      <c r="J1295" s="36">
        <v>5658.33</v>
      </c>
      <c r="K1295" s="36">
        <v>1860.95</v>
      </c>
      <c r="L1295" s="36">
        <f t="shared" si="100"/>
        <v>-3797.38</v>
      </c>
      <c r="M1295" s="37">
        <f t="shared" si="101"/>
        <v>-0.67111320831411392</v>
      </c>
      <c r="N1295" s="17" t="str">
        <f t="shared" si="102"/>
        <v>Under Budget</v>
      </c>
      <c r="O1295" s="38">
        <f t="shared" si="103"/>
        <v>-1860.95</v>
      </c>
      <c r="P1295" s="39">
        <f t="shared" si="104"/>
        <v>45658</v>
      </c>
    </row>
    <row r="1296" spans="1:16" ht="15.5" x14ac:dyDescent="0.35">
      <c r="A1296" s="17" t="s">
        <v>1344</v>
      </c>
      <c r="B1296" s="35">
        <v>45799</v>
      </c>
      <c r="C1296" s="17" t="s">
        <v>12</v>
      </c>
      <c r="D1296" s="17" t="s">
        <v>13</v>
      </c>
      <c r="E1296" s="17" t="s">
        <v>37</v>
      </c>
      <c r="F1296" s="17" t="s">
        <v>34</v>
      </c>
      <c r="G1296" s="17" t="s">
        <v>43</v>
      </c>
      <c r="H1296" s="17" t="s">
        <v>2588</v>
      </c>
      <c r="I1296" s="17" t="s">
        <v>39</v>
      </c>
      <c r="J1296" s="36">
        <v>4000</v>
      </c>
      <c r="K1296" s="36">
        <v>1739.71</v>
      </c>
      <c r="L1296" s="36">
        <f t="shared" si="100"/>
        <v>-2260.29</v>
      </c>
      <c r="M1296" s="37">
        <f t="shared" si="101"/>
        <v>-0.56507249999999998</v>
      </c>
      <c r="N1296" s="17" t="str">
        <f t="shared" si="102"/>
        <v>Under Budget</v>
      </c>
      <c r="O1296" s="38">
        <f t="shared" si="103"/>
        <v>-1739.71</v>
      </c>
      <c r="P1296" s="39">
        <f t="shared" si="104"/>
        <v>45778</v>
      </c>
    </row>
    <row r="1297" spans="1:16" ht="15.5" x14ac:dyDescent="0.35">
      <c r="A1297" s="17" t="s">
        <v>1345</v>
      </c>
      <c r="B1297" s="35">
        <v>45894</v>
      </c>
      <c r="C1297" s="17" t="s">
        <v>12</v>
      </c>
      <c r="D1297" s="17" t="s">
        <v>13</v>
      </c>
      <c r="E1297" s="17" t="s">
        <v>45</v>
      </c>
      <c r="F1297" s="17" t="s">
        <v>52</v>
      </c>
      <c r="G1297" s="17" t="s">
        <v>16</v>
      </c>
      <c r="H1297" s="17" t="s">
        <v>2596</v>
      </c>
      <c r="I1297" s="17" t="s">
        <v>48</v>
      </c>
      <c r="J1297" s="36">
        <v>8181.82</v>
      </c>
      <c r="K1297" s="36">
        <v>2126.4299999999998</v>
      </c>
      <c r="L1297" s="36">
        <f t="shared" si="100"/>
        <v>-6055.3899999999994</v>
      </c>
      <c r="M1297" s="37">
        <f t="shared" si="101"/>
        <v>-0.74010305775487606</v>
      </c>
      <c r="N1297" s="17" t="str">
        <f t="shared" si="102"/>
        <v>Under Budget</v>
      </c>
      <c r="O1297" s="38">
        <f t="shared" si="103"/>
        <v>-2126.4299999999998</v>
      </c>
      <c r="P1297" s="39">
        <f t="shared" si="104"/>
        <v>45870</v>
      </c>
    </row>
    <row r="1298" spans="1:16" ht="15.5" x14ac:dyDescent="0.35">
      <c r="A1298" s="17" t="s">
        <v>1346</v>
      </c>
      <c r="B1298" s="35">
        <v>45671</v>
      </c>
      <c r="C1298" s="17" t="s">
        <v>12</v>
      </c>
      <c r="D1298" s="17" t="s">
        <v>32</v>
      </c>
      <c r="E1298" s="17" t="s">
        <v>45</v>
      </c>
      <c r="F1298" s="17" t="s">
        <v>52</v>
      </c>
      <c r="G1298" s="17" t="s">
        <v>43</v>
      </c>
      <c r="H1298" s="17" t="s">
        <v>2595</v>
      </c>
      <c r="I1298" s="17" t="s">
        <v>17</v>
      </c>
      <c r="J1298" s="36">
        <v>7591.3</v>
      </c>
      <c r="K1298" s="36">
        <v>2715.61</v>
      </c>
      <c r="L1298" s="36">
        <f t="shared" si="100"/>
        <v>-4875.6900000000005</v>
      </c>
      <c r="M1298" s="37">
        <f t="shared" si="101"/>
        <v>-0.64227339190915922</v>
      </c>
      <c r="N1298" s="17" t="str">
        <f t="shared" si="102"/>
        <v>Under Budget</v>
      </c>
      <c r="O1298" s="38">
        <f t="shared" si="103"/>
        <v>-2715.61</v>
      </c>
      <c r="P1298" s="39">
        <f t="shared" si="104"/>
        <v>45658</v>
      </c>
    </row>
    <row r="1299" spans="1:16" ht="15.5" x14ac:dyDescent="0.35">
      <c r="A1299" s="17" t="s">
        <v>1347</v>
      </c>
      <c r="B1299" s="35">
        <v>46061</v>
      </c>
      <c r="C1299" s="17" t="s">
        <v>25</v>
      </c>
      <c r="D1299" s="17" t="s">
        <v>32</v>
      </c>
      <c r="E1299" s="17" t="s">
        <v>109</v>
      </c>
      <c r="F1299" s="17" t="s">
        <v>34</v>
      </c>
      <c r="G1299" s="17" t="s">
        <v>38</v>
      </c>
      <c r="H1299" s="17" t="s">
        <v>2588</v>
      </c>
      <c r="I1299" s="17" t="s">
        <v>30</v>
      </c>
      <c r="J1299" s="36">
        <v>8083.33</v>
      </c>
      <c r="K1299" s="36">
        <v>12431.52</v>
      </c>
      <c r="L1299" s="36">
        <f t="shared" si="100"/>
        <v>4348.1900000000005</v>
      </c>
      <c r="M1299" s="37">
        <f t="shared" si="101"/>
        <v>0.53792063419407599</v>
      </c>
      <c r="N1299" s="17" t="str">
        <f t="shared" si="102"/>
        <v>Over Budget</v>
      </c>
      <c r="O1299" s="38">
        <f t="shared" si="103"/>
        <v>12431.52</v>
      </c>
      <c r="P1299" s="39">
        <f t="shared" si="104"/>
        <v>46054</v>
      </c>
    </row>
    <row r="1300" spans="1:16" ht="15.5" x14ac:dyDescent="0.35">
      <c r="A1300" s="17" t="s">
        <v>1348</v>
      </c>
      <c r="B1300" s="35">
        <v>45887</v>
      </c>
      <c r="C1300" s="17" t="s">
        <v>25</v>
      </c>
      <c r="D1300" s="17" t="s">
        <v>26</v>
      </c>
      <c r="E1300" s="17" t="s">
        <v>109</v>
      </c>
      <c r="F1300" s="17" t="s">
        <v>52</v>
      </c>
      <c r="G1300" s="17" t="s">
        <v>43</v>
      </c>
      <c r="H1300" s="17" t="s">
        <v>2586</v>
      </c>
      <c r="I1300" s="17" t="s">
        <v>30</v>
      </c>
      <c r="J1300" s="36">
        <v>7142.86</v>
      </c>
      <c r="K1300" s="36">
        <v>3005.65</v>
      </c>
      <c r="L1300" s="36">
        <f t="shared" si="100"/>
        <v>-4137.2099999999991</v>
      </c>
      <c r="M1300" s="37">
        <f t="shared" si="101"/>
        <v>-0.57920916831633262</v>
      </c>
      <c r="N1300" s="17" t="str">
        <f t="shared" si="102"/>
        <v>Under Budget</v>
      </c>
      <c r="O1300" s="38">
        <f t="shared" si="103"/>
        <v>3005.65</v>
      </c>
      <c r="P1300" s="39">
        <f t="shared" si="104"/>
        <v>45870</v>
      </c>
    </row>
    <row r="1301" spans="1:16" ht="15.5" x14ac:dyDescent="0.35">
      <c r="A1301" s="17" t="s">
        <v>1349</v>
      </c>
      <c r="B1301" s="35">
        <v>45984</v>
      </c>
      <c r="C1301" s="17" t="s">
        <v>12</v>
      </c>
      <c r="D1301" s="17" t="s">
        <v>2584</v>
      </c>
      <c r="E1301" s="17" t="s">
        <v>77</v>
      </c>
      <c r="F1301" s="17" t="s">
        <v>28</v>
      </c>
      <c r="G1301" s="17" t="s">
        <v>82</v>
      </c>
      <c r="H1301" s="17" t="s">
        <v>2588</v>
      </c>
      <c r="I1301" s="17" t="s">
        <v>30</v>
      </c>
      <c r="J1301" s="36">
        <v>2310</v>
      </c>
      <c r="K1301" s="36">
        <v>405.85</v>
      </c>
      <c r="L1301" s="36">
        <f t="shared" si="100"/>
        <v>-1904.15</v>
      </c>
      <c r="M1301" s="37">
        <f t="shared" si="101"/>
        <v>-0.82430735930735932</v>
      </c>
      <c r="N1301" s="17" t="str">
        <f t="shared" si="102"/>
        <v>Under Budget</v>
      </c>
      <c r="O1301" s="38">
        <f t="shared" si="103"/>
        <v>-405.85</v>
      </c>
      <c r="P1301" s="39">
        <f t="shared" si="104"/>
        <v>45962</v>
      </c>
    </row>
    <row r="1302" spans="1:16" ht="15.5" x14ac:dyDescent="0.35">
      <c r="A1302" s="17" t="s">
        <v>1350</v>
      </c>
      <c r="B1302" s="35">
        <v>45973</v>
      </c>
      <c r="C1302" s="17" t="s">
        <v>25</v>
      </c>
      <c r="D1302" s="17" t="s">
        <v>36</v>
      </c>
      <c r="E1302" s="17" t="s">
        <v>109</v>
      </c>
      <c r="F1302" s="17" t="s">
        <v>52</v>
      </c>
      <c r="G1302" s="17" t="s">
        <v>16</v>
      </c>
      <c r="H1302" s="17" t="s">
        <v>80</v>
      </c>
      <c r="I1302" s="17" t="s">
        <v>39</v>
      </c>
      <c r="J1302" s="36">
        <v>9545.4500000000007</v>
      </c>
      <c r="K1302" s="36">
        <v>4173.7</v>
      </c>
      <c r="L1302" s="36">
        <f t="shared" si="100"/>
        <v>-5371.7500000000009</v>
      </c>
      <c r="M1302" s="37">
        <f t="shared" si="101"/>
        <v>-0.56275502988334758</v>
      </c>
      <c r="N1302" s="17" t="str">
        <f t="shared" si="102"/>
        <v>Under Budget</v>
      </c>
      <c r="O1302" s="38">
        <f t="shared" si="103"/>
        <v>4173.7</v>
      </c>
      <c r="P1302" s="39">
        <f t="shared" si="104"/>
        <v>45962</v>
      </c>
    </row>
    <row r="1303" spans="1:16" ht="15.5" x14ac:dyDescent="0.35">
      <c r="A1303" s="17" t="s">
        <v>1351</v>
      </c>
      <c r="B1303" s="35">
        <v>46203</v>
      </c>
      <c r="C1303" s="17" t="s">
        <v>25</v>
      </c>
      <c r="D1303" s="17" t="s">
        <v>32</v>
      </c>
      <c r="E1303" s="17" t="s">
        <v>109</v>
      </c>
      <c r="F1303" s="17" t="s">
        <v>34</v>
      </c>
      <c r="G1303" s="17" t="s">
        <v>38</v>
      </c>
      <c r="H1303" s="17" t="s">
        <v>2592</v>
      </c>
      <c r="I1303" s="17" t="s">
        <v>30</v>
      </c>
      <c r="J1303" s="36">
        <v>4761.8999999999996</v>
      </c>
      <c r="K1303" s="36">
        <v>2774.06</v>
      </c>
      <c r="L1303" s="36">
        <f t="shared" si="100"/>
        <v>-1987.8399999999997</v>
      </c>
      <c r="M1303" s="37">
        <f t="shared" si="101"/>
        <v>-0.41744681744681739</v>
      </c>
      <c r="N1303" s="17" t="str">
        <f t="shared" si="102"/>
        <v>Under Budget</v>
      </c>
      <c r="O1303" s="38">
        <f t="shared" si="103"/>
        <v>2774.06</v>
      </c>
      <c r="P1303" s="39">
        <f t="shared" si="104"/>
        <v>46174</v>
      </c>
    </row>
    <row r="1304" spans="1:16" ht="15.5" x14ac:dyDescent="0.35">
      <c r="A1304" s="17" t="s">
        <v>1352</v>
      </c>
      <c r="B1304" s="35">
        <v>46201</v>
      </c>
      <c r="C1304" s="17" t="s">
        <v>25</v>
      </c>
      <c r="D1304" s="17" t="s">
        <v>2584</v>
      </c>
      <c r="E1304" s="17" t="s">
        <v>33</v>
      </c>
      <c r="F1304" s="17" t="s">
        <v>52</v>
      </c>
      <c r="G1304" s="17" t="s">
        <v>22</v>
      </c>
      <c r="H1304" s="17" t="s">
        <v>2595</v>
      </c>
      <c r="I1304" s="17" t="s">
        <v>23</v>
      </c>
      <c r="J1304" s="36">
        <v>10000</v>
      </c>
      <c r="K1304" s="36">
        <v>4619.07</v>
      </c>
      <c r="L1304" s="36">
        <f t="shared" si="100"/>
        <v>-5380.93</v>
      </c>
      <c r="M1304" s="37">
        <f t="shared" si="101"/>
        <v>-0.53809300000000004</v>
      </c>
      <c r="N1304" s="17" t="str">
        <f t="shared" si="102"/>
        <v>Under Budget</v>
      </c>
      <c r="O1304" s="38">
        <f t="shared" si="103"/>
        <v>4619.07</v>
      </c>
      <c r="P1304" s="39">
        <f t="shared" si="104"/>
        <v>46174</v>
      </c>
    </row>
    <row r="1305" spans="1:16" ht="15.5" x14ac:dyDescent="0.35">
      <c r="A1305" s="17" t="s">
        <v>1353</v>
      </c>
      <c r="B1305" s="35">
        <v>46189</v>
      </c>
      <c r="C1305" s="17" t="s">
        <v>12</v>
      </c>
      <c r="D1305" s="17" t="s">
        <v>19</v>
      </c>
      <c r="E1305" s="17" t="s">
        <v>45</v>
      </c>
      <c r="F1305" s="17" t="s">
        <v>34</v>
      </c>
      <c r="G1305" s="17" t="s">
        <v>38</v>
      </c>
      <c r="H1305" s="17" t="s">
        <v>2592</v>
      </c>
      <c r="I1305" s="17" t="s">
        <v>39</v>
      </c>
      <c r="J1305" s="36">
        <v>8571.43</v>
      </c>
      <c r="K1305" s="36">
        <v>8124.77</v>
      </c>
      <c r="L1305" s="36">
        <f t="shared" si="100"/>
        <v>-446.65999999999985</v>
      </c>
      <c r="M1305" s="37">
        <f t="shared" si="101"/>
        <v>-5.2110324648279208E-2</v>
      </c>
      <c r="N1305" s="17" t="str">
        <f t="shared" si="102"/>
        <v>Under Budget</v>
      </c>
      <c r="O1305" s="38">
        <f t="shared" si="103"/>
        <v>-8124.77</v>
      </c>
      <c r="P1305" s="39">
        <f t="shared" si="104"/>
        <v>46174</v>
      </c>
    </row>
    <row r="1306" spans="1:16" ht="15.5" x14ac:dyDescent="0.35">
      <c r="A1306" s="17" t="s">
        <v>1354</v>
      </c>
      <c r="B1306" s="35">
        <v>45999</v>
      </c>
      <c r="C1306" s="17" t="s">
        <v>12</v>
      </c>
      <c r="D1306" s="17" t="s">
        <v>19</v>
      </c>
      <c r="E1306" s="17" t="s">
        <v>65</v>
      </c>
      <c r="F1306" s="17" t="s">
        <v>15</v>
      </c>
      <c r="G1306" s="17" t="s">
        <v>82</v>
      </c>
      <c r="H1306" s="17" t="s">
        <v>2589</v>
      </c>
      <c r="I1306" s="17" t="s">
        <v>48</v>
      </c>
      <c r="J1306" s="36">
        <v>4125</v>
      </c>
      <c r="K1306" s="36">
        <v>2308.33</v>
      </c>
      <c r="L1306" s="36">
        <f t="shared" si="100"/>
        <v>-1816.67</v>
      </c>
      <c r="M1306" s="37">
        <f t="shared" si="101"/>
        <v>-0.44040484848484851</v>
      </c>
      <c r="N1306" s="17" t="str">
        <f t="shared" si="102"/>
        <v>Under Budget</v>
      </c>
      <c r="O1306" s="38">
        <f t="shared" si="103"/>
        <v>-2308.33</v>
      </c>
      <c r="P1306" s="39">
        <f t="shared" si="104"/>
        <v>45992</v>
      </c>
    </row>
    <row r="1307" spans="1:16" ht="15.5" x14ac:dyDescent="0.35">
      <c r="A1307" s="17" t="s">
        <v>1355</v>
      </c>
      <c r="B1307" s="35">
        <v>45687</v>
      </c>
      <c r="C1307" s="17" t="s">
        <v>12</v>
      </c>
      <c r="D1307" s="17" t="s">
        <v>2585</v>
      </c>
      <c r="E1307" s="17" t="s">
        <v>74</v>
      </c>
      <c r="F1307" s="17" t="s">
        <v>52</v>
      </c>
      <c r="G1307" s="17" t="s">
        <v>82</v>
      </c>
      <c r="H1307" s="17" t="s">
        <v>2589</v>
      </c>
      <c r="I1307" s="17" t="s">
        <v>23</v>
      </c>
      <c r="J1307" s="36">
        <v>5542.86</v>
      </c>
      <c r="K1307" s="36">
        <v>3336.96</v>
      </c>
      <c r="L1307" s="36">
        <f t="shared" si="100"/>
        <v>-2205.8999999999996</v>
      </c>
      <c r="M1307" s="37">
        <f t="shared" si="101"/>
        <v>-0.39797144434461629</v>
      </c>
      <c r="N1307" s="17" t="str">
        <f t="shared" si="102"/>
        <v>Under Budget</v>
      </c>
      <c r="O1307" s="38">
        <f t="shared" si="103"/>
        <v>-3336.96</v>
      </c>
      <c r="P1307" s="39">
        <f t="shared" si="104"/>
        <v>45658</v>
      </c>
    </row>
    <row r="1308" spans="1:16" ht="15.5" x14ac:dyDescent="0.35">
      <c r="A1308" s="17" t="s">
        <v>1356</v>
      </c>
      <c r="B1308" s="35">
        <v>45782</v>
      </c>
      <c r="C1308" s="17" t="s">
        <v>25</v>
      </c>
      <c r="D1308" s="17" t="s">
        <v>19</v>
      </c>
      <c r="E1308" s="17" t="s">
        <v>33</v>
      </c>
      <c r="F1308" s="17" t="s">
        <v>52</v>
      </c>
      <c r="G1308" s="17" t="s">
        <v>38</v>
      </c>
      <c r="H1308" s="17" t="s">
        <v>2597</v>
      </c>
      <c r="I1308" s="17" t="s">
        <v>17</v>
      </c>
      <c r="J1308" s="36">
        <v>9615.3799999999992</v>
      </c>
      <c r="K1308" s="36">
        <v>19835.939999999999</v>
      </c>
      <c r="L1308" s="36">
        <f t="shared" si="100"/>
        <v>10220.56</v>
      </c>
      <c r="M1308" s="37">
        <f t="shared" si="101"/>
        <v>1.0629387502106002</v>
      </c>
      <c r="N1308" s="17" t="str">
        <f t="shared" si="102"/>
        <v>Over Budget</v>
      </c>
      <c r="O1308" s="38">
        <f t="shared" si="103"/>
        <v>19835.939999999999</v>
      </c>
      <c r="P1308" s="39">
        <f t="shared" si="104"/>
        <v>45778</v>
      </c>
    </row>
    <row r="1309" spans="1:16" ht="15.5" x14ac:dyDescent="0.35">
      <c r="A1309" s="17" t="s">
        <v>1357</v>
      </c>
      <c r="B1309" s="35">
        <v>46121</v>
      </c>
      <c r="C1309" s="17" t="s">
        <v>25</v>
      </c>
      <c r="D1309" s="17" t="s">
        <v>26</v>
      </c>
      <c r="E1309" s="17" t="s">
        <v>33</v>
      </c>
      <c r="F1309" s="17" t="s">
        <v>34</v>
      </c>
      <c r="G1309" s="17" t="s">
        <v>38</v>
      </c>
      <c r="H1309" s="17" t="s">
        <v>2595</v>
      </c>
      <c r="I1309" s="17" t="s">
        <v>39</v>
      </c>
      <c r="J1309" s="36">
        <v>8333.33</v>
      </c>
      <c r="K1309" s="36">
        <v>24341.35</v>
      </c>
      <c r="L1309" s="36">
        <f t="shared" si="100"/>
        <v>16008.019999999999</v>
      </c>
      <c r="M1309" s="37">
        <f t="shared" si="101"/>
        <v>1.9209631683852673</v>
      </c>
      <c r="N1309" s="17" t="str">
        <f t="shared" si="102"/>
        <v>Over Budget</v>
      </c>
      <c r="O1309" s="38">
        <f t="shared" si="103"/>
        <v>24341.35</v>
      </c>
      <c r="P1309" s="39">
        <f t="shared" si="104"/>
        <v>46113</v>
      </c>
    </row>
    <row r="1310" spans="1:16" ht="15.5" x14ac:dyDescent="0.35">
      <c r="A1310" s="17" t="s">
        <v>1358</v>
      </c>
      <c r="B1310" s="35">
        <v>46065</v>
      </c>
      <c r="C1310" s="17" t="s">
        <v>12</v>
      </c>
      <c r="D1310" s="17" t="s">
        <v>36</v>
      </c>
      <c r="E1310" s="17" t="s">
        <v>20</v>
      </c>
      <c r="F1310" s="17" t="s">
        <v>52</v>
      </c>
      <c r="G1310" s="17" t="s">
        <v>38</v>
      </c>
      <c r="H1310" s="17" t="s">
        <v>2598</v>
      </c>
      <c r="I1310" s="17" t="s">
        <v>39</v>
      </c>
      <c r="J1310" s="36">
        <v>2182.5</v>
      </c>
      <c r="K1310" s="36">
        <v>868.91</v>
      </c>
      <c r="L1310" s="36">
        <f t="shared" si="100"/>
        <v>-1313.5900000000001</v>
      </c>
      <c r="M1310" s="37">
        <f t="shared" si="101"/>
        <v>-0.60187399770904937</v>
      </c>
      <c r="N1310" s="17" t="str">
        <f t="shared" si="102"/>
        <v>Under Budget</v>
      </c>
      <c r="O1310" s="38">
        <f t="shared" si="103"/>
        <v>-868.91</v>
      </c>
      <c r="P1310" s="39">
        <f t="shared" si="104"/>
        <v>46054</v>
      </c>
    </row>
    <row r="1311" spans="1:16" ht="15.5" x14ac:dyDescent="0.35">
      <c r="A1311" s="17" t="s">
        <v>1359</v>
      </c>
      <c r="B1311" s="35">
        <v>45664</v>
      </c>
      <c r="C1311" s="17" t="s">
        <v>12</v>
      </c>
      <c r="D1311" s="17" t="s">
        <v>36</v>
      </c>
      <c r="E1311" s="17" t="s">
        <v>20</v>
      </c>
      <c r="F1311" s="17" t="s">
        <v>28</v>
      </c>
      <c r="G1311" s="17" t="s">
        <v>38</v>
      </c>
      <c r="H1311" s="17" t="s">
        <v>2586</v>
      </c>
      <c r="I1311" s="17" t="s">
        <v>30</v>
      </c>
      <c r="J1311" s="36">
        <v>1746</v>
      </c>
      <c r="K1311" s="36">
        <v>896.96</v>
      </c>
      <c r="L1311" s="36">
        <f t="shared" si="100"/>
        <v>-849.04</v>
      </c>
      <c r="M1311" s="37">
        <f t="shared" si="101"/>
        <v>-0.48627720504009164</v>
      </c>
      <c r="N1311" s="17" t="str">
        <f t="shared" si="102"/>
        <v>Under Budget</v>
      </c>
      <c r="O1311" s="38">
        <f t="shared" si="103"/>
        <v>-896.96</v>
      </c>
      <c r="P1311" s="39">
        <f t="shared" si="104"/>
        <v>45658</v>
      </c>
    </row>
    <row r="1312" spans="1:16" ht="15.5" x14ac:dyDescent="0.35">
      <c r="A1312" s="17" t="s">
        <v>1360</v>
      </c>
      <c r="B1312" s="35">
        <v>45755</v>
      </c>
      <c r="C1312" s="17" t="s">
        <v>25</v>
      </c>
      <c r="D1312" s="17" t="s">
        <v>26</v>
      </c>
      <c r="E1312" s="17" t="s">
        <v>27</v>
      </c>
      <c r="F1312" s="17" t="s">
        <v>34</v>
      </c>
      <c r="G1312" s="17" t="s">
        <v>38</v>
      </c>
      <c r="H1312" s="17" t="s">
        <v>60</v>
      </c>
      <c r="I1312" s="17" t="s">
        <v>23</v>
      </c>
      <c r="J1312" s="36">
        <v>10000</v>
      </c>
      <c r="K1312" s="36">
        <v>2165.35</v>
      </c>
      <c r="L1312" s="36">
        <f t="shared" si="100"/>
        <v>-7834.65</v>
      </c>
      <c r="M1312" s="37">
        <f t="shared" si="101"/>
        <v>-0.78346499999999997</v>
      </c>
      <c r="N1312" s="17" t="str">
        <f t="shared" si="102"/>
        <v>Under Budget</v>
      </c>
      <c r="O1312" s="38">
        <f t="shared" si="103"/>
        <v>2165.35</v>
      </c>
      <c r="P1312" s="39">
        <f t="shared" si="104"/>
        <v>45748</v>
      </c>
    </row>
    <row r="1313" spans="1:16" ht="15.5" x14ac:dyDescent="0.35">
      <c r="A1313" s="17" t="s">
        <v>1361</v>
      </c>
      <c r="B1313" s="35">
        <v>45812</v>
      </c>
      <c r="C1313" s="17" t="s">
        <v>12</v>
      </c>
      <c r="D1313" s="17" t="s">
        <v>2584</v>
      </c>
      <c r="E1313" s="17" t="s">
        <v>65</v>
      </c>
      <c r="F1313" s="17" t="s">
        <v>28</v>
      </c>
      <c r="G1313" s="17" t="s">
        <v>82</v>
      </c>
      <c r="H1313" s="17" t="s">
        <v>60</v>
      </c>
      <c r="I1313" s="17" t="s">
        <v>30</v>
      </c>
      <c r="J1313" s="36">
        <v>5500</v>
      </c>
      <c r="K1313" s="36">
        <v>8565.77</v>
      </c>
      <c r="L1313" s="36">
        <f t="shared" si="100"/>
        <v>3065.7700000000004</v>
      </c>
      <c r="M1313" s="37">
        <f t="shared" si="101"/>
        <v>0.55741272727272739</v>
      </c>
      <c r="N1313" s="17" t="str">
        <f t="shared" si="102"/>
        <v>Over Budget</v>
      </c>
      <c r="O1313" s="38">
        <f t="shared" si="103"/>
        <v>-8565.77</v>
      </c>
      <c r="P1313" s="39">
        <f t="shared" si="104"/>
        <v>45809</v>
      </c>
    </row>
    <row r="1314" spans="1:16" ht="15.5" x14ac:dyDescent="0.35">
      <c r="A1314" s="17" t="s">
        <v>1362</v>
      </c>
      <c r="B1314" s="35">
        <v>45833</v>
      </c>
      <c r="C1314" s="17" t="s">
        <v>12</v>
      </c>
      <c r="D1314" s="17" t="s">
        <v>19</v>
      </c>
      <c r="E1314" s="17" t="s">
        <v>41</v>
      </c>
      <c r="F1314" s="17" t="s">
        <v>52</v>
      </c>
      <c r="G1314" s="17" t="s">
        <v>38</v>
      </c>
      <c r="H1314" s="17" t="s">
        <v>2594</v>
      </c>
      <c r="I1314" s="17" t="s">
        <v>39</v>
      </c>
      <c r="J1314" s="36">
        <v>8125</v>
      </c>
      <c r="K1314" s="36">
        <v>5976.33</v>
      </c>
      <c r="L1314" s="36">
        <f t="shared" si="100"/>
        <v>-2148.67</v>
      </c>
      <c r="M1314" s="37">
        <f t="shared" si="101"/>
        <v>-0.26445169230769233</v>
      </c>
      <c r="N1314" s="17" t="str">
        <f t="shared" si="102"/>
        <v>Under Budget</v>
      </c>
      <c r="O1314" s="38">
        <f t="shared" si="103"/>
        <v>-5976.33</v>
      </c>
      <c r="P1314" s="39">
        <f t="shared" si="104"/>
        <v>45809</v>
      </c>
    </row>
    <row r="1315" spans="1:16" ht="15.5" x14ac:dyDescent="0.35">
      <c r="A1315" s="17" t="s">
        <v>1363</v>
      </c>
      <c r="B1315" s="35">
        <v>46120</v>
      </c>
      <c r="C1315" s="17" t="s">
        <v>12</v>
      </c>
      <c r="D1315" s="17" t="s">
        <v>36</v>
      </c>
      <c r="E1315" s="17" t="s">
        <v>47</v>
      </c>
      <c r="F1315" s="17" t="s">
        <v>21</v>
      </c>
      <c r="G1315" s="17" t="s">
        <v>22</v>
      </c>
      <c r="H1315" s="17" t="s">
        <v>2586</v>
      </c>
      <c r="I1315" s="17" t="s">
        <v>17</v>
      </c>
      <c r="J1315" s="36">
        <v>5833.33</v>
      </c>
      <c r="K1315" s="36">
        <v>184.71</v>
      </c>
      <c r="L1315" s="36">
        <f t="shared" si="100"/>
        <v>-5648.62</v>
      </c>
      <c r="M1315" s="37">
        <f t="shared" si="101"/>
        <v>-0.96833541047737737</v>
      </c>
      <c r="N1315" s="17" t="str">
        <f t="shared" si="102"/>
        <v>Under Budget</v>
      </c>
      <c r="O1315" s="38">
        <f t="shared" si="103"/>
        <v>-184.71</v>
      </c>
      <c r="P1315" s="39">
        <f t="shared" si="104"/>
        <v>46113</v>
      </c>
    </row>
    <row r="1316" spans="1:16" ht="15.5" x14ac:dyDescent="0.35">
      <c r="A1316" s="17" t="s">
        <v>1364</v>
      </c>
      <c r="B1316" s="35">
        <v>45778</v>
      </c>
      <c r="C1316" s="17" t="s">
        <v>12</v>
      </c>
      <c r="D1316" s="17" t="s">
        <v>36</v>
      </c>
      <c r="E1316" s="17" t="s">
        <v>74</v>
      </c>
      <c r="F1316" s="17" t="s">
        <v>34</v>
      </c>
      <c r="G1316" s="17" t="s">
        <v>22</v>
      </c>
      <c r="H1316" s="17" t="s">
        <v>2593</v>
      </c>
      <c r="I1316" s="17" t="s">
        <v>30</v>
      </c>
      <c r="J1316" s="36">
        <v>5000</v>
      </c>
      <c r="K1316" s="36">
        <v>509.93</v>
      </c>
      <c r="L1316" s="36">
        <f t="shared" si="100"/>
        <v>-4490.07</v>
      </c>
      <c r="M1316" s="37">
        <f t="shared" si="101"/>
        <v>-0.89801399999999998</v>
      </c>
      <c r="N1316" s="17" t="str">
        <f t="shared" si="102"/>
        <v>Under Budget</v>
      </c>
      <c r="O1316" s="38">
        <f t="shared" si="103"/>
        <v>-509.93</v>
      </c>
      <c r="P1316" s="39">
        <f t="shared" si="104"/>
        <v>45778</v>
      </c>
    </row>
    <row r="1317" spans="1:16" ht="15.5" x14ac:dyDescent="0.35">
      <c r="A1317" s="17" t="s">
        <v>1365</v>
      </c>
      <c r="B1317" s="35">
        <v>45814</v>
      </c>
      <c r="C1317" s="17" t="s">
        <v>12</v>
      </c>
      <c r="D1317" s="17" t="s">
        <v>2584</v>
      </c>
      <c r="E1317" s="17" t="s">
        <v>45</v>
      </c>
      <c r="F1317" s="17" t="s">
        <v>28</v>
      </c>
      <c r="G1317" s="17" t="s">
        <v>29</v>
      </c>
      <c r="H1317" s="17" t="s">
        <v>80</v>
      </c>
      <c r="I1317" s="17" t="s">
        <v>39</v>
      </c>
      <c r="J1317" s="36">
        <v>6428.57</v>
      </c>
      <c r="K1317" s="36">
        <v>16212.95</v>
      </c>
      <c r="L1317" s="36">
        <f t="shared" si="100"/>
        <v>9784.380000000001</v>
      </c>
      <c r="M1317" s="37">
        <f t="shared" si="101"/>
        <v>1.5220150048922236</v>
      </c>
      <c r="N1317" s="17" t="str">
        <f t="shared" si="102"/>
        <v>Over Budget</v>
      </c>
      <c r="O1317" s="38">
        <f t="shared" si="103"/>
        <v>-16212.95</v>
      </c>
      <c r="P1317" s="39">
        <f t="shared" si="104"/>
        <v>45809</v>
      </c>
    </row>
    <row r="1318" spans="1:16" ht="15.5" x14ac:dyDescent="0.35">
      <c r="A1318" s="17" t="s">
        <v>1366</v>
      </c>
      <c r="B1318" s="35">
        <v>45718</v>
      </c>
      <c r="C1318" s="17" t="s">
        <v>12</v>
      </c>
      <c r="D1318" s="17" t="s">
        <v>36</v>
      </c>
      <c r="E1318" s="17" t="s">
        <v>41</v>
      </c>
      <c r="F1318" s="17" t="s">
        <v>21</v>
      </c>
      <c r="G1318" s="17" t="s">
        <v>38</v>
      </c>
      <c r="H1318" s="17" t="s">
        <v>2587</v>
      </c>
      <c r="I1318" s="17" t="s">
        <v>48</v>
      </c>
      <c r="J1318" s="36">
        <v>5000</v>
      </c>
      <c r="K1318" s="36">
        <v>5774.17</v>
      </c>
      <c r="L1318" s="36">
        <f t="shared" si="100"/>
        <v>774.17000000000007</v>
      </c>
      <c r="M1318" s="37">
        <f t="shared" si="101"/>
        <v>0.15483400000000003</v>
      </c>
      <c r="N1318" s="17" t="str">
        <f t="shared" si="102"/>
        <v>Over Budget</v>
      </c>
      <c r="O1318" s="38">
        <f t="shared" si="103"/>
        <v>-5774.17</v>
      </c>
      <c r="P1318" s="39">
        <f t="shared" si="104"/>
        <v>45717</v>
      </c>
    </row>
    <row r="1319" spans="1:16" ht="15.5" x14ac:dyDescent="0.35">
      <c r="A1319" s="17" t="s">
        <v>1367</v>
      </c>
      <c r="B1319" s="35">
        <v>45750</v>
      </c>
      <c r="C1319" s="17" t="s">
        <v>12</v>
      </c>
      <c r="D1319" s="17" t="s">
        <v>19</v>
      </c>
      <c r="E1319" s="17" t="s">
        <v>47</v>
      </c>
      <c r="F1319" s="17" t="s">
        <v>34</v>
      </c>
      <c r="G1319" s="17" t="s">
        <v>38</v>
      </c>
      <c r="H1319" s="17" t="s">
        <v>2591</v>
      </c>
      <c r="I1319" s="17" t="s">
        <v>17</v>
      </c>
      <c r="J1319" s="36">
        <v>4375</v>
      </c>
      <c r="K1319" s="36">
        <v>4634.12</v>
      </c>
      <c r="L1319" s="36">
        <f t="shared" si="100"/>
        <v>259.11999999999989</v>
      </c>
      <c r="M1319" s="37">
        <f t="shared" si="101"/>
        <v>5.9227428571428549E-2</v>
      </c>
      <c r="N1319" s="17" t="str">
        <f t="shared" si="102"/>
        <v>Over Budget</v>
      </c>
      <c r="O1319" s="38">
        <f t="shared" si="103"/>
        <v>-4634.12</v>
      </c>
      <c r="P1319" s="39">
        <f t="shared" si="104"/>
        <v>45748</v>
      </c>
    </row>
    <row r="1320" spans="1:16" ht="15.5" x14ac:dyDescent="0.35">
      <c r="A1320" s="17" t="s">
        <v>1368</v>
      </c>
      <c r="B1320" s="35">
        <v>46027</v>
      </c>
      <c r="C1320" s="17" t="s">
        <v>12</v>
      </c>
      <c r="D1320" s="17" t="s">
        <v>26</v>
      </c>
      <c r="E1320" s="17" t="s">
        <v>47</v>
      </c>
      <c r="F1320" s="17" t="s">
        <v>34</v>
      </c>
      <c r="G1320" s="17" t="s">
        <v>29</v>
      </c>
      <c r="H1320" s="17" t="s">
        <v>2598</v>
      </c>
      <c r="I1320" s="17" t="s">
        <v>23</v>
      </c>
      <c r="J1320" s="36">
        <v>3395</v>
      </c>
      <c r="K1320" s="36">
        <v>2826.28</v>
      </c>
      <c r="L1320" s="36">
        <f t="shared" si="100"/>
        <v>-568.7199999999998</v>
      </c>
      <c r="M1320" s="37">
        <f t="shared" si="101"/>
        <v>-0.1675169366715758</v>
      </c>
      <c r="N1320" s="17" t="str">
        <f t="shared" si="102"/>
        <v>Under Budget</v>
      </c>
      <c r="O1320" s="38">
        <f t="shared" si="103"/>
        <v>-2826.28</v>
      </c>
      <c r="P1320" s="39">
        <f t="shared" si="104"/>
        <v>46023</v>
      </c>
    </row>
    <row r="1321" spans="1:16" ht="15.5" x14ac:dyDescent="0.35">
      <c r="A1321" s="17" t="s">
        <v>1369</v>
      </c>
      <c r="B1321" s="35">
        <v>45775</v>
      </c>
      <c r="C1321" s="17" t="s">
        <v>25</v>
      </c>
      <c r="D1321" s="17" t="s">
        <v>19</v>
      </c>
      <c r="E1321" s="17" t="s">
        <v>27</v>
      </c>
      <c r="F1321" s="17" t="s">
        <v>52</v>
      </c>
      <c r="G1321" s="17" t="s">
        <v>16</v>
      </c>
      <c r="H1321" s="17" t="s">
        <v>80</v>
      </c>
      <c r="I1321" s="17" t="s">
        <v>30</v>
      </c>
      <c r="J1321" s="36">
        <v>10000</v>
      </c>
      <c r="K1321" s="36">
        <v>3213.01</v>
      </c>
      <c r="L1321" s="36">
        <f t="shared" si="100"/>
        <v>-6786.99</v>
      </c>
      <c r="M1321" s="37">
        <f t="shared" si="101"/>
        <v>-0.67869899999999994</v>
      </c>
      <c r="N1321" s="17" t="str">
        <f t="shared" si="102"/>
        <v>Under Budget</v>
      </c>
      <c r="O1321" s="38">
        <f t="shared" si="103"/>
        <v>3213.01</v>
      </c>
      <c r="P1321" s="39">
        <f t="shared" si="104"/>
        <v>45748</v>
      </c>
    </row>
    <row r="1322" spans="1:16" ht="15.5" x14ac:dyDescent="0.35">
      <c r="A1322" s="17" t="s">
        <v>1370</v>
      </c>
      <c r="B1322" s="35">
        <v>45903</v>
      </c>
      <c r="C1322" s="17" t="s">
        <v>12</v>
      </c>
      <c r="D1322" s="17" t="s">
        <v>36</v>
      </c>
      <c r="E1322" s="17" t="s">
        <v>51</v>
      </c>
      <c r="F1322" s="17" t="s">
        <v>28</v>
      </c>
      <c r="G1322" s="17" t="s">
        <v>38</v>
      </c>
      <c r="H1322" s="17" t="s">
        <v>2594</v>
      </c>
      <c r="I1322" s="17" t="s">
        <v>30</v>
      </c>
      <c r="J1322" s="36">
        <v>5000</v>
      </c>
      <c r="K1322" s="36">
        <v>5217.32</v>
      </c>
      <c r="L1322" s="36">
        <f t="shared" si="100"/>
        <v>217.31999999999971</v>
      </c>
      <c r="M1322" s="37">
        <f t="shared" si="101"/>
        <v>4.346399999999994E-2</v>
      </c>
      <c r="N1322" s="17" t="str">
        <f t="shared" si="102"/>
        <v>Over Budget</v>
      </c>
      <c r="O1322" s="38">
        <f t="shared" si="103"/>
        <v>-5217.32</v>
      </c>
      <c r="P1322" s="39">
        <f t="shared" si="104"/>
        <v>45901</v>
      </c>
    </row>
    <row r="1323" spans="1:16" ht="15.5" x14ac:dyDescent="0.35">
      <c r="A1323" s="17" t="s">
        <v>1371</v>
      </c>
      <c r="B1323" s="35">
        <v>46169</v>
      </c>
      <c r="C1323" s="17" t="s">
        <v>12</v>
      </c>
      <c r="D1323" s="17" t="s">
        <v>2584</v>
      </c>
      <c r="E1323" s="17" t="s">
        <v>47</v>
      </c>
      <c r="F1323" s="17" t="s">
        <v>28</v>
      </c>
      <c r="G1323" s="17" t="s">
        <v>16</v>
      </c>
      <c r="H1323" s="17" t="s">
        <v>2589</v>
      </c>
      <c r="I1323" s="17" t="s">
        <v>39</v>
      </c>
      <c r="J1323" s="36">
        <v>2692.31</v>
      </c>
      <c r="K1323" s="36">
        <v>2174.1999999999998</v>
      </c>
      <c r="L1323" s="36">
        <f t="shared" si="100"/>
        <v>-518.11000000000013</v>
      </c>
      <c r="M1323" s="37">
        <f t="shared" si="101"/>
        <v>-0.19244069219369245</v>
      </c>
      <c r="N1323" s="17" t="str">
        <f t="shared" si="102"/>
        <v>Under Budget</v>
      </c>
      <c r="O1323" s="38">
        <f t="shared" si="103"/>
        <v>-2174.1999999999998</v>
      </c>
      <c r="P1323" s="39">
        <f t="shared" si="104"/>
        <v>46143</v>
      </c>
    </row>
    <row r="1324" spans="1:16" ht="15.5" x14ac:dyDescent="0.35">
      <c r="A1324" s="17" t="s">
        <v>1372</v>
      </c>
      <c r="B1324" s="35">
        <v>45883</v>
      </c>
      <c r="C1324" s="17" t="s">
        <v>12</v>
      </c>
      <c r="D1324" s="17" t="s">
        <v>36</v>
      </c>
      <c r="E1324" s="17" t="s">
        <v>65</v>
      </c>
      <c r="F1324" s="17" t="s">
        <v>28</v>
      </c>
      <c r="G1324" s="17" t="s">
        <v>22</v>
      </c>
      <c r="H1324" s="17" t="s">
        <v>2586</v>
      </c>
      <c r="I1324" s="17" t="s">
        <v>48</v>
      </c>
      <c r="J1324" s="36">
        <v>3928.57</v>
      </c>
      <c r="K1324" s="36">
        <v>7056.91</v>
      </c>
      <c r="L1324" s="36">
        <f t="shared" si="100"/>
        <v>3128.3399999999997</v>
      </c>
      <c r="M1324" s="37">
        <f t="shared" si="101"/>
        <v>0.79630501683818788</v>
      </c>
      <c r="N1324" s="17" t="str">
        <f t="shared" si="102"/>
        <v>Over Budget</v>
      </c>
      <c r="O1324" s="38">
        <f t="shared" si="103"/>
        <v>-7056.91</v>
      </c>
      <c r="P1324" s="39">
        <f t="shared" si="104"/>
        <v>45870</v>
      </c>
    </row>
    <row r="1325" spans="1:16" ht="15.5" x14ac:dyDescent="0.35">
      <c r="A1325" s="17" t="s">
        <v>1373</v>
      </c>
      <c r="B1325" s="35">
        <v>45752</v>
      </c>
      <c r="C1325" s="17" t="s">
        <v>12</v>
      </c>
      <c r="D1325" s="17" t="s">
        <v>19</v>
      </c>
      <c r="E1325" s="17" t="s">
        <v>77</v>
      </c>
      <c r="F1325" s="17" t="s">
        <v>34</v>
      </c>
      <c r="G1325" s="17" t="s">
        <v>38</v>
      </c>
      <c r="H1325" s="17" t="s">
        <v>2590</v>
      </c>
      <c r="I1325" s="17" t="s">
        <v>30</v>
      </c>
      <c r="J1325" s="36">
        <v>2750</v>
      </c>
      <c r="K1325" s="36">
        <v>727.83</v>
      </c>
      <c r="L1325" s="36">
        <f t="shared" si="100"/>
        <v>-2022.17</v>
      </c>
      <c r="M1325" s="37">
        <f t="shared" si="101"/>
        <v>-0.73533454545454546</v>
      </c>
      <c r="N1325" s="17" t="str">
        <f t="shared" si="102"/>
        <v>Under Budget</v>
      </c>
      <c r="O1325" s="38">
        <f t="shared" si="103"/>
        <v>-727.83</v>
      </c>
      <c r="P1325" s="39">
        <f t="shared" si="104"/>
        <v>45748</v>
      </c>
    </row>
    <row r="1326" spans="1:16" ht="15.5" x14ac:dyDescent="0.35">
      <c r="A1326" s="17" t="s">
        <v>1374</v>
      </c>
      <c r="B1326" s="35">
        <v>45913</v>
      </c>
      <c r="C1326" s="17" t="s">
        <v>12</v>
      </c>
      <c r="D1326" s="17" t="s">
        <v>2584</v>
      </c>
      <c r="E1326" s="17" t="s">
        <v>51</v>
      </c>
      <c r="F1326" s="17" t="s">
        <v>34</v>
      </c>
      <c r="G1326" s="17" t="s">
        <v>38</v>
      </c>
      <c r="H1326" s="17" t="s">
        <v>2592</v>
      </c>
      <c r="I1326" s="17" t="s">
        <v>30</v>
      </c>
      <c r="J1326" s="36">
        <v>5000</v>
      </c>
      <c r="K1326" s="36">
        <v>2208.4</v>
      </c>
      <c r="L1326" s="36">
        <f t="shared" si="100"/>
        <v>-2791.6</v>
      </c>
      <c r="M1326" s="37">
        <f t="shared" si="101"/>
        <v>-0.55831999999999993</v>
      </c>
      <c r="N1326" s="17" t="str">
        <f t="shared" si="102"/>
        <v>Under Budget</v>
      </c>
      <c r="O1326" s="38">
        <f t="shared" si="103"/>
        <v>-2208.4</v>
      </c>
      <c r="P1326" s="39">
        <f t="shared" si="104"/>
        <v>45901</v>
      </c>
    </row>
    <row r="1327" spans="1:16" ht="15.5" x14ac:dyDescent="0.35">
      <c r="A1327" s="17" t="s">
        <v>1375</v>
      </c>
      <c r="B1327" s="35">
        <v>45779</v>
      </c>
      <c r="C1327" s="17" t="s">
        <v>12</v>
      </c>
      <c r="D1327" s="17" t="s">
        <v>19</v>
      </c>
      <c r="E1327" s="17" t="s">
        <v>14</v>
      </c>
      <c r="F1327" s="17" t="s">
        <v>52</v>
      </c>
      <c r="G1327" s="17" t="s">
        <v>38</v>
      </c>
      <c r="H1327" s="17" t="s">
        <v>2591</v>
      </c>
      <c r="I1327" s="17" t="s">
        <v>30</v>
      </c>
      <c r="J1327" s="36">
        <v>2909.09</v>
      </c>
      <c r="K1327" s="36">
        <v>3108.19</v>
      </c>
      <c r="L1327" s="36">
        <f t="shared" si="100"/>
        <v>199.09999999999991</v>
      </c>
      <c r="M1327" s="37">
        <f t="shared" si="101"/>
        <v>6.8440646387701962E-2</v>
      </c>
      <c r="N1327" s="17" t="str">
        <f t="shared" si="102"/>
        <v>Over Budget</v>
      </c>
      <c r="O1327" s="38">
        <f t="shared" si="103"/>
        <v>-3108.19</v>
      </c>
      <c r="P1327" s="39">
        <f t="shared" si="104"/>
        <v>45778</v>
      </c>
    </row>
    <row r="1328" spans="1:16" ht="15.5" x14ac:dyDescent="0.35">
      <c r="A1328" s="17" t="s">
        <v>1376</v>
      </c>
      <c r="B1328" s="35">
        <v>46085</v>
      </c>
      <c r="C1328" s="17" t="s">
        <v>12</v>
      </c>
      <c r="D1328" s="17" t="s">
        <v>36</v>
      </c>
      <c r="E1328" s="17" t="s">
        <v>45</v>
      </c>
      <c r="F1328" s="17" t="s">
        <v>52</v>
      </c>
      <c r="G1328" s="17" t="s">
        <v>22</v>
      </c>
      <c r="H1328" s="17" t="s">
        <v>60</v>
      </c>
      <c r="I1328" s="17" t="s">
        <v>48</v>
      </c>
      <c r="J1328" s="36">
        <v>7200</v>
      </c>
      <c r="K1328" s="36">
        <v>15932.07</v>
      </c>
      <c r="L1328" s="36">
        <f t="shared" si="100"/>
        <v>8732.07</v>
      </c>
      <c r="M1328" s="37">
        <f t="shared" si="101"/>
        <v>1.2127874999999999</v>
      </c>
      <c r="N1328" s="17" t="str">
        <f t="shared" si="102"/>
        <v>Over Budget</v>
      </c>
      <c r="O1328" s="38">
        <f t="shared" si="103"/>
        <v>-15932.07</v>
      </c>
      <c r="P1328" s="39">
        <f t="shared" si="104"/>
        <v>46082</v>
      </c>
    </row>
    <row r="1329" spans="1:16" ht="15.5" x14ac:dyDescent="0.35">
      <c r="A1329" s="17" t="s">
        <v>1377</v>
      </c>
      <c r="B1329" s="35">
        <v>45780</v>
      </c>
      <c r="C1329" s="17" t="s">
        <v>12</v>
      </c>
      <c r="D1329" s="17" t="s">
        <v>19</v>
      </c>
      <c r="E1329" s="17" t="s">
        <v>74</v>
      </c>
      <c r="F1329" s="17" t="s">
        <v>28</v>
      </c>
      <c r="G1329" s="17" t="s">
        <v>82</v>
      </c>
      <c r="H1329" s="17" t="s">
        <v>2589</v>
      </c>
      <c r="I1329" s="17" t="s">
        <v>39</v>
      </c>
      <c r="J1329" s="36">
        <v>5000</v>
      </c>
      <c r="K1329" s="36">
        <v>2994.05</v>
      </c>
      <c r="L1329" s="36">
        <f t="shared" si="100"/>
        <v>-2005.9499999999998</v>
      </c>
      <c r="M1329" s="37">
        <f t="shared" si="101"/>
        <v>-0.40118999999999999</v>
      </c>
      <c r="N1329" s="17" t="str">
        <f t="shared" si="102"/>
        <v>Under Budget</v>
      </c>
      <c r="O1329" s="38">
        <f t="shared" si="103"/>
        <v>-2994.05</v>
      </c>
      <c r="P1329" s="39">
        <f t="shared" si="104"/>
        <v>45778</v>
      </c>
    </row>
    <row r="1330" spans="1:16" ht="15.5" x14ac:dyDescent="0.35">
      <c r="A1330" s="17" t="s">
        <v>1378</v>
      </c>
      <c r="B1330" s="35">
        <v>46196</v>
      </c>
      <c r="C1330" s="17" t="s">
        <v>12</v>
      </c>
      <c r="D1330" s="17" t="s">
        <v>36</v>
      </c>
      <c r="E1330" s="17" t="s">
        <v>45</v>
      </c>
      <c r="F1330" s="17" t="s">
        <v>34</v>
      </c>
      <c r="G1330" s="17" t="s">
        <v>38</v>
      </c>
      <c r="H1330" s="17" t="s">
        <v>2595</v>
      </c>
      <c r="I1330" s="17" t="s">
        <v>23</v>
      </c>
      <c r="J1330" s="36">
        <v>8571.43</v>
      </c>
      <c r="K1330" s="36">
        <v>15507.92</v>
      </c>
      <c r="L1330" s="36">
        <f t="shared" si="100"/>
        <v>6936.49</v>
      </c>
      <c r="M1330" s="37">
        <f t="shared" si="101"/>
        <v>0.80925703179049469</v>
      </c>
      <c r="N1330" s="17" t="str">
        <f t="shared" si="102"/>
        <v>Over Budget</v>
      </c>
      <c r="O1330" s="38">
        <f t="shared" si="103"/>
        <v>-15507.92</v>
      </c>
      <c r="P1330" s="39">
        <f t="shared" si="104"/>
        <v>46174</v>
      </c>
    </row>
    <row r="1331" spans="1:16" ht="15.5" x14ac:dyDescent="0.35">
      <c r="A1331" s="17" t="s">
        <v>1379</v>
      </c>
      <c r="B1331" s="35">
        <v>46087</v>
      </c>
      <c r="C1331" s="17" t="s">
        <v>12</v>
      </c>
      <c r="D1331" s="17" t="s">
        <v>36</v>
      </c>
      <c r="E1331" s="17" t="s">
        <v>77</v>
      </c>
      <c r="F1331" s="17" t="s">
        <v>15</v>
      </c>
      <c r="G1331" s="17" t="s">
        <v>22</v>
      </c>
      <c r="H1331" s="17" t="s">
        <v>60</v>
      </c>
      <c r="I1331" s="17" t="s">
        <v>48</v>
      </c>
      <c r="J1331" s="36">
        <v>1833.33</v>
      </c>
      <c r="K1331" s="36">
        <v>3882.17</v>
      </c>
      <c r="L1331" s="36">
        <f t="shared" si="100"/>
        <v>2048.84</v>
      </c>
      <c r="M1331" s="37">
        <f t="shared" si="101"/>
        <v>1.1175511228202235</v>
      </c>
      <c r="N1331" s="17" t="str">
        <f t="shared" si="102"/>
        <v>Over Budget</v>
      </c>
      <c r="O1331" s="38">
        <f t="shared" si="103"/>
        <v>-3882.17</v>
      </c>
      <c r="P1331" s="39">
        <f t="shared" si="104"/>
        <v>46082</v>
      </c>
    </row>
    <row r="1332" spans="1:16" ht="15.5" x14ac:dyDescent="0.35">
      <c r="A1332" s="17" t="s">
        <v>1380</v>
      </c>
      <c r="B1332" s="35">
        <v>46051</v>
      </c>
      <c r="C1332" s="17" t="s">
        <v>12</v>
      </c>
      <c r="D1332" s="17" t="s">
        <v>19</v>
      </c>
      <c r="E1332" s="17" t="s">
        <v>51</v>
      </c>
      <c r="F1332" s="17" t="s">
        <v>28</v>
      </c>
      <c r="G1332" s="17" t="s">
        <v>22</v>
      </c>
      <c r="H1332" s="17" t="s">
        <v>2591</v>
      </c>
      <c r="I1332" s="17" t="s">
        <v>30</v>
      </c>
      <c r="J1332" s="36">
        <v>3637.5</v>
      </c>
      <c r="K1332" s="36">
        <v>5276.42</v>
      </c>
      <c r="L1332" s="36">
        <f t="shared" si="100"/>
        <v>1638.92</v>
      </c>
      <c r="M1332" s="37">
        <f t="shared" si="101"/>
        <v>0.4505621993127148</v>
      </c>
      <c r="N1332" s="17" t="str">
        <f t="shared" si="102"/>
        <v>Over Budget</v>
      </c>
      <c r="O1332" s="38">
        <f t="shared" si="103"/>
        <v>-5276.42</v>
      </c>
      <c r="P1332" s="39">
        <f t="shared" si="104"/>
        <v>46023</v>
      </c>
    </row>
    <row r="1333" spans="1:16" ht="15.5" x14ac:dyDescent="0.35">
      <c r="A1333" s="17" t="s">
        <v>1381</v>
      </c>
      <c r="B1333" s="35">
        <v>45836</v>
      </c>
      <c r="C1333" s="17" t="s">
        <v>25</v>
      </c>
      <c r="D1333" s="17" t="s">
        <v>32</v>
      </c>
      <c r="E1333" s="17" t="s">
        <v>109</v>
      </c>
      <c r="F1333" s="17" t="s">
        <v>52</v>
      </c>
      <c r="G1333" s="17" t="s">
        <v>38</v>
      </c>
      <c r="H1333" s="17" t="s">
        <v>2598</v>
      </c>
      <c r="I1333" s="17" t="s">
        <v>23</v>
      </c>
      <c r="J1333" s="36">
        <v>6250</v>
      </c>
      <c r="K1333" s="36">
        <v>14789.98</v>
      </c>
      <c r="L1333" s="36">
        <f t="shared" si="100"/>
        <v>8539.98</v>
      </c>
      <c r="M1333" s="37">
        <f t="shared" si="101"/>
        <v>1.3663968</v>
      </c>
      <c r="N1333" s="17" t="str">
        <f t="shared" si="102"/>
        <v>Over Budget</v>
      </c>
      <c r="O1333" s="38">
        <f t="shared" si="103"/>
        <v>14789.98</v>
      </c>
      <c r="P1333" s="39">
        <f t="shared" si="104"/>
        <v>45809</v>
      </c>
    </row>
    <row r="1334" spans="1:16" ht="15.5" x14ac:dyDescent="0.35">
      <c r="A1334" s="17" t="s">
        <v>1382</v>
      </c>
      <c r="B1334" s="35">
        <v>46130</v>
      </c>
      <c r="C1334" s="17" t="s">
        <v>12</v>
      </c>
      <c r="D1334" s="17" t="s">
        <v>2584</v>
      </c>
      <c r="E1334" s="17" t="s">
        <v>37</v>
      </c>
      <c r="F1334" s="17" t="s">
        <v>34</v>
      </c>
      <c r="G1334" s="17" t="s">
        <v>29</v>
      </c>
      <c r="H1334" s="17" t="s">
        <v>2591</v>
      </c>
      <c r="I1334" s="17" t="s">
        <v>17</v>
      </c>
      <c r="J1334" s="36">
        <v>5600</v>
      </c>
      <c r="K1334" s="36">
        <v>531.54999999999995</v>
      </c>
      <c r="L1334" s="36">
        <f t="shared" si="100"/>
        <v>-5068.45</v>
      </c>
      <c r="M1334" s="37">
        <f t="shared" si="101"/>
        <v>-0.90508035714285706</v>
      </c>
      <c r="N1334" s="17" t="str">
        <f t="shared" si="102"/>
        <v>Under Budget</v>
      </c>
      <c r="O1334" s="38">
        <f t="shared" si="103"/>
        <v>-531.54999999999995</v>
      </c>
      <c r="P1334" s="39">
        <f t="shared" si="104"/>
        <v>46113</v>
      </c>
    </row>
    <row r="1335" spans="1:16" ht="15.5" x14ac:dyDescent="0.35">
      <c r="A1335" s="17" t="s">
        <v>1383</v>
      </c>
      <c r="B1335" s="35">
        <v>45890</v>
      </c>
      <c r="C1335" s="17" t="s">
        <v>12</v>
      </c>
      <c r="D1335" s="17" t="s">
        <v>32</v>
      </c>
      <c r="E1335" s="17" t="s">
        <v>65</v>
      </c>
      <c r="F1335" s="17" t="s">
        <v>52</v>
      </c>
      <c r="G1335" s="17" t="s">
        <v>38</v>
      </c>
      <c r="H1335" s="17" t="s">
        <v>2598</v>
      </c>
      <c r="I1335" s="17" t="s">
        <v>30</v>
      </c>
      <c r="J1335" s="36">
        <v>3928.57</v>
      </c>
      <c r="K1335" s="36">
        <v>1864.46</v>
      </c>
      <c r="L1335" s="36">
        <f t="shared" si="100"/>
        <v>-2064.11</v>
      </c>
      <c r="M1335" s="37">
        <f t="shared" si="101"/>
        <v>-0.52541000924000336</v>
      </c>
      <c r="N1335" s="17" t="str">
        <f t="shared" si="102"/>
        <v>Under Budget</v>
      </c>
      <c r="O1335" s="38">
        <f t="shared" si="103"/>
        <v>-1864.46</v>
      </c>
      <c r="P1335" s="39">
        <f t="shared" si="104"/>
        <v>45870</v>
      </c>
    </row>
    <row r="1336" spans="1:16" ht="15.5" x14ac:dyDescent="0.35">
      <c r="A1336" s="17" t="s">
        <v>1384</v>
      </c>
      <c r="B1336" s="35">
        <v>46137</v>
      </c>
      <c r="C1336" s="17" t="s">
        <v>12</v>
      </c>
      <c r="D1336" s="17" t="s">
        <v>2585</v>
      </c>
      <c r="E1336" s="17" t="s">
        <v>74</v>
      </c>
      <c r="F1336" s="17" t="s">
        <v>21</v>
      </c>
      <c r="G1336" s="17" t="s">
        <v>38</v>
      </c>
      <c r="H1336" s="17" t="s">
        <v>2589</v>
      </c>
      <c r="I1336" s="17" t="s">
        <v>48</v>
      </c>
      <c r="J1336" s="36">
        <v>6666.67</v>
      </c>
      <c r="K1336" s="36">
        <v>2989.64</v>
      </c>
      <c r="L1336" s="36">
        <f t="shared" si="100"/>
        <v>-3677.03</v>
      </c>
      <c r="M1336" s="37">
        <f t="shared" si="101"/>
        <v>-0.55155422422288791</v>
      </c>
      <c r="N1336" s="17" t="str">
        <f t="shared" si="102"/>
        <v>Under Budget</v>
      </c>
      <c r="O1336" s="38">
        <f t="shared" si="103"/>
        <v>-2989.64</v>
      </c>
      <c r="P1336" s="39">
        <f t="shared" si="104"/>
        <v>46113</v>
      </c>
    </row>
    <row r="1337" spans="1:16" ht="15.5" x14ac:dyDescent="0.35">
      <c r="A1337" s="17" t="s">
        <v>1385</v>
      </c>
      <c r="B1337" s="35">
        <v>46025</v>
      </c>
      <c r="C1337" s="17" t="s">
        <v>12</v>
      </c>
      <c r="D1337" s="17" t="s">
        <v>19</v>
      </c>
      <c r="E1337" s="17" t="s">
        <v>51</v>
      </c>
      <c r="F1337" s="17" t="s">
        <v>34</v>
      </c>
      <c r="G1337" s="17" t="s">
        <v>16</v>
      </c>
      <c r="H1337" s="17" t="s">
        <v>2595</v>
      </c>
      <c r="I1337" s="17" t="s">
        <v>30</v>
      </c>
      <c r="J1337" s="36">
        <v>3637.5</v>
      </c>
      <c r="K1337" s="36">
        <v>5734.05</v>
      </c>
      <c r="L1337" s="36">
        <f t="shared" si="100"/>
        <v>2096.5500000000002</v>
      </c>
      <c r="M1337" s="37">
        <f t="shared" si="101"/>
        <v>0.57637113402061857</v>
      </c>
      <c r="N1337" s="17" t="str">
        <f t="shared" si="102"/>
        <v>Over Budget</v>
      </c>
      <c r="O1337" s="38">
        <f t="shared" si="103"/>
        <v>-5734.05</v>
      </c>
      <c r="P1337" s="39">
        <f t="shared" si="104"/>
        <v>46023</v>
      </c>
    </row>
    <row r="1338" spans="1:16" ht="15.5" x14ac:dyDescent="0.35">
      <c r="A1338" s="17" t="s">
        <v>1386</v>
      </c>
      <c r="B1338" s="35">
        <v>46041</v>
      </c>
      <c r="C1338" s="17" t="s">
        <v>12</v>
      </c>
      <c r="D1338" s="17" t="s">
        <v>2584</v>
      </c>
      <c r="E1338" s="17" t="s">
        <v>14</v>
      </c>
      <c r="F1338" s="17" t="s">
        <v>52</v>
      </c>
      <c r="G1338" s="17" t="s">
        <v>16</v>
      </c>
      <c r="H1338" s="17" t="s">
        <v>2595</v>
      </c>
      <c r="I1338" s="17" t="s">
        <v>23</v>
      </c>
      <c r="J1338" s="36">
        <v>3104</v>
      </c>
      <c r="K1338" s="36">
        <v>624.62</v>
      </c>
      <c r="L1338" s="36">
        <f t="shared" si="100"/>
        <v>-2479.38</v>
      </c>
      <c r="M1338" s="37">
        <f t="shared" si="101"/>
        <v>-0.7987693298969073</v>
      </c>
      <c r="N1338" s="17" t="str">
        <f t="shared" si="102"/>
        <v>Under Budget</v>
      </c>
      <c r="O1338" s="38">
        <f t="shared" si="103"/>
        <v>-624.62</v>
      </c>
      <c r="P1338" s="39">
        <f t="shared" si="104"/>
        <v>46023</v>
      </c>
    </row>
    <row r="1339" spans="1:16" ht="15.5" x14ac:dyDescent="0.35">
      <c r="A1339" s="17" t="s">
        <v>1387</v>
      </c>
      <c r="B1339" s="35">
        <v>45930</v>
      </c>
      <c r="C1339" s="17" t="s">
        <v>12</v>
      </c>
      <c r="D1339" s="17" t="s">
        <v>19</v>
      </c>
      <c r="E1339" s="17" t="s">
        <v>14</v>
      </c>
      <c r="F1339" s="17" t="s">
        <v>28</v>
      </c>
      <c r="G1339" s="17" t="s">
        <v>38</v>
      </c>
      <c r="H1339" s="17" t="s">
        <v>2595</v>
      </c>
      <c r="I1339" s="17" t="s">
        <v>39</v>
      </c>
      <c r="J1339" s="36">
        <v>5333.33</v>
      </c>
      <c r="K1339" s="36">
        <v>5385.3</v>
      </c>
      <c r="L1339" s="36">
        <f t="shared" si="100"/>
        <v>51.970000000000255</v>
      </c>
      <c r="M1339" s="37">
        <f t="shared" si="101"/>
        <v>9.74438109023823E-3</v>
      </c>
      <c r="N1339" s="17" t="str">
        <f t="shared" si="102"/>
        <v>Over Budget</v>
      </c>
      <c r="O1339" s="38">
        <f t="shared" si="103"/>
        <v>-5385.3</v>
      </c>
      <c r="P1339" s="39">
        <f t="shared" si="104"/>
        <v>45901</v>
      </c>
    </row>
    <row r="1340" spans="1:16" ht="15.5" x14ac:dyDescent="0.35">
      <c r="A1340" s="17" t="s">
        <v>1388</v>
      </c>
      <c r="B1340" s="35">
        <v>46053</v>
      </c>
      <c r="C1340" s="17" t="s">
        <v>12</v>
      </c>
      <c r="D1340" s="17" t="s">
        <v>2585</v>
      </c>
      <c r="E1340" s="17" t="s">
        <v>74</v>
      </c>
      <c r="F1340" s="17" t="s">
        <v>34</v>
      </c>
      <c r="G1340" s="17" t="s">
        <v>16</v>
      </c>
      <c r="H1340" s="17" t="s">
        <v>2593</v>
      </c>
      <c r="I1340" s="17" t="s">
        <v>48</v>
      </c>
      <c r="J1340" s="36">
        <v>4850</v>
      </c>
      <c r="K1340" s="36">
        <v>3926.51</v>
      </c>
      <c r="L1340" s="36">
        <f t="shared" si="100"/>
        <v>-923.48999999999978</v>
      </c>
      <c r="M1340" s="37">
        <f t="shared" si="101"/>
        <v>-0.19041030927835048</v>
      </c>
      <c r="N1340" s="17" t="str">
        <f t="shared" si="102"/>
        <v>Under Budget</v>
      </c>
      <c r="O1340" s="38">
        <f t="shared" si="103"/>
        <v>-3926.51</v>
      </c>
      <c r="P1340" s="39">
        <f t="shared" si="104"/>
        <v>46023</v>
      </c>
    </row>
    <row r="1341" spans="1:16" ht="15.5" x14ac:dyDescent="0.35">
      <c r="A1341" s="17" t="s">
        <v>1389</v>
      </c>
      <c r="B1341" s="35">
        <v>45907</v>
      </c>
      <c r="C1341" s="17" t="s">
        <v>25</v>
      </c>
      <c r="D1341" s="17" t="s">
        <v>32</v>
      </c>
      <c r="E1341" s="17" t="s">
        <v>109</v>
      </c>
      <c r="F1341" s="17" t="s">
        <v>21</v>
      </c>
      <c r="G1341" s="17" t="s">
        <v>38</v>
      </c>
      <c r="H1341" s="17" t="s">
        <v>2595</v>
      </c>
      <c r="I1341" s="17" t="s">
        <v>39</v>
      </c>
      <c r="J1341" s="36">
        <v>7142.86</v>
      </c>
      <c r="K1341" s="36">
        <v>9383.43</v>
      </c>
      <c r="L1341" s="36">
        <f t="shared" si="100"/>
        <v>2240.5700000000006</v>
      </c>
      <c r="M1341" s="37">
        <f t="shared" si="101"/>
        <v>0.31367967452813028</v>
      </c>
      <c r="N1341" s="17" t="str">
        <f t="shared" si="102"/>
        <v>Over Budget</v>
      </c>
      <c r="O1341" s="38">
        <f t="shared" si="103"/>
        <v>9383.43</v>
      </c>
      <c r="P1341" s="39">
        <f t="shared" si="104"/>
        <v>45901</v>
      </c>
    </row>
    <row r="1342" spans="1:16" ht="15.5" x14ac:dyDescent="0.35">
      <c r="A1342" s="17" t="s">
        <v>1390</v>
      </c>
      <c r="B1342" s="35">
        <v>45659</v>
      </c>
      <c r="C1342" s="17" t="s">
        <v>25</v>
      </c>
      <c r="D1342" s="17" t="s">
        <v>32</v>
      </c>
      <c r="E1342" s="17" t="s">
        <v>33</v>
      </c>
      <c r="F1342" s="17" t="s">
        <v>15</v>
      </c>
      <c r="G1342" s="17" t="s">
        <v>43</v>
      </c>
      <c r="H1342" s="17" t="s">
        <v>2593</v>
      </c>
      <c r="I1342" s="17" t="s">
        <v>39</v>
      </c>
      <c r="J1342" s="36">
        <v>11022.73</v>
      </c>
      <c r="K1342" s="36">
        <v>24671.08</v>
      </c>
      <c r="L1342" s="36">
        <f t="shared" si="100"/>
        <v>13648.350000000002</v>
      </c>
      <c r="M1342" s="37">
        <f t="shared" si="101"/>
        <v>1.2382005183833771</v>
      </c>
      <c r="N1342" s="17" t="str">
        <f t="shared" si="102"/>
        <v>Over Budget</v>
      </c>
      <c r="O1342" s="38">
        <f t="shared" si="103"/>
        <v>24671.08</v>
      </c>
      <c r="P1342" s="39">
        <f t="shared" si="104"/>
        <v>45658</v>
      </c>
    </row>
    <row r="1343" spans="1:16" ht="15.5" x14ac:dyDescent="0.35">
      <c r="A1343" s="17" t="s">
        <v>1391</v>
      </c>
      <c r="B1343" s="35">
        <v>45835</v>
      </c>
      <c r="C1343" s="17" t="s">
        <v>12</v>
      </c>
      <c r="D1343" s="17" t="s">
        <v>32</v>
      </c>
      <c r="E1343" s="17" t="s">
        <v>47</v>
      </c>
      <c r="F1343" s="17" t="s">
        <v>15</v>
      </c>
      <c r="G1343" s="17" t="s">
        <v>38</v>
      </c>
      <c r="H1343" s="17" t="s">
        <v>2586</v>
      </c>
      <c r="I1343" s="17" t="s">
        <v>48</v>
      </c>
      <c r="J1343" s="36">
        <v>4375</v>
      </c>
      <c r="K1343" s="36">
        <v>3576.04</v>
      </c>
      <c r="L1343" s="36">
        <f t="shared" si="100"/>
        <v>-798.96</v>
      </c>
      <c r="M1343" s="37">
        <f t="shared" si="101"/>
        <v>-0.18261942857142857</v>
      </c>
      <c r="N1343" s="17" t="str">
        <f t="shared" si="102"/>
        <v>Under Budget</v>
      </c>
      <c r="O1343" s="38">
        <f t="shared" si="103"/>
        <v>-3576.04</v>
      </c>
      <c r="P1343" s="39">
        <f t="shared" si="104"/>
        <v>45809</v>
      </c>
    </row>
    <row r="1344" spans="1:16" ht="15.5" x14ac:dyDescent="0.35">
      <c r="A1344" s="17" t="s">
        <v>1392</v>
      </c>
      <c r="B1344" s="35">
        <v>45874</v>
      </c>
      <c r="C1344" s="17" t="s">
        <v>12</v>
      </c>
      <c r="D1344" s="17" t="s">
        <v>26</v>
      </c>
      <c r="E1344" s="17" t="s">
        <v>41</v>
      </c>
      <c r="F1344" s="17" t="s">
        <v>21</v>
      </c>
      <c r="G1344" s="17" t="s">
        <v>38</v>
      </c>
      <c r="H1344" s="17" t="s">
        <v>2594</v>
      </c>
      <c r="I1344" s="17" t="s">
        <v>30</v>
      </c>
      <c r="J1344" s="36">
        <v>10833.33</v>
      </c>
      <c r="K1344" s="36">
        <v>11440.3</v>
      </c>
      <c r="L1344" s="36">
        <f t="shared" si="100"/>
        <v>606.96999999999935</v>
      </c>
      <c r="M1344" s="37">
        <f t="shared" si="101"/>
        <v>5.6028017239389862E-2</v>
      </c>
      <c r="N1344" s="17" t="str">
        <f t="shared" si="102"/>
        <v>Over Budget</v>
      </c>
      <c r="O1344" s="38">
        <f t="shared" si="103"/>
        <v>-11440.3</v>
      </c>
      <c r="P1344" s="39">
        <f t="shared" si="104"/>
        <v>45870</v>
      </c>
    </row>
    <row r="1345" spans="1:16" ht="15.5" x14ac:dyDescent="0.35">
      <c r="A1345" s="17" t="s">
        <v>1393</v>
      </c>
      <c r="B1345" s="35">
        <v>46119</v>
      </c>
      <c r="C1345" s="17" t="s">
        <v>12</v>
      </c>
      <c r="D1345" s="17" t="s">
        <v>19</v>
      </c>
      <c r="E1345" s="17" t="s">
        <v>37</v>
      </c>
      <c r="F1345" s="17" t="s">
        <v>52</v>
      </c>
      <c r="G1345" s="17" t="s">
        <v>38</v>
      </c>
      <c r="H1345" s="17" t="s">
        <v>2586</v>
      </c>
      <c r="I1345" s="17" t="s">
        <v>23</v>
      </c>
      <c r="J1345" s="36">
        <v>5600</v>
      </c>
      <c r="K1345" s="36">
        <v>1532.77</v>
      </c>
      <c r="L1345" s="36">
        <f t="shared" si="100"/>
        <v>-4067.23</v>
      </c>
      <c r="M1345" s="37">
        <f t="shared" si="101"/>
        <v>-0.72629107142857141</v>
      </c>
      <c r="N1345" s="17" t="str">
        <f t="shared" si="102"/>
        <v>Under Budget</v>
      </c>
      <c r="O1345" s="38">
        <f t="shared" si="103"/>
        <v>-1532.77</v>
      </c>
      <c r="P1345" s="39">
        <f t="shared" si="104"/>
        <v>46113</v>
      </c>
    </row>
    <row r="1346" spans="1:16" ht="15.5" x14ac:dyDescent="0.35">
      <c r="A1346" s="17" t="s">
        <v>1394</v>
      </c>
      <c r="B1346" s="35">
        <v>46203</v>
      </c>
      <c r="C1346" s="17" t="s">
        <v>25</v>
      </c>
      <c r="D1346" s="17" t="s">
        <v>32</v>
      </c>
      <c r="E1346" s="17" t="s">
        <v>109</v>
      </c>
      <c r="F1346" s="17" t="s">
        <v>34</v>
      </c>
      <c r="G1346" s="17" t="s">
        <v>29</v>
      </c>
      <c r="H1346" s="17" t="s">
        <v>2591</v>
      </c>
      <c r="I1346" s="17" t="s">
        <v>30</v>
      </c>
      <c r="J1346" s="36">
        <v>4761.8999999999996</v>
      </c>
      <c r="K1346" s="36">
        <v>15194.07</v>
      </c>
      <c r="L1346" s="36">
        <f t="shared" si="100"/>
        <v>10432.17</v>
      </c>
      <c r="M1346" s="37">
        <f t="shared" si="101"/>
        <v>2.1907578907578911</v>
      </c>
      <c r="N1346" s="17" t="str">
        <f t="shared" si="102"/>
        <v>Over Budget</v>
      </c>
      <c r="O1346" s="38">
        <f t="shared" si="103"/>
        <v>15194.07</v>
      </c>
      <c r="P1346" s="39">
        <f t="shared" si="104"/>
        <v>46174</v>
      </c>
    </row>
    <row r="1347" spans="1:16" ht="15.5" x14ac:dyDescent="0.35">
      <c r="A1347" s="17" t="s">
        <v>1395</v>
      </c>
      <c r="B1347" s="35">
        <v>45989</v>
      </c>
      <c r="C1347" s="17" t="s">
        <v>12</v>
      </c>
      <c r="D1347" s="17" t="s">
        <v>19</v>
      </c>
      <c r="E1347" s="17" t="s">
        <v>45</v>
      </c>
      <c r="F1347" s="17" t="s">
        <v>28</v>
      </c>
      <c r="G1347" s="17" t="s">
        <v>38</v>
      </c>
      <c r="H1347" s="17" t="s">
        <v>2593</v>
      </c>
      <c r="I1347" s="17" t="s">
        <v>48</v>
      </c>
      <c r="J1347" s="36">
        <v>9947.3700000000008</v>
      </c>
      <c r="K1347" s="36">
        <v>11734.44</v>
      </c>
      <c r="L1347" s="36">
        <f t="shared" ref="L1347:L1410" si="105">K1347-J1347</f>
        <v>1787.0699999999997</v>
      </c>
      <c r="M1347" s="37">
        <f t="shared" ref="M1347:M1410" si="106">IF(J1347=0,0,L1347/J1347)</f>
        <v>0.17965251116626801</v>
      </c>
      <c r="N1347" s="17" t="str">
        <f t="shared" ref="N1347:N1410" si="107">IF(J1347=0,"No Budget",IF(K1347&gt;J1347,"Over Budget",IF(K1347&lt;J1347,"Under Budget","On Budget")))</f>
        <v>Over Budget</v>
      </c>
      <c r="O1347" s="38">
        <f t="shared" ref="O1347:O1410" si="108">IF(C1347="Revenue",K1347,-K1347)</f>
        <v>-11734.44</v>
      </c>
      <c r="P1347" s="39">
        <f t="shared" ref="P1347:P1410" si="109">DATE(YEAR(B1347),MONTH(B1347),1)</f>
        <v>45962</v>
      </c>
    </row>
    <row r="1348" spans="1:16" ht="15.5" x14ac:dyDescent="0.35">
      <c r="A1348" s="17" t="s">
        <v>1396</v>
      </c>
      <c r="B1348" s="35">
        <v>45975</v>
      </c>
      <c r="C1348" s="17" t="s">
        <v>12</v>
      </c>
      <c r="D1348" s="17" t="s">
        <v>26</v>
      </c>
      <c r="E1348" s="17" t="s">
        <v>45</v>
      </c>
      <c r="F1348" s="17" t="s">
        <v>34</v>
      </c>
      <c r="G1348" s="17" t="s">
        <v>38</v>
      </c>
      <c r="H1348" s="17" t="s">
        <v>2596</v>
      </c>
      <c r="I1348" s="17" t="s">
        <v>48</v>
      </c>
      <c r="J1348" s="36">
        <v>9947.3700000000008</v>
      </c>
      <c r="K1348" s="36">
        <v>8073.04</v>
      </c>
      <c r="L1348" s="36">
        <f t="shared" si="105"/>
        <v>-1874.3300000000008</v>
      </c>
      <c r="M1348" s="37">
        <f t="shared" si="106"/>
        <v>-0.18842467908602983</v>
      </c>
      <c r="N1348" s="17" t="str">
        <f t="shared" si="107"/>
        <v>Under Budget</v>
      </c>
      <c r="O1348" s="38">
        <f t="shared" si="108"/>
        <v>-8073.04</v>
      </c>
      <c r="P1348" s="39">
        <f t="shared" si="109"/>
        <v>45962</v>
      </c>
    </row>
    <row r="1349" spans="1:16" ht="15.5" x14ac:dyDescent="0.35">
      <c r="A1349" s="17" t="s">
        <v>1397</v>
      </c>
      <c r="B1349" s="35">
        <v>46080</v>
      </c>
      <c r="C1349" s="17" t="s">
        <v>12</v>
      </c>
      <c r="D1349" s="17" t="s">
        <v>2584</v>
      </c>
      <c r="E1349" s="17" t="s">
        <v>41</v>
      </c>
      <c r="F1349" s="17" t="s">
        <v>34</v>
      </c>
      <c r="G1349" s="17" t="s">
        <v>38</v>
      </c>
      <c r="H1349" s="17" t="s">
        <v>80</v>
      </c>
      <c r="I1349" s="17" t="s">
        <v>23</v>
      </c>
      <c r="J1349" s="36">
        <v>6305</v>
      </c>
      <c r="K1349" s="36">
        <v>6917.33</v>
      </c>
      <c r="L1349" s="36">
        <f t="shared" si="105"/>
        <v>612.32999999999993</v>
      </c>
      <c r="M1349" s="37">
        <f t="shared" si="106"/>
        <v>9.7118160190325126E-2</v>
      </c>
      <c r="N1349" s="17" t="str">
        <f t="shared" si="107"/>
        <v>Over Budget</v>
      </c>
      <c r="O1349" s="38">
        <f t="shared" si="108"/>
        <v>-6917.33</v>
      </c>
      <c r="P1349" s="39">
        <f t="shared" si="109"/>
        <v>46054</v>
      </c>
    </row>
    <row r="1350" spans="1:16" ht="15.5" x14ac:dyDescent="0.35">
      <c r="A1350" s="17" t="s">
        <v>1398</v>
      </c>
      <c r="B1350" s="35">
        <v>46166</v>
      </c>
      <c r="C1350" s="17" t="s">
        <v>12</v>
      </c>
      <c r="D1350" s="17" t="s">
        <v>36</v>
      </c>
      <c r="E1350" s="17" t="s">
        <v>41</v>
      </c>
      <c r="F1350" s="17" t="s">
        <v>52</v>
      </c>
      <c r="G1350" s="17" t="s">
        <v>29</v>
      </c>
      <c r="H1350" s="17" t="s">
        <v>60</v>
      </c>
      <c r="I1350" s="17" t="s">
        <v>30</v>
      </c>
      <c r="J1350" s="36">
        <v>6500</v>
      </c>
      <c r="K1350" s="36">
        <v>2787.13</v>
      </c>
      <c r="L1350" s="36">
        <f t="shared" si="105"/>
        <v>-3712.87</v>
      </c>
      <c r="M1350" s="37">
        <f t="shared" si="106"/>
        <v>-0.57121076923076919</v>
      </c>
      <c r="N1350" s="17" t="str">
        <f t="shared" si="107"/>
        <v>Under Budget</v>
      </c>
      <c r="O1350" s="38">
        <f t="shared" si="108"/>
        <v>-2787.13</v>
      </c>
      <c r="P1350" s="39">
        <f t="shared" si="109"/>
        <v>46143</v>
      </c>
    </row>
    <row r="1351" spans="1:16" ht="15.5" x14ac:dyDescent="0.35">
      <c r="A1351" s="17" t="s">
        <v>1399</v>
      </c>
      <c r="B1351" s="35">
        <v>46182</v>
      </c>
      <c r="C1351" s="17" t="s">
        <v>12</v>
      </c>
      <c r="D1351" s="17" t="s">
        <v>2585</v>
      </c>
      <c r="E1351" s="17" t="s">
        <v>45</v>
      </c>
      <c r="F1351" s="17" t="s">
        <v>28</v>
      </c>
      <c r="G1351" s="17" t="s">
        <v>29</v>
      </c>
      <c r="H1351" s="17" t="s">
        <v>2595</v>
      </c>
      <c r="I1351" s="17" t="s">
        <v>30</v>
      </c>
      <c r="J1351" s="36">
        <v>8571.43</v>
      </c>
      <c r="K1351" s="36">
        <v>3951.42</v>
      </c>
      <c r="L1351" s="36">
        <f t="shared" si="105"/>
        <v>-4620.01</v>
      </c>
      <c r="M1351" s="37">
        <f t="shared" si="106"/>
        <v>-0.5390010768331539</v>
      </c>
      <c r="N1351" s="17" t="str">
        <f t="shared" si="107"/>
        <v>Under Budget</v>
      </c>
      <c r="O1351" s="38">
        <f t="shared" si="108"/>
        <v>-3951.42</v>
      </c>
      <c r="P1351" s="39">
        <f t="shared" si="109"/>
        <v>46174</v>
      </c>
    </row>
    <row r="1352" spans="1:16" ht="15.5" x14ac:dyDescent="0.35">
      <c r="A1352" s="17" t="s">
        <v>1400</v>
      </c>
      <c r="B1352" s="35">
        <v>45688</v>
      </c>
      <c r="C1352" s="17" t="s">
        <v>25</v>
      </c>
      <c r="D1352" s="17" t="s">
        <v>32</v>
      </c>
      <c r="E1352" s="17" t="s">
        <v>109</v>
      </c>
      <c r="F1352" s="17" t="s">
        <v>34</v>
      </c>
      <c r="G1352" s="17" t="s">
        <v>38</v>
      </c>
      <c r="H1352" s="17" t="s">
        <v>2587</v>
      </c>
      <c r="I1352" s="17" t="s">
        <v>23</v>
      </c>
      <c r="J1352" s="36">
        <v>9700</v>
      </c>
      <c r="K1352" s="36">
        <v>10126.48</v>
      </c>
      <c r="L1352" s="36">
        <f t="shared" si="105"/>
        <v>426.47999999999956</v>
      </c>
      <c r="M1352" s="37">
        <f t="shared" si="106"/>
        <v>4.3967010309278305E-2</v>
      </c>
      <c r="N1352" s="17" t="str">
        <f t="shared" si="107"/>
        <v>Over Budget</v>
      </c>
      <c r="O1352" s="38">
        <f t="shared" si="108"/>
        <v>10126.48</v>
      </c>
      <c r="P1352" s="39">
        <f t="shared" si="109"/>
        <v>45658</v>
      </c>
    </row>
    <row r="1353" spans="1:16" ht="15.5" x14ac:dyDescent="0.35">
      <c r="A1353" s="17" t="s">
        <v>1401</v>
      </c>
      <c r="B1353" s="35">
        <v>45963</v>
      </c>
      <c r="C1353" s="17" t="s">
        <v>12</v>
      </c>
      <c r="D1353" s="17" t="s">
        <v>2585</v>
      </c>
      <c r="E1353" s="17" t="s">
        <v>20</v>
      </c>
      <c r="F1353" s="17" t="s">
        <v>34</v>
      </c>
      <c r="G1353" s="17" t="s">
        <v>38</v>
      </c>
      <c r="H1353" s="17" t="s">
        <v>2598</v>
      </c>
      <c r="I1353" s="17" t="s">
        <v>23</v>
      </c>
      <c r="J1353" s="36">
        <v>1890</v>
      </c>
      <c r="K1353" s="36">
        <v>577.76</v>
      </c>
      <c r="L1353" s="36">
        <f t="shared" si="105"/>
        <v>-1312.24</v>
      </c>
      <c r="M1353" s="37">
        <f t="shared" si="106"/>
        <v>-0.69430687830687832</v>
      </c>
      <c r="N1353" s="17" t="str">
        <f t="shared" si="107"/>
        <v>Under Budget</v>
      </c>
      <c r="O1353" s="38">
        <f t="shared" si="108"/>
        <v>-577.76</v>
      </c>
      <c r="P1353" s="39">
        <f t="shared" si="109"/>
        <v>45962</v>
      </c>
    </row>
    <row r="1354" spans="1:16" ht="15.5" x14ac:dyDescent="0.35">
      <c r="A1354" s="17" t="s">
        <v>1402</v>
      </c>
      <c r="B1354" s="35">
        <v>46009</v>
      </c>
      <c r="C1354" s="17" t="s">
        <v>12</v>
      </c>
      <c r="D1354" s="17" t="s">
        <v>26</v>
      </c>
      <c r="E1354" s="17" t="s">
        <v>65</v>
      </c>
      <c r="F1354" s="17" t="s">
        <v>52</v>
      </c>
      <c r="G1354" s="17" t="s">
        <v>38</v>
      </c>
      <c r="H1354" s="17" t="s">
        <v>2586</v>
      </c>
      <c r="I1354" s="17" t="s">
        <v>48</v>
      </c>
      <c r="J1354" s="36">
        <v>4125</v>
      </c>
      <c r="K1354" s="36">
        <v>8628.17</v>
      </c>
      <c r="L1354" s="36">
        <f t="shared" si="105"/>
        <v>4503.17</v>
      </c>
      <c r="M1354" s="37">
        <f t="shared" si="106"/>
        <v>1.0916775757575758</v>
      </c>
      <c r="N1354" s="17" t="str">
        <f t="shared" si="107"/>
        <v>Over Budget</v>
      </c>
      <c r="O1354" s="38">
        <f t="shared" si="108"/>
        <v>-8628.17</v>
      </c>
      <c r="P1354" s="39">
        <f t="shared" si="109"/>
        <v>45992</v>
      </c>
    </row>
    <row r="1355" spans="1:16" ht="15.5" x14ac:dyDescent="0.35">
      <c r="A1355" s="17" t="s">
        <v>1403</v>
      </c>
      <c r="B1355" s="35">
        <v>46065</v>
      </c>
      <c r="C1355" s="17" t="s">
        <v>12</v>
      </c>
      <c r="D1355" s="17" t="s">
        <v>2585</v>
      </c>
      <c r="E1355" s="17" t="s">
        <v>41</v>
      </c>
      <c r="F1355" s="17" t="s">
        <v>28</v>
      </c>
      <c r="G1355" s="17" t="s">
        <v>16</v>
      </c>
      <c r="H1355" s="17" t="s">
        <v>2589</v>
      </c>
      <c r="I1355" s="17" t="s">
        <v>23</v>
      </c>
      <c r="J1355" s="36">
        <v>6305</v>
      </c>
      <c r="K1355" s="36">
        <v>8306.3700000000008</v>
      </c>
      <c r="L1355" s="36">
        <f t="shared" si="105"/>
        <v>2001.3700000000008</v>
      </c>
      <c r="M1355" s="37">
        <f t="shared" si="106"/>
        <v>0.31742585249801758</v>
      </c>
      <c r="N1355" s="17" t="str">
        <f t="shared" si="107"/>
        <v>Over Budget</v>
      </c>
      <c r="O1355" s="38">
        <f t="shared" si="108"/>
        <v>-8306.3700000000008</v>
      </c>
      <c r="P1355" s="39">
        <f t="shared" si="109"/>
        <v>46054</v>
      </c>
    </row>
    <row r="1356" spans="1:16" ht="15.5" x14ac:dyDescent="0.35">
      <c r="A1356" s="17" t="s">
        <v>1404</v>
      </c>
      <c r="B1356" s="35">
        <v>45733</v>
      </c>
      <c r="C1356" s="17" t="s">
        <v>12</v>
      </c>
      <c r="D1356" s="17" t="s">
        <v>36</v>
      </c>
      <c r="E1356" s="17" t="s">
        <v>65</v>
      </c>
      <c r="F1356" s="17" t="s">
        <v>21</v>
      </c>
      <c r="G1356" s="17" t="s">
        <v>38</v>
      </c>
      <c r="H1356" s="17" t="s">
        <v>2589</v>
      </c>
      <c r="I1356" s="17" t="s">
        <v>17</v>
      </c>
      <c r="J1356" s="36">
        <v>3928.57</v>
      </c>
      <c r="K1356" s="36">
        <v>3301.62</v>
      </c>
      <c r="L1356" s="36">
        <f t="shared" si="105"/>
        <v>-626.95000000000027</v>
      </c>
      <c r="M1356" s="37">
        <f t="shared" si="106"/>
        <v>-0.15958733075902942</v>
      </c>
      <c r="N1356" s="17" t="str">
        <f t="shared" si="107"/>
        <v>Under Budget</v>
      </c>
      <c r="O1356" s="38">
        <f t="shared" si="108"/>
        <v>-3301.62</v>
      </c>
      <c r="P1356" s="39">
        <f t="shared" si="109"/>
        <v>45717</v>
      </c>
    </row>
    <row r="1357" spans="1:16" ht="15.5" x14ac:dyDescent="0.35">
      <c r="A1357" s="17" t="s">
        <v>1405</v>
      </c>
      <c r="B1357" s="35">
        <v>45795</v>
      </c>
      <c r="C1357" s="17" t="s">
        <v>12</v>
      </c>
      <c r="D1357" s="17" t="s">
        <v>19</v>
      </c>
      <c r="E1357" s="17" t="s">
        <v>45</v>
      </c>
      <c r="F1357" s="17" t="s">
        <v>15</v>
      </c>
      <c r="G1357" s="17" t="s">
        <v>43</v>
      </c>
      <c r="H1357" s="17" t="s">
        <v>2586</v>
      </c>
      <c r="I1357" s="17" t="s">
        <v>23</v>
      </c>
      <c r="J1357" s="36">
        <v>7200</v>
      </c>
      <c r="K1357" s="36">
        <v>4488.41</v>
      </c>
      <c r="L1357" s="36">
        <f t="shared" si="105"/>
        <v>-2711.59</v>
      </c>
      <c r="M1357" s="37">
        <f t="shared" si="106"/>
        <v>-0.37660972222222222</v>
      </c>
      <c r="N1357" s="17" t="str">
        <f t="shared" si="107"/>
        <v>Under Budget</v>
      </c>
      <c r="O1357" s="38">
        <f t="shared" si="108"/>
        <v>-4488.41</v>
      </c>
      <c r="P1357" s="39">
        <f t="shared" si="109"/>
        <v>45778</v>
      </c>
    </row>
    <row r="1358" spans="1:16" ht="15.5" x14ac:dyDescent="0.35">
      <c r="A1358" s="17" t="s">
        <v>1406</v>
      </c>
      <c r="B1358" s="35">
        <v>46076</v>
      </c>
      <c r="C1358" s="17" t="s">
        <v>12</v>
      </c>
      <c r="D1358" s="17" t="s">
        <v>2584</v>
      </c>
      <c r="E1358" s="17" t="s">
        <v>37</v>
      </c>
      <c r="F1358" s="17" t="s">
        <v>21</v>
      </c>
      <c r="G1358" s="17" t="s">
        <v>82</v>
      </c>
      <c r="H1358" s="17" t="s">
        <v>2586</v>
      </c>
      <c r="I1358" s="17" t="s">
        <v>23</v>
      </c>
      <c r="J1358" s="36">
        <v>3880</v>
      </c>
      <c r="K1358" s="36">
        <v>2154.67</v>
      </c>
      <c r="L1358" s="36">
        <f t="shared" si="105"/>
        <v>-1725.33</v>
      </c>
      <c r="M1358" s="37">
        <f t="shared" si="106"/>
        <v>-0.44467268041237112</v>
      </c>
      <c r="N1358" s="17" t="str">
        <f t="shared" si="107"/>
        <v>Under Budget</v>
      </c>
      <c r="O1358" s="38">
        <f t="shared" si="108"/>
        <v>-2154.67</v>
      </c>
      <c r="P1358" s="39">
        <f t="shared" si="109"/>
        <v>46054</v>
      </c>
    </row>
    <row r="1359" spans="1:16" ht="15.5" x14ac:dyDescent="0.35">
      <c r="A1359" s="17" t="s">
        <v>1407</v>
      </c>
      <c r="B1359" s="35">
        <v>45790</v>
      </c>
      <c r="C1359" s="17" t="s">
        <v>12</v>
      </c>
      <c r="D1359" s="17" t="s">
        <v>2584</v>
      </c>
      <c r="E1359" s="17" t="s">
        <v>41</v>
      </c>
      <c r="F1359" s="17" t="s">
        <v>21</v>
      </c>
      <c r="G1359" s="17" t="s">
        <v>38</v>
      </c>
      <c r="H1359" s="17" t="s">
        <v>2592</v>
      </c>
      <c r="I1359" s="17" t="s">
        <v>23</v>
      </c>
      <c r="J1359" s="36">
        <v>4642.8599999999997</v>
      </c>
      <c r="K1359" s="36">
        <v>6214.71</v>
      </c>
      <c r="L1359" s="36">
        <f t="shared" si="105"/>
        <v>1571.8500000000004</v>
      </c>
      <c r="M1359" s="37">
        <f t="shared" si="106"/>
        <v>0.33855209935255437</v>
      </c>
      <c r="N1359" s="17" t="str">
        <f t="shared" si="107"/>
        <v>Over Budget</v>
      </c>
      <c r="O1359" s="38">
        <f t="shared" si="108"/>
        <v>-6214.71</v>
      </c>
      <c r="P1359" s="39">
        <f t="shared" si="109"/>
        <v>45778</v>
      </c>
    </row>
    <row r="1360" spans="1:16" ht="15.5" x14ac:dyDescent="0.35">
      <c r="A1360" s="17" t="s">
        <v>1408</v>
      </c>
      <c r="B1360" s="35">
        <v>45877</v>
      </c>
      <c r="C1360" s="17" t="s">
        <v>25</v>
      </c>
      <c r="D1360" s="17" t="s">
        <v>32</v>
      </c>
      <c r="E1360" s="17" t="s">
        <v>33</v>
      </c>
      <c r="F1360" s="17" t="s">
        <v>15</v>
      </c>
      <c r="G1360" s="17" t="s">
        <v>22</v>
      </c>
      <c r="H1360" s="17" t="s">
        <v>2588</v>
      </c>
      <c r="I1360" s="17" t="s">
        <v>23</v>
      </c>
      <c r="J1360" s="36">
        <v>10416.67</v>
      </c>
      <c r="K1360" s="36">
        <v>17497.259999999998</v>
      </c>
      <c r="L1360" s="36">
        <f t="shared" si="105"/>
        <v>7080.5899999999983</v>
      </c>
      <c r="M1360" s="37">
        <f t="shared" si="106"/>
        <v>0.67973642248434463</v>
      </c>
      <c r="N1360" s="17" t="str">
        <f t="shared" si="107"/>
        <v>Over Budget</v>
      </c>
      <c r="O1360" s="38">
        <f t="shared" si="108"/>
        <v>17497.259999999998</v>
      </c>
      <c r="P1360" s="39">
        <f t="shared" si="109"/>
        <v>45870</v>
      </c>
    </row>
    <row r="1361" spans="1:16" ht="15.5" x14ac:dyDescent="0.35">
      <c r="A1361" s="17" t="s">
        <v>1409</v>
      </c>
      <c r="B1361" s="35">
        <v>46002</v>
      </c>
      <c r="C1361" s="17" t="s">
        <v>25</v>
      </c>
      <c r="D1361" s="17" t="s">
        <v>36</v>
      </c>
      <c r="E1361" s="17" t="s">
        <v>169</v>
      </c>
      <c r="F1361" s="17" t="s">
        <v>34</v>
      </c>
      <c r="G1361" s="17" t="s">
        <v>38</v>
      </c>
      <c r="H1361" s="17" t="s">
        <v>2596</v>
      </c>
      <c r="I1361" s="17" t="s">
        <v>17</v>
      </c>
      <c r="J1361" s="36">
        <v>3500</v>
      </c>
      <c r="K1361" s="36">
        <v>1239.9000000000001</v>
      </c>
      <c r="L1361" s="36">
        <f t="shared" si="105"/>
        <v>-2260.1</v>
      </c>
      <c r="M1361" s="37">
        <f t="shared" si="106"/>
        <v>-0.64574285714285706</v>
      </c>
      <c r="N1361" s="17" t="str">
        <f t="shared" si="107"/>
        <v>Under Budget</v>
      </c>
      <c r="O1361" s="38">
        <f t="shared" si="108"/>
        <v>1239.9000000000001</v>
      </c>
      <c r="P1361" s="39">
        <f t="shared" si="109"/>
        <v>45992</v>
      </c>
    </row>
    <row r="1362" spans="1:16" ht="15.5" x14ac:dyDescent="0.35">
      <c r="A1362" s="17" t="s">
        <v>1410</v>
      </c>
      <c r="B1362" s="35">
        <v>46172</v>
      </c>
      <c r="C1362" s="17" t="s">
        <v>12</v>
      </c>
      <c r="D1362" s="17" t="s">
        <v>19</v>
      </c>
      <c r="E1362" s="17" t="s">
        <v>51</v>
      </c>
      <c r="F1362" s="17" t="s">
        <v>52</v>
      </c>
      <c r="G1362" s="17" t="s">
        <v>22</v>
      </c>
      <c r="H1362" s="17" t="s">
        <v>2587</v>
      </c>
      <c r="I1362" s="17" t="s">
        <v>30</v>
      </c>
      <c r="J1362" s="36">
        <v>2727.27</v>
      </c>
      <c r="K1362" s="36">
        <v>7212.45</v>
      </c>
      <c r="L1362" s="36">
        <f t="shared" si="105"/>
        <v>4485.18</v>
      </c>
      <c r="M1362" s="37">
        <f t="shared" si="106"/>
        <v>1.6445676445676447</v>
      </c>
      <c r="N1362" s="17" t="str">
        <f t="shared" si="107"/>
        <v>Over Budget</v>
      </c>
      <c r="O1362" s="38">
        <f t="shared" si="108"/>
        <v>-7212.45</v>
      </c>
      <c r="P1362" s="39">
        <f t="shared" si="109"/>
        <v>46143</v>
      </c>
    </row>
    <row r="1363" spans="1:16" ht="15.5" x14ac:dyDescent="0.35">
      <c r="A1363" s="17" t="s">
        <v>1411</v>
      </c>
      <c r="B1363" s="35">
        <v>45735</v>
      </c>
      <c r="C1363" s="17" t="s">
        <v>25</v>
      </c>
      <c r="D1363" s="17" t="s">
        <v>32</v>
      </c>
      <c r="E1363" s="17" t="s">
        <v>33</v>
      </c>
      <c r="F1363" s="17" t="s">
        <v>34</v>
      </c>
      <c r="G1363" s="17" t="s">
        <v>43</v>
      </c>
      <c r="H1363" s="17" t="s">
        <v>2594</v>
      </c>
      <c r="I1363" s="17" t="s">
        <v>30</v>
      </c>
      <c r="J1363" s="36">
        <v>8064.52</v>
      </c>
      <c r="K1363" s="36">
        <v>21803.54</v>
      </c>
      <c r="L1363" s="36">
        <f t="shared" si="105"/>
        <v>13739.02</v>
      </c>
      <c r="M1363" s="37">
        <f t="shared" si="106"/>
        <v>1.703637662253922</v>
      </c>
      <c r="N1363" s="17" t="str">
        <f t="shared" si="107"/>
        <v>Over Budget</v>
      </c>
      <c r="O1363" s="38">
        <f t="shared" si="108"/>
        <v>21803.54</v>
      </c>
      <c r="P1363" s="39">
        <f t="shared" si="109"/>
        <v>45717</v>
      </c>
    </row>
    <row r="1364" spans="1:16" ht="15.5" x14ac:dyDescent="0.35">
      <c r="A1364" s="17" t="s">
        <v>1412</v>
      </c>
      <c r="B1364" s="35">
        <v>45851</v>
      </c>
      <c r="C1364" s="17" t="s">
        <v>12</v>
      </c>
      <c r="D1364" s="17" t="s">
        <v>36</v>
      </c>
      <c r="E1364" s="17" t="s">
        <v>45</v>
      </c>
      <c r="F1364" s="17" t="s">
        <v>28</v>
      </c>
      <c r="G1364" s="17" t="s">
        <v>38</v>
      </c>
      <c r="H1364" s="17" t="s">
        <v>2589</v>
      </c>
      <c r="I1364" s="17" t="s">
        <v>48</v>
      </c>
      <c r="J1364" s="36">
        <v>6923.08</v>
      </c>
      <c r="K1364" s="36">
        <v>3584.08</v>
      </c>
      <c r="L1364" s="36">
        <f t="shared" si="105"/>
        <v>-3339</v>
      </c>
      <c r="M1364" s="37">
        <f t="shared" si="106"/>
        <v>-0.48229978564453974</v>
      </c>
      <c r="N1364" s="17" t="str">
        <f t="shared" si="107"/>
        <v>Under Budget</v>
      </c>
      <c r="O1364" s="38">
        <f t="shared" si="108"/>
        <v>-3584.08</v>
      </c>
      <c r="P1364" s="39">
        <f t="shared" si="109"/>
        <v>45839</v>
      </c>
    </row>
    <row r="1365" spans="1:16" ht="15.5" x14ac:dyDescent="0.35">
      <c r="A1365" s="17" t="s">
        <v>1413</v>
      </c>
      <c r="B1365" s="35">
        <v>46188</v>
      </c>
      <c r="C1365" s="17" t="s">
        <v>25</v>
      </c>
      <c r="D1365" s="17" t="s">
        <v>32</v>
      </c>
      <c r="E1365" s="17" t="s">
        <v>109</v>
      </c>
      <c r="F1365" s="17" t="s">
        <v>15</v>
      </c>
      <c r="G1365" s="17" t="s">
        <v>43</v>
      </c>
      <c r="H1365" s="17" t="s">
        <v>2598</v>
      </c>
      <c r="I1365" s="17" t="s">
        <v>39</v>
      </c>
      <c r="J1365" s="36">
        <v>4761.8999999999996</v>
      </c>
      <c r="K1365" s="36">
        <v>14665.74</v>
      </c>
      <c r="L1365" s="36">
        <f t="shared" si="105"/>
        <v>9903.84</v>
      </c>
      <c r="M1365" s="37">
        <f t="shared" si="106"/>
        <v>2.0798084798084799</v>
      </c>
      <c r="N1365" s="17" t="str">
        <f t="shared" si="107"/>
        <v>Over Budget</v>
      </c>
      <c r="O1365" s="38">
        <f t="shared" si="108"/>
        <v>14665.74</v>
      </c>
      <c r="P1365" s="39">
        <f t="shared" si="109"/>
        <v>46174</v>
      </c>
    </row>
    <row r="1366" spans="1:16" ht="15.5" x14ac:dyDescent="0.35">
      <c r="A1366" s="17" t="s">
        <v>1414</v>
      </c>
      <c r="B1366" s="35">
        <v>45839</v>
      </c>
      <c r="C1366" s="17" t="s">
        <v>12</v>
      </c>
      <c r="D1366" s="17" t="s">
        <v>19</v>
      </c>
      <c r="E1366" s="17" t="s">
        <v>74</v>
      </c>
      <c r="F1366" s="17" t="s">
        <v>34</v>
      </c>
      <c r="G1366" s="17" t="s">
        <v>16</v>
      </c>
      <c r="H1366" s="17" t="s">
        <v>2592</v>
      </c>
      <c r="I1366" s="17" t="s">
        <v>23</v>
      </c>
      <c r="J1366" s="36">
        <v>3333.33</v>
      </c>
      <c r="K1366" s="36">
        <v>2646.26</v>
      </c>
      <c r="L1366" s="36">
        <f t="shared" si="105"/>
        <v>-687.06999999999971</v>
      </c>
      <c r="M1366" s="37">
        <f t="shared" si="106"/>
        <v>-0.20612120612120605</v>
      </c>
      <c r="N1366" s="17" t="str">
        <f t="shared" si="107"/>
        <v>Under Budget</v>
      </c>
      <c r="O1366" s="38">
        <f t="shared" si="108"/>
        <v>-2646.26</v>
      </c>
      <c r="P1366" s="39">
        <f t="shared" si="109"/>
        <v>45839</v>
      </c>
    </row>
    <row r="1367" spans="1:16" ht="15.5" x14ac:dyDescent="0.35">
      <c r="A1367" s="17" t="s">
        <v>1415</v>
      </c>
      <c r="B1367" s="35">
        <v>45792</v>
      </c>
      <c r="C1367" s="17" t="s">
        <v>12</v>
      </c>
      <c r="D1367" s="17" t="s">
        <v>26</v>
      </c>
      <c r="E1367" s="17" t="s">
        <v>41</v>
      </c>
      <c r="F1367" s="17" t="s">
        <v>52</v>
      </c>
      <c r="G1367" s="17" t="s">
        <v>22</v>
      </c>
      <c r="H1367" s="17" t="s">
        <v>2595</v>
      </c>
      <c r="I1367" s="17" t="s">
        <v>30</v>
      </c>
      <c r="J1367" s="36">
        <v>4642.8599999999997</v>
      </c>
      <c r="K1367" s="36">
        <v>5308.62</v>
      </c>
      <c r="L1367" s="36">
        <f t="shared" si="105"/>
        <v>665.76000000000022</v>
      </c>
      <c r="M1367" s="37">
        <f t="shared" si="106"/>
        <v>0.14339437329577034</v>
      </c>
      <c r="N1367" s="17" t="str">
        <f t="shared" si="107"/>
        <v>Over Budget</v>
      </c>
      <c r="O1367" s="38">
        <f t="shared" si="108"/>
        <v>-5308.62</v>
      </c>
      <c r="P1367" s="39">
        <f t="shared" si="109"/>
        <v>45778</v>
      </c>
    </row>
    <row r="1368" spans="1:16" ht="15.5" x14ac:dyDescent="0.35">
      <c r="A1368" s="17" t="s">
        <v>1416</v>
      </c>
      <c r="B1368" s="35">
        <v>45816</v>
      </c>
      <c r="C1368" s="17" t="s">
        <v>25</v>
      </c>
      <c r="D1368" s="17" t="s">
        <v>2585</v>
      </c>
      <c r="E1368" s="17" t="s">
        <v>33</v>
      </c>
      <c r="F1368" s="17" t="s">
        <v>34</v>
      </c>
      <c r="G1368" s="17" t="s">
        <v>38</v>
      </c>
      <c r="H1368" s="17" t="s">
        <v>80</v>
      </c>
      <c r="I1368" s="17" t="s">
        <v>23</v>
      </c>
      <c r="J1368" s="36">
        <v>9615.3799999999992</v>
      </c>
      <c r="K1368" s="36">
        <v>18234.509999999998</v>
      </c>
      <c r="L1368" s="36">
        <f t="shared" si="105"/>
        <v>8619.1299999999992</v>
      </c>
      <c r="M1368" s="37">
        <f t="shared" si="106"/>
        <v>0.89638995026717616</v>
      </c>
      <c r="N1368" s="17" t="str">
        <f t="shared" si="107"/>
        <v>Over Budget</v>
      </c>
      <c r="O1368" s="38">
        <f t="shared" si="108"/>
        <v>18234.509999999998</v>
      </c>
      <c r="P1368" s="39">
        <f t="shared" si="109"/>
        <v>45809</v>
      </c>
    </row>
    <row r="1369" spans="1:16" ht="15.5" x14ac:dyDescent="0.35">
      <c r="A1369" s="17" t="s">
        <v>1417</v>
      </c>
      <c r="B1369" s="35">
        <v>46192</v>
      </c>
      <c r="C1369" s="17" t="s">
        <v>12</v>
      </c>
      <c r="D1369" s="17" t="s">
        <v>19</v>
      </c>
      <c r="E1369" s="17" t="s">
        <v>20</v>
      </c>
      <c r="F1369" s="17" t="s">
        <v>15</v>
      </c>
      <c r="G1369" s="17" t="s">
        <v>22</v>
      </c>
      <c r="H1369" s="17" t="s">
        <v>2586</v>
      </c>
      <c r="I1369" s="17" t="s">
        <v>48</v>
      </c>
      <c r="J1369" s="36">
        <v>3000</v>
      </c>
      <c r="K1369" s="36">
        <v>1204.43</v>
      </c>
      <c r="L1369" s="36">
        <f t="shared" si="105"/>
        <v>-1795.57</v>
      </c>
      <c r="M1369" s="37">
        <f t="shared" si="106"/>
        <v>-0.5985233333333333</v>
      </c>
      <c r="N1369" s="17" t="str">
        <f t="shared" si="107"/>
        <v>Under Budget</v>
      </c>
      <c r="O1369" s="38">
        <f t="shared" si="108"/>
        <v>-1204.43</v>
      </c>
      <c r="P1369" s="39">
        <f t="shared" si="109"/>
        <v>46174</v>
      </c>
    </row>
    <row r="1370" spans="1:16" ht="15.5" x14ac:dyDescent="0.35">
      <c r="A1370" s="17" t="s">
        <v>1418</v>
      </c>
      <c r="B1370" s="35">
        <v>45890</v>
      </c>
      <c r="C1370" s="17" t="s">
        <v>12</v>
      </c>
      <c r="D1370" s="17" t="s">
        <v>19</v>
      </c>
      <c r="E1370" s="17" t="s">
        <v>74</v>
      </c>
      <c r="F1370" s="17" t="s">
        <v>52</v>
      </c>
      <c r="G1370" s="17" t="s">
        <v>38</v>
      </c>
      <c r="H1370" s="17" t="s">
        <v>60</v>
      </c>
      <c r="I1370" s="17" t="s">
        <v>30</v>
      </c>
      <c r="J1370" s="36">
        <v>5714.29</v>
      </c>
      <c r="K1370" s="36">
        <v>2855.08</v>
      </c>
      <c r="L1370" s="36">
        <f t="shared" si="105"/>
        <v>-2859.21</v>
      </c>
      <c r="M1370" s="37">
        <f t="shared" si="106"/>
        <v>-0.50036137472896891</v>
      </c>
      <c r="N1370" s="17" t="str">
        <f t="shared" si="107"/>
        <v>Under Budget</v>
      </c>
      <c r="O1370" s="38">
        <f t="shared" si="108"/>
        <v>-2855.08</v>
      </c>
      <c r="P1370" s="39">
        <f t="shared" si="109"/>
        <v>45870</v>
      </c>
    </row>
    <row r="1371" spans="1:16" ht="15.5" x14ac:dyDescent="0.35">
      <c r="A1371" s="17" t="s">
        <v>1419</v>
      </c>
      <c r="B1371" s="35">
        <v>46034</v>
      </c>
      <c r="C1371" s="17" t="s">
        <v>12</v>
      </c>
      <c r="D1371" s="17" t="s">
        <v>19</v>
      </c>
      <c r="E1371" s="17" t="s">
        <v>74</v>
      </c>
      <c r="F1371" s="17" t="s">
        <v>34</v>
      </c>
      <c r="G1371" s="17" t="s">
        <v>22</v>
      </c>
      <c r="H1371" s="17" t="s">
        <v>2594</v>
      </c>
      <c r="I1371" s="17" t="s">
        <v>30</v>
      </c>
      <c r="J1371" s="36">
        <v>4850</v>
      </c>
      <c r="K1371" s="36">
        <v>5693.89</v>
      </c>
      <c r="L1371" s="36">
        <f t="shared" si="105"/>
        <v>843.89000000000033</v>
      </c>
      <c r="M1371" s="37">
        <f t="shared" si="106"/>
        <v>0.17399793814432996</v>
      </c>
      <c r="N1371" s="17" t="str">
        <f t="shared" si="107"/>
        <v>Over Budget</v>
      </c>
      <c r="O1371" s="38">
        <f t="shared" si="108"/>
        <v>-5693.89</v>
      </c>
      <c r="P1371" s="39">
        <f t="shared" si="109"/>
        <v>46023</v>
      </c>
    </row>
    <row r="1372" spans="1:16" ht="15.5" x14ac:dyDescent="0.35">
      <c r="A1372" s="17" t="s">
        <v>1420</v>
      </c>
      <c r="B1372" s="35">
        <v>45843</v>
      </c>
      <c r="C1372" s="17" t="s">
        <v>25</v>
      </c>
      <c r="D1372" s="17" t="s">
        <v>26</v>
      </c>
      <c r="E1372" s="17" t="s">
        <v>169</v>
      </c>
      <c r="F1372" s="17" t="s">
        <v>52</v>
      </c>
      <c r="G1372" s="17" t="s">
        <v>22</v>
      </c>
      <c r="H1372" s="17" t="s">
        <v>2598</v>
      </c>
      <c r="I1372" s="17" t="s">
        <v>30</v>
      </c>
      <c r="J1372" s="36">
        <v>4000</v>
      </c>
      <c r="K1372" s="36">
        <v>2727.89</v>
      </c>
      <c r="L1372" s="36">
        <f t="shared" si="105"/>
        <v>-1272.1100000000001</v>
      </c>
      <c r="M1372" s="37">
        <f t="shared" si="106"/>
        <v>-0.31802750000000002</v>
      </c>
      <c r="N1372" s="17" t="str">
        <f t="shared" si="107"/>
        <v>Under Budget</v>
      </c>
      <c r="O1372" s="38">
        <f t="shared" si="108"/>
        <v>2727.89</v>
      </c>
      <c r="P1372" s="39">
        <f t="shared" si="109"/>
        <v>45839</v>
      </c>
    </row>
    <row r="1373" spans="1:16" ht="15.5" x14ac:dyDescent="0.35">
      <c r="A1373" s="17" t="s">
        <v>1421</v>
      </c>
      <c r="B1373" s="35">
        <v>46108</v>
      </c>
      <c r="C1373" s="17" t="s">
        <v>12</v>
      </c>
      <c r="D1373" s="17" t="s">
        <v>19</v>
      </c>
      <c r="E1373" s="17" t="s">
        <v>47</v>
      </c>
      <c r="F1373" s="17" t="s">
        <v>28</v>
      </c>
      <c r="G1373" s="17" t="s">
        <v>43</v>
      </c>
      <c r="H1373" s="17" t="s">
        <v>2592</v>
      </c>
      <c r="I1373" s="17" t="s">
        <v>23</v>
      </c>
      <c r="J1373" s="36">
        <v>3181.82</v>
      </c>
      <c r="K1373" s="36">
        <v>4572.96</v>
      </c>
      <c r="L1373" s="36">
        <f t="shared" si="105"/>
        <v>1391.1399999999999</v>
      </c>
      <c r="M1373" s="37">
        <f t="shared" si="106"/>
        <v>0.43721517873418353</v>
      </c>
      <c r="N1373" s="17" t="str">
        <f t="shared" si="107"/>
        <v>Over Budget</v>
      </c>
      <c r="O1373" s="38">
        <f t="shared" si="108"/>
        <v>-4572.96</v>
      </c>
      <c r="P1373" s="39">
        <f t="shared" si="109"/>
        <v>46082</v>
      </c>
    </row>
    <row r="1374" spans="1:16" ht="15.5" x14ac:dyDescent="0.35">
      <c r="A1374" s="17" t="s">
        <v>1422</v>
      </c>
      <c r="B1374" s="35">
        <v>46044</v>
      </c>
      <c r="C1374" s="17" t="s">
        <v>25</v>
      </c>
      <c r="D1374" s="17" t="s">
        <v>36</v>
      </c>
      <c r="E1374" s="17" t="s">
        <v>109</v>
      </c>
      <c r="F1374" s="17" t="s">
        <v>52</v>
      </c>
      <c r="G1374" s="17" t="s">
        <v>38</v>
      </c>
      <c r="H1374" s="17" t="s">
        <v>2590</v>
      </c>
      <c r="I1374" s="17" t="s">
        <v>23</v>
      </c>
      <c r="J1374" s="36">
        <v>6062.5</v>
      </c>
      <c r="K1374" s="36">
        <v>6412.14</v>
      </c>
      <c r="L1374" s="36">
        <f t="shared" si="105"/>
        <v>349.64000000000033</v>
      </c>
      <c r="M1374" s="37">
        <f t="shared" si="106"/>
        <v>5.7672577319587685E-2</v>
      </c>
      <c r="N1374" s="17" t="str">
        <f t="shared" si="107"/>
        <v>Over Budget</v>
      </c>
      <c r="O1374" s="38">
        <f t="shared" si="108"/>
        <v>6412.14</v>
      </c>
      <c r="P1374" s="39">
        <f t="shared" si="109"/>
        <v>46023</v>
      </c>
    </row>
    <row r="1375" spans="1:16" ht="15.5" x14ac:dyDescent="0.35">
      <c r="A1375" s="17" t="s">
        <v>1423</v>
      </c>
      <c r="B1375" s="35">
        <v>45858</v>
      </c>
      <c r="C1375" s="17" t="s">
        <v>25</v>
      </c>
      <c r="D1375" s="17" t="s">
        <v>19</v>
      </c>
      <c r="E1375" s="17" t="s">
        <v>33</v>
      </c>
      <c r="F1375" s="17" t="s">
        <v>15</v>
      </c>
      <c r="G1375" s="17" t="s">
        <v>43</v>
      </c>
      <c r="H1375" s="17" t="s">
        <v>2591</v>
      </c>
      <c r="I1375" s="17" t="s">
        <v>17</v>
      </c>
      <c r="J1375" s="36">
        <v>12500</v>
      </c>
      <c r="K1375" s="36">
        <v>6793.95</v>
      </c>
      <c r="L1375" s="36">
        <f t="shared" si="105"/>
        <v>-5706.05</v>
      </c>
      <c r="M1375" s="37">
        <f t="shared" si="106"/>
        <v>-0.456484</v>
      </c>
      <c r="N1375" s="17" t="str">
        <f t="shared" si="107"/>
        <v>Under Budget</v>
      </c>
      <c r="O1375" s="38">
        <f t="shared" si="108"/>
        <v>6793.95</v>
      </c>
      <c r="P1375" s="39">
        <f t="shared" si="109"/>
        <v>45839</v>
      </c>
    </row>
    <row r="1376" spans="1:16" ht="15.5" x14ac:dyDescent="0.35">
      <c r="A1376" s="17" t="s">
        <v>1424</v>
      </c>
      <c r="B1376" s="35">
        <v>45984</v>
      </c>
      <c r="C1376" s="17" t="s">
        <v>25</v>
      </c>
      <c r="D1376" s="17" t="s">
        <v>13</v>
      </c>
      <c r="E1376" s="17" t="s">
        <v>27</v>
      </c>
      <c r="F1376" s="17" t="s">
        <v>21</v>
      </c>
      <c r="G1376" s="17" t="s">
        <v>22</v>
      </c>
      <c r="H1376" s="17" t="s">
        <v>2588</v>
      </c>
      <c r="I1376" s="17" t="s">
        <v>30</v>
      </c>
      <c r="J1376" s="36">
        <v>8400</v>
      </c>
      <c r="K1376" s="36">
        <v>2862.52</v>
      </c>
      <c r="L1376" s="36">
        <f t="shared" si="105"/>
        <v>-5537.48</v>
      </c>
      <c r="M1376" s="37">
        <f t="shared" si="106"/>
        <v>-0.65922380952380943</v>
      </c>
      <c r="N1376" s="17" t="str">
        <f t="shared" si="107"/>
        <v>Under Budget</v>
      </c>
      <c r="O1376" s="38">
        <f t="shared" si="108"/>
        <v>2862.52</v>
      </c>
      <c r="P1376" s="39">
        <f t="shared" si="109"/>
        <v>45962</v>
      </c>
    </row>
    <row r="1377" spans="1:16" ht="15.5" x14ac:dyDescent="0.35">
      <c r="A1377" s="17" t="s">
        <v>1425</v>
      </c>
      <c r="B1377" s="35">
        <v>45757</v>
      </c>
      <c r="C1377" s="17" t="s">
        <v>25</v>
      </c>
      <c r="D1377" s="17" t="s">
        <v>19</v>
      </c>
      <c r="E1377" s="17" t="s">
        <v>27</v>
      </c>
      <c r="F1377" s="17" t="s">
        <v>52</v>
      </c>
      <c r="G1377" s="17" t="s">
        <v>16</v>
      </c>
      <c r="H1377" s="17" t="s">
        <v>2596</v>
      </c>
      <c r="I1377" s="17" t="s">
        <v>39</v>
      </c>
      <c r="J1377" s="36">
        <v>10000</v>
      </c>
      <c r="K1377" s="36">
        <v>5963.03</v>
      </c>
      <c r="L1377" s="36">
        <f t="shared" si="105"/>
        <v>-4036.9700000000003</v>
      </c>
      <c r="M1377" s="37">
        <f t="shared" si="106"/>
        <v>-0.40369700000000003</v>
      </c>
      <c r="N1377" s="17" t="str">
        <f t="shared" si="107"/>
        <v>Under Budget</v>
      </c>
      <c r="O1377" s="38">
        <f t="shared" si="108"/>
        <v>5963.03</v>
      </c>
      <c r="P1377" s="39">
        <f t="shared" si="109"/>
        <v>45748</v>
      </c>
    </row>
    <row r="1378" spans="1:16" ht="15.5" x14ac:dyDescent="0.35">
      <c r="A1378" s="17" t="s">
        <v>1426</v>
      </c>
      <c r="B1378" s="35">
        <v>46084</v>
      </c>
      <c r="C1378" s="17" t="s">
        <v>12</v>
      </c>
      <c r="D1378" s="17" t="s">
        <v>19</v>
      </c>
      <c r="E1378" s="17" t="s">
        <v>47</v>
      </c>
      <c r="F1378" s="17" t="s">
        <v>28</v>
      </c>
      <c r="G1378" s="17" t="s">
        <v>29</v>
      </c>
      <c r="H1378" s="17" t="s">
        <v>2594</v>
      </c>
      <c r="I1378" s="17" t="s">
        <v>39</v>
      </c>
      <c r="J1378" s="36">
        <v>3181.82</v>
      </c>
      <c r="K1378" s="36">
        <v>3383.56</v>
      </c>
      <c r="L1378" s="36">
        <f t="shared" si="105"/>
        <v>201.73999999999978</v>
      </c>
      <c r="M1378" s="37">
        <f t="shared" si="106"/>
        <v>6.3403963769163491E-2</v>
      </c>
      <c r="N1378" s="17" t="str">
        <f t="shared" si="107"/>
        <v>Over Budget</v>
      </c>
      <c r="O1378" s="38">
        <f t="shared" si="108"/>
        <v>-3383.56</v>
      </c>
      <c r="P1378" s="39">
        <f t="shared" si="109"/>
        <v>46082</v>
      </c>
    </row>
    <row r="1379" spans="1:16" ht="15.5" x14ac:dyDescent="0.35">
      <c r="A1379" s="17" t="s">
        <v>1427</v>
      </c>
      <c r="B1379" s="35">
        <v>46029</v>
      </c>
      <c r="C1379" s="17" t="s">
        <v>12</v>
      </c>
      <c r="D1379" s="17" t="s">
        <v>13</v>
      </c>
      <c r="E1379" s="17" t="s">
        <v>45</v>
      </c>
      <c r="F1379" s="17" t="s">
        <v>15</v>
      </c>
      <c r="G1379" s="17" t="s">
        <v>29</v>
      </c>
      <c r="H1379" s="17" t="s">
        <v>2595</v>
      </c>
      <c r="I1379" s="17" t="s">
        <v>17</v>
      </c>
      <c r="J1379" s="36">
        <v>6715.38</v>
      </c>
      <c r="K1379" s="36">
        <v>8209.75</v>
      </c>
      <c r="L1379" s="36">
        <f t="shared" si="105"/>
        <v>1494.37</v>
      </c>
      <c r="M1379" s="37">
        <f t="shared" si="106"/>
        <v>0.22252947711075172</v>
      </c>
      <c r="N1379" s="17" t="str">
        <f t="shared" si="107"/>
        <v>Over Budget</v>
      </c>
      <c r="O1379" s="38">
        <f t="shared" si="108"/>
        <v>-8209.75</v>
      </c>
      <c r="P1379" s="39">
        <f t="shared" si="109"/>
        <v>46023</v>
      </c>
    </row>
    <row r="1380" spans="1:16" ht="15.5" x14ac:dyDescent="0.35">
      <c r="A1380" s="17" t="s">
        <v>1428</v>
      </c>
      <c r="B1380" s="35">
        <v>45960</v>
      </c>
      <c r="C1380" s="17" t="s">
        <v>12</v>
      </c>
      <c r="D1380" s="17" t="s">
        <v>19</v>
      </c>
      <c r="E1380" s="17" t="s">
        <v>45</v>
      </c>
      <c r="F1380" s="17" t="s">
        <v>15</v>
      </c>
      <c r="G1380" s="17" t="s">
        <v>38</v>
      </c>
      <c r="H1380" s="17" t="s">
        <v>2598</v>
      </c>
      <c r="I1380" s="17" t="s">
        <v>23</v>
      </c>
      <c r="J1380" s="36">
        <v>7826.09</v>
      </c>
      <c r="K1380" s="36">
        <v>9290.24</v>
      </c>
      <c r="L1380" s="36">
        <f t="shared" si="105"/>
        <v>1464.1499999999996</v>
      </c>
      <c r="M1380" s="37">
        <f t="shared" si="106"/>
        <v>0.18708576057775972</v>
      </c>
      <c r="N1380" s="17" t="str">
        <f t="shared" si="107"/>
        <v>Over Budget</v>
      </c>
      <c r="O1380" s="38">
        <f t="shared" si="108"/>
        <v>-9290.24</v>
      </c>
      <c r="P1380" s="39">
        <f t="shared" si="109"/>
        <v>45931</v>
      </c>
    </row>
    <row r="1381" spans="1:16" ht="15.5" x14ac:dyDescent="0.35">
      <c r="A1381" s="17" t="s">
        <v>1429</v>
      </c>
      <c r="B1381" s="35">
        <v>46004</v>
      </c>
      <c r="C1381" s="17" t="s">
        <v>12</v>
      </c>
      <c r="D1381" s="17" t="s">
        <v>19</v>
      </c>
      <c r="E1381" s="17" t="s">
        <v>14</v>
      </c>
      <c r="F1381" s="17" t="s">
        <v>28</v>
      </c>
      <c r="G1381" s="17" t="s">
        <v>22</v>
      </c>
      <c r="H1381" s="17" t="s">
        <v>60</v>
      </c>
      <c r="I1381" s="17" t="s">
        <v>30</v>
      </c>
      <c r="J1381" s="36">
        <v>4800</v>
      </c>
      <c r="K1381" s="36">
        <v>3701.51</v>
      </c>
      <c r="L1381" s="36">
        <f t="shared" si="105"/>
        <v>-1098.4899999999998</v>
      </c>
      <c r="M1381" s="37">
        <f t="shared" si="106"/>
        <v>-0.22885208333333329</v>
      </c>
      <c r="N1381" s="17" t="str">
        <f t="shared" si="107"/>
        <v>Under Budget</v>
      </c>
      <c r="O1381" s="38">
        <f t="shared" si="108"/>
        <v>-3701.51</v>
      </c>
      <c r="P1381" s="39">
        <f t="shared" si="109"/>
        <v>45992</v>
      </c>
    </row>
    <row r="1382" spans="1:16" ht="15.5" x14ac:dyDescent="0.35">
      <c r="A1382" s="17" t="s">
        <v>1430</v>
      </c>
      <c r="B1382" s="35">
        <v>45918</v>
      </c>
      <c r="C1382" s="17" t="s">
        <v>25</v>
      </c>
      <c r="D1382" s="17" t="s">
        <v>32</v>
      </c>
      <c r="E1382" s="17" t="s">
        <v>27</v>
      </c>
      <c r="F1382" s="17" t="s">
        <v>21</v>
      </c>
      <c r="G1382" s="17" t="s">
        <v>82</v>
      </c>
      <c r="H1382" s="17" t="s">
        <v>60</v>
      </c>
      <c r="I1382" s="17" t="s">
        <v>48</v>
      </c>
      <c r="J1382" s="36">
        <v>10000</v>
      </c>
      <c r="K1382" s="36">
        <v>4926.53</v>
      </c>
      <c r="L1382" s="36">
        <f t="shared" si="105"/>
        <v>-5073.47</v>
      </c>
      <c r="M1382" s="37">
        <f t="shared" si="106"/>
        <v>-0.50734699999999999</v>
      </c>
      <c r="N1382" s="17" t="str">
        <f t="shared" si="107"/>
        <v>Under Budget</v>
      </c>
      <c r="O1382" s="38">
        <f t="shared" si="108"/>
        <v>4926.53</v>
      </c>
      <c r="P1382" s="39">
        <f t="shared" si="109"/>
        <v>45901</v>
      </c>
    </row>
    <row r="1383" spans="1:16" ht="15.5" x14ac:dyDescent="0.35">
      <c r="A1383" s="17" t="s">
        <v>1431</v>
      </c>
      <c r="B1383" s="35">
        <v>45729</v>
      </c>
      <c r="C1383" s="17" t="s">
        <v>25</v>
      </c>
      <c r="D1383" s="17" t="s">
        <v>32</v>
      </c>
      <c r="E1383" s="17" t="s">
        <v>33</v>
      </c>
      <c r="F1383" s="17" t="s">
        <v>28</v>
      </c>
      <c r="G1383" s="17" t="s">
        <v>38</v>
      </c>
      <c r="H1383" s="17" t="s">
        <v>2594</v>
      </c>
      <c r="I1383" s="17" t="s">
        <v>17</v>
      </c>
      <c r="J1383" s="36">
        <v>8064.52</v>
      </c>
      <c r="K1383" s="36">
        <v>21850.65</v>
      </c>
      <c r="L1383" s="36">
        <f t="shared" si="105"/>
        <v>13786.130000000001</v>
      </c>
      <c r="M1383" s="37">
        <f t="shared" si="106"/>
        <v>1.7094792994499364</v>
      </c>
      <c r="N1383" s="17" t="str">
        <f t="shared" si="107"/>
        <v>Over Budget</v>
      </c>
      <c r="O1383" s="38">
        <f t="shared" si="108"/>
        <v>21850.65</v>
      </c>
      <c r="P1383" s="39">
        <f t="shared" si="109"/>
        <v>45717</v>
      </c>
    </row>
    <row r="1384" spans="1:16" ht="15.5" x14ac:dyDescent="0.35">
      <c r="A1384" s="17" t="s">
        <v>1432</v>
      </c>
      <c r="B1384" s="35">
        <v>45744</v>
      </c>
      <c r="C1384" s="17" t="s">
        <v>25</v>
      </c>
      <c r="D1384" s="17" t="s">
        <v>32</v>
      </c>
      <c r="E1384" s="17" t="s">
        <v>169</v>
      </c>
      <c r="F1384" s="17" t="s">
        <v>34</v>
      </c>
      <c r="G1384" s="17" t="s">
        <v>38</v>
      </c>
      <c r="H1384" s="17" t="s">
        <v>2598</v>
      </c>
      <c r="I1384" s="17" t="s">
        <v>23</v>
      </c>
      <c r="J1384" s="36">
        <v>2857.14</v>
      </c>
      <c r="K1384" s="36">
        <v>2131.69</v>
      </c>
      <c r="L1384" s="36">
        <f t="shared" si="105"/>
        <v>-725.44999999999982</v>
      </c>
      <c r="M1384" s="37">
        <f t="shared" si="106"/>
        <v>-0.25390775390775383</v>
      </c>
      <c r="N1384" s="17" t="str">
        <f t="shared" si="107"/>
        <v>Under Budget</v>
      </c>
      <c r="O1384" s="38">
        <f t="shared" si="108"/>
        <v>2131.69</v>
      </c>
      <c r="P1384" s="39">
        <f t="shared" si="109"/>
        <v>45717</v>
      </c>
    </row>
    <row r="1385" spans="1:16" ht="15.5" x14ac:dyDescent="0.35">
      <c r="A1385" s="17" t="s">
        <v>1433</v>
      </c>
      <c r="B1385" s="35">
        <v>45857</v>
      </c>
      <c r="C1385" s="17" t="s">
        <v>25</v>
      </c>
      <c r="D1385" s="17" t="s">
        <v>32</v>
      </c>
      <c r="E1385" s="17" t="s">
        <v>27</v>
      </c>
      <c r="F1385" s="17" t="s">
        <v>28</v>
      </c>
      <c r="G1385" s="17" t="s">
        <v>29</v>
      </c>
      <c r="H1385" s="17" t="s">
        <v>2598</v>
      </c>
      <c r="I1385" s="17" t="s">
        <v>23</v>
      </c>
      <c r="J1385" s="36">
        <v>13333.33</v>
      </c>
      <c r="K1385" s="36">
        <v>3400.85</v>
      </c>
      <c r="L1385" s="36">
        <f t="shared" si="105"/>
        <v>-9932.48</v>
      </c>
      <c r="M1385" s="37">
        <f t="shared" si="106"/>
        <v>-0.74493618623404656</v>
      </c>
      <c r="N1385" s="17" t="str">
        <f t="shared" si="107"/>
        <v>Under Budget</v>
      </c>
      <c r="O1385" s="38">
        <f t="shared" si="108"/>
        <v>3400.85</v>
      </c>
      <c r="P1385" s="39">
        <f t="shared" si="109"/>
        <v>45839</v>
      </c>
    </row>
    <row r="1386" spans="1:16" ht="15.5" x14ac:dyDescent="0.35">
      <c r="A1386" s="17" t="s">
        <v>1434</v>
      </c>
      <c r="B1386" s="35">
        <v>45723</v>
      </c>
      <c r="C1386" s="17" t="s">
        <v>25</v>
      </c>
      <c r="D1386" s="17" t="s">
        <v>32</v>
      </c>
      <c r="E1386" s="17" t="s">
        <v>169</v>
      </c>
      <c r="F1386" s="17" t="s">
        <v>34</v>
      </c>
      <c r="G1386" s="17" t="s">
        <v>38</v>
      </c>
      <c r="H1386" s="17" t="s">
        <v>80</v>
      </c>
      <c r="I1386" s="17" t="s">
        <v>17</v>
      </c>
      <c r="J1386" s="36">
        <v>2857.14</v>
      </c>
      <c r="K1386" s="36">
        <v>506.08</v>
      </c>
      <c r="L1386" s="36">
        <f t="shared" si="105"/>
        <v>-2351.06</v>
      </c>
      <c r="M1386" s="37">
        <f t="shared" si="106"/>
        <v>-0.82287182287182292</v>
      </c>
      <c r="N1386" s="17" t="str">
        <f t="shared" si="107"/>
        <v>Under Budget</v>
      </c>
      <c r="O1386" s="38">
        <f t="shared" si="108"/>
        <v>506.08</v>
      </c>
      <c r="P1386" s="39">
        <f t="shared" si="109"/>
        <v>45717</v>
      </c>
    </row>
    <row r="1387" spans="1:16" ht="15.5" x14ac:dyDescent="0.35">
      <c r="A1387" s="17" t="s">
        <v>1435</v>
      </c>
      <c r="B1387" s="35">
        <v>45764</v>
      </c>
      <c r="C1387" s="17" t="s">
        <v>12</v>
      </c>
      <c r="D1387" s="17" t="s">
        <v>13</v>
      </c>
      <c r="E1387" s="17" t="s">
        <v>45</v>
      </c>
      <c r="F1387" s="17" t="s">
        <v>15</v>
      </c>
      <c r="G1387" s="17" t="s">
        <v>43</v>
      </c>
      <c r="H1387" s="17" t="s">
        <v>2592</v>
      </c>
      <c r="I1387" s="17" t="s">
        <v>39</v>
      </c>
      <c r="J1387" s="36">
        <v>13846.15</v>
      </c>
      <c r="K1387" s="36">
        <v>6154.89</v>
      </c>
      <c r="L1387" s="36">
        <f t="shared" si="105"/>
        <v>-7691.2599999999993</v>
      </c>
      <c r="M1387" s="37">
        <f t="shared" si="106"/>
        <v>-0.55548004318890087</v>
      </c>
      <c r="N1387" s="17" t="str">
        <f t="shared" si="107"/>
        <v>Under Budget</v>
      </c>
      <c r="O1387" s="38">
        <f t="shared" si="108"/>
        <v>-6154.89</v>
      </c>
      <c r="P1387" s="39">
        <f t="shared" si="109"/>
        <v>45748</v>
      </c>
    </row>
    <row r="1388" spans="1:16" ht="15.5" x14ac:dyDescent="0.35">
      <c r="A1388" s="17" t="s">
        <v>1436</v>
      </c>
      <c r="B1388" s="35">
        <v>45936</v>
      </c>
      <c r="C1388" s="17" t="s">
        <v>12</v>
      </c>
      <c r="D1388" s="17" t="s">
        <v>26</v>
      </c>
      <c r="E1388" s="17" t="s">
        <v>47</v>
      </c>
      <c r="F1388" s="17" t="s">
        <v>28</v>
      </c>
      <c r="G1388" s="17" t="s">
        <v>38</v>
      </c>
      <c r="H1388" s="17" t="s">
        <v>80</v>
      </c>
      <c r="I1388" s="17" t="s">
        <v>30</v>
      </c>
      <c r="J1388" s="36">
        <v>3500</v>
      </c>
      <c r="K1388" s="36">
        <v>3422.75</v>
      </c>
      <c r="L1388" s="36">
        <f t="shared" si="105"/>
        <v>-77.25</v>
      </c>
      <c r="M1388" s="37">
        <f t="shared" si="106"/>
        <v>-2.2071428571428572E-2</v>
      </c>
      <c r="N1388" s="17" t="str">
        <f t="shared" si="107"/>
        <v>Under Budget</v>
      </c>
      <c r="O1388" s="38">
        <f t="shared" si="108"/>
        <v>-3422.75</v>
      </c>
      <c r="P1388" s="39">
        <f t="shared" si="109"/>
        <v>45931</v>
      </c>
    </row>
    <row r="1389" spans="1:16" ht="15.5" x14ac:dyDescent="0.35">
      <c r="A1389" s="17" t="s">
        <v>1437</v>
      </c>
      <c r="B1389" s="35">
        <v>45819</v>
      </c>
      <c r="C1389" s="17" t="s">
        <v>12</v>
      </c>
      <c r="D1389" s="17" t="s">
        <v>2584</v>
      </c>
      <c r="E1389" s="17" t="s">
        <v>45</v>
      </c>
      <c r="F1389" s="17" t="s">
        <v>52</v>
      </c>
      <c r="G1389" s="17" t="s">
        <v>43</v>
      </c>
      <c r="H1389" s="17" t="s">
        <v>2597</v>
      </c>
      <c r="I1389" s="17" t="s">
        <v>39</v>
      </c>
      <c r="J1389" s="36">
        <v>6428.57</v>
      </c>
      <c r="K1389" s="36">
        <v>15576.38</v>
      </c>
      <c r="L1389" s="36">
        <f t="shared" si="105"/>
        <v>9147.81</v>
      </c>
      <c r="M1389" s="37">
        <f t="shared" si="106"/>
        <v>1.4229929828873296</v>
      </c>
      <c r="N1389" s="17" t="str">
        <f t="shared" si="107"/>
        <v>Over Budget</v>
      </c>
      <c r="O1389" s="38">
        <f t="shared" si="108"/>
        <v>-15576.38</v>
      </c>
      <c r="P1389" s="39">
        <f t="shared" si="109"/>
        <v>45809</v>
      </c>
    </row>
    <row r="1390" spans="1:16" ht="15.5" x14ac:dyDescent="0.35">
      <c r="A1390" s="17" t="s">
        <v>1438</v>
      </c>
      <c r="B1390" s="35">
        <v>46153</v>
      </c>
      <c r="C1390" s="17" t="s">
        <v>25</v>
      </c>
      <c r="D1390" s="17" t="s">
        <v>32</v>
      </c>
      <c r="E1390" s="17" t="s">
        <v>27</v>
      </c>
      <c r="F1390" s="17" t="s">
        <v>28</v>
      </c>
      <c r="G1390" s="17" t="s">
        <v>38</v>
      </c>
      <c r="H1390" s="17" t="s">
        <v>80</v>
      </c>
      <c r="I1390" s="17" t="s">
        <v>48</v>
      </c>
      <c r="J1390" s="36">
        <v>6153.85</v>
      </c>
      <c r="K1390" s="36">
        <v>3486.29</v>
      </c>
      <c r="L1390" s="36">
        <f t="shared" si="105"/>
        <v>-2667.5600000000004</v>
      </c>
      <c r="M1390" s="37">
        <f t="shared" si="106"/>
        <v>-0.43347822907610689</v>
      </c>
      <c r="N1390" s="17" t="str">
        <f t="shared" si="107"/>
        <v>Under Budget</v>
      </c>
      <c r="O1390" s="38">
        <f t="shared" si="108"/>
        <v>3486.29</v>
      </c>
      <c r="P1390" s="39">
        <f t="shared" si="109"/>
        <v>46143</v>
      </c>
    </row>
    <row r="1391" spans="1:16" ht="15.5" x14ac:dyDescent="0.35">
      <c r="A1391" s="17" t="s">
        <v>1439</v>
      </c>
      <c r="B1391" s="35">
        <v>46026</v>
      </c>
      <c r="C1391" s="17" t="s">
        <v>12</v>
      </c>
      <c r="D1391" s="17" t="s">
        <v>2584</v>
      </c>
      <c r="E1391" s="17" t="s">
        <v>77</v>
      </c>
      <c r="F1391" s="17" t="s">
        <v>28</v>
      </c>
      <c r="G1391" s="17" t="s">
        <v>22</v>
      </c>
      <c r="H1391" s="17" t="s">
        <v>2587</v>
      </c>
      <c r="I1391" s="17" t="s">
        <v>39</v>
      </c>
      <c r="J1391" s="36">
        <v>3556.67</v>
      </c>
      <c r="K1391" s="36">
        <v>830.15</v>
      </c>
      <c r="L1391" s="36">
        <f t="shared" si="105"/>
        <v>-2726.52</v>
      </c>
      <c r="M1391" s="37">
        <f t="shared" si="106"/>
        <v>-0.76659347085897767</v>
      </c>
      <c r="N1391" s="17" t="str">
        <f t="shared" si="107"/>
        <v>Under Budget</v>
      </c>
      <c r="O1391" s="38">
        <f t="shared" si="108"/>
        <v>-830.15</v>
      </c>
      <c r="P1391" s="39">
        <f t="shared" si="109"/>
        <v>46023</v>
      </c>
    </row>
    <row r="1392" spans="1:16" ht="15.5" x14ac:dyDescent="0.35">
      <c r="A1392" s="17" t="s">
        <v>1440</v>
      </c>
      <c r="B1392" s="35">
        <v>46005</v>
      </c>
      <c r="C1392" s="17" t="s">
        <v>12</v>
      </c>
      <c r="D1392" s="17" t="s">
        <v>36</v>
      </c>
      <c r="E1392" s="17" t="s">
        <v>41</v>
      </c>
      <c r="F1392" s="17" t="s">
        <v>28</v>
      </c>
      <c r="G1392" s="17" t="s">
        <v>38</v>
      </c>
      <c r="H1392" s="17" t="s">
        <v>80</v>
      </c>
      <c r="I1392" s="17" t="s">
        <v>23</v>
      </c>
      <c r="J1392" s="36">
        <v>5250</v>
      </c>
      <c r="K1392" s="36">
        <v>11567.44</v>
      </c>
      <c r="L1392" s="36">
        <f t="shared" si="105"/>
        <v>6317.4400000000005</v>
      </c>
      <c r="M1392" s="37">
        <f t="shared" si="106"/>
        <v>1.2033219047619048</v>
      </c>
      <c r="N1392" s="17" t="str">
        <f t="shared" si="107"/>
        <v>Over Budget</v>
      </c>
      <c r="O1392" s="38">
        <f t="shared" si="108"/>
        <v>-11567.44</v>
      </c>
      <c r="P1392" s="39">
        <f t="shared" si="109"/>
        <v>45992</v>
      </c>
    </row>
    <row r="1393" spans="1:16" ht="15.5" x14ac:dyDescent="0.35">
      <c r="A1393" s="17" t="s">
        <v>1441</v>
      </c>
      <c r="B1393" s="35">
        <v>45757</v>
      </c>
      <c r="C1393" s="17" t="s">
        <v>12</v>
      </c>
      <c r="D1393" s="17" t="s">
        <v>26</v>
      </c>
      <c r="E1393" s="17" t="s">
        <v>45</v>
      </c>
      <c r="F1393" s="17" t="s">
        <v>15</v>
      </c>
      <c r="G1393" s="17" t="s">
        <v>16</v>
      </c>
      <c r="H1393" s="17" t="s">
        <v>2587</v>
      </c>
      <c r="I1393" s="17" t="s">
        <v>30</v>
      </c>
      <c r="J1393" s="36">
        <v>13846.15</v>
      </c>
      <c r="K1393" s="36">
        <v>3926.9</v>
      </c>
      <c r="L1393" s="36">
        <f t="shared" si="105"/>
        <v>-9919.25</v>
      </c>
      <c r="M1393" s="37">
        <f t="shared" si="106"/>
        <v>-0.71639047677513246</v>
      </c>
      <c r="N1393" s="17" t="str">
        <f t="shared" si="107"/>
        <v>Under Budget</v>
      </c>
      <c r="O1393" s="38">
        <f t="shared" si="108"/>
        <v>-3926.9</v>
      </c>
      <c r="P1393" s="39">
        <f t="shared" si="109"/>
        <v>45748</v>
      </c>
    </row>
    <row r="1394" spans="1:16" ht="15.5" x14ac:dyDescent="0.35">
      <c r="A1394" s="17" t="s">
        <v>1442</v>
      </c>
      <c r="B1394" s="35">
        <v>46036</v>
      </c>
      <c r="C1394" s="17" t="s">
        <v>12</v>
      </c>
      <c r="D1394" s="17" t="s">
        <v>36</v>
      </c>
      <c r="E1394" s="17" t="s">
        <v>37</v>
      </c>
      <c r="F1394" s="17" t="s">
        <v>28</v>
      </c>
      <c r="G1394" s="17" t="s">
        <v>43</v>
      </c>
      <c r="H1394" s="17" t="s">
        <v>2596</v>
      </c>
      <c r="I1394" s="17" t="s">
        <v>23</v>
      </c>
      <c r="J1394" s="36">
        <v>5432</v>
      </c>
      <c r="K1394" s="36">
        <v>1197.93</v>
      </c>
      <c r="L1394" s="36">
        <f t="shared" si="105"/>
        <v>-4234.07</v>
      </c>
      <c r="M1394" s="37">
        <f t="shared" si="106"/>
        <v>-0.77946796759941084</v>
      </c>
      <c r="N1394" s="17" t="str">
        <f t="shared" si="107"/>
        <v>Under Budget</v>
      </c>
      <c r="O1394" s="38">
        <f t="shared" si="108"/>
        <v>-1197.93</v>
      </c>
      <c r="P1394" s="39">
        <f t="shared" si="109"/>
        <v>46023</v>
      </c>
    </row>
    <row r="1395" spans="1:16" ht="15.5" x14ac:dyDescent="0.35">
      <c r="A1395" s="17" t="s">
        <v>1443</v>
      </c>
      <c r="B1395" s="35">
        <v>46053</v>
      </c>
      <c r="C1395" s="17" t="s">
        <v>12</v>
      </c>
      <c r="D1395" s="17" t="s">
        <v>32</v>
      </c>
      <c r="E1395" s="17" t="s">
        <v>45</v>
      </c>
      <c r="F1395" s="17" t="s">
        <v>34</v>
      </c>
      <c r="G1395" s="17" t="s">
        <v>38</v>
      </c>
      <c r="H1395" s="17" t="s">
        <v>2593</v>
      </c>
      <c r="I1395" s="17" t="s">
        <v>23</v>
      </c>
      <c r="J1395" s="36">
        <v>6715.38</v>
      </c>
      <c r="K1395" s="36">
        <v>2678.5</v>
      </c>
      <c r="L1395" s="36">
        <f t="shared" si="105"/>
        <v>-4036.88</v>
      </c>
      <c r="M1395" s="37">
        <f t="shared" si="106"/>
        <v>-0.60113947386447231</v>
      </c>
      <c r="N1395" s="17" t="str">
        <f t="shared" si="107"/>
        <v>Under Budget</v>
      </c>
      <c r="O1395" s="38">
        <f t="shared" si="108"/>
        <v>-2678.5</v>
      </c>
      <c r="P1395" s="39">
        <f t="shared" si="109"/>
        <v>46023</v>
      </c>
    </row>
    <row r="1396" spans="1:16" ht="15.5" x14ac:dyDescent="0.35">
      <c r="A1396" s="17" t="s">
        <v>1444</v>
      </c>
      <c r="B1396" s="35">
        <v>45845</v>
      </c>
      <c r="C1396" s="17" t="s">
        <v>12</v>
      </c>
      <c r="D1396" s="17" t="s">
        <v>32</v>
      </c>
      <c r="E1396" s="17" t="s">
        <v>45</v>
      </c>
      <c r="F1396" s="17" t="s">
        <v>15</v>
      </c>
      <c r="G1396" s="17" t="s">
        <v>38</v>
      </c>
      <c r="H1396" s="17" t="s">
        <v>2598</v>
      </c>
      <c r="I1396" s="17" t="s">
        <v>23</v>
      </c>
      <c r="J1396" s="36">
        <v>6923.08</v>
      </c>
      <c r="K1396" s="36">
        <v>16380.85</v>
      </c>
      <c r="L1396" s="36">
        <f t="shared" si="105"/>
        <v>9457.77</v>
      </c>
      <c r="M1396" s="37">
        <f t="shared" si="106"/>
        <v>1.3661217261681218</v>
      </c>
      <c r="N1396" s="17" t="str">
        <f t="shared" si="107"/>
        <v>Over Budget</v>
      </c>
      <c r="O1396" s="38">
        <f t="shared" si="108"/>
        <v>-16380.85</v>
      </c>
      <c r="P1396" s="39">
        <f t="shared" si="109"/>
        <v>45839</v>
      </c>
    </row>
    <row r="1397" spans="1:16" ht="15.5" x14ac:dyDescent="0.35">
      <c r="A1397" s="17" t="s">
        <v>1445</v>
      </c>
      <c r="B1397" s="35">
        <v>46074</v>
      </c>
      <c r="C1397" s="17" t="s">
        <v>12</v>
      </c>
      <c r="D1397" s="17" t="s">
        <v>19</v>
      </c>
      <c r="E1397" s="17" t="s">
        <v>65</v>
      </c>
      <c r="F1397" s="17" t="s">
        <v>34</v>
      </c>
      <c r="G1397" s="17" t="s">
        <v>38</v>
      </c>
      <c r="H1397" s="17" t="s">
        <v>2593</v>
      </c>
      <c r="I1397" s="17" t="s">
        <v>30</v>
      </c>
      <c r="J1397" s="36">
        <v>4850</v>
      </c>
      <c r="K1397" s="36">
        <v>7500.48</v>
      </c>
      <c r="L1397" s="36">
        <f t="shared" si="105"/>
        <v>2650.4799999999996</v>
      </c>
      <c r="M1397" s="37">
        <f t="shared" si="106"/>
        <v>0.54649072164948442</v>
      </c>
      <c r="N1397" s="17" t="str">
        <f t="shared" si="107"/>
        <v>Over Budget</v>
      </c>
      <c r="O1397" s="38">
        <f t="shared" si="108"/>
        <v>-7500.48</v>
      </c>
      <c r="P1397" s="39">
        <f t="shared" si="109"/>
        <v>46054</v>
      </c>
    </row>
    <row r="1398" spans="1:16" ht="15.5" x14ac:dyDescent="0.35">
      <c r="A1398" s="17" t="s">
        <v>1446</v>
      </c>
      <c r="B1398" s="35">
        <v>45734</v>
      </c>
      <c r="C1398" s="17" t="s">
        <v>12</v>
      </c>
      <c r="D1398" s="17" t="s">
        <v>13</v>
      </c>
      <c r="E1398" s="17" t="s">
        <v>45</v>
      </c>
      <c r="F1398" s="17" t="s">
        <v>15</v>
      </c>
      <c r="G1398" s="17" t="s">
        <v>22</v>
      </c>
      <c r="H1398" s="17" t="s">
        <v>2591</v>
      </c>
      <c r="I1398" s="17" t="s">
        <v>48</v>
      </c>
      <c r="J1398" s="36">
        <v>6000</v>
      </c>
      <c r="K1398" s="36">
        <v>14638.94</v>
      </c>
      <c r="L1398" s="36">
        <f t="shared" si="105"/>
        <v>8638.94</v>
      </c>
      <c r="M1398" s="37">
        <f t="shared" si="106"/>
        <v>1.4398233333333335</v>
      </c>
      <c r="N1398" s="17" t="str">
        <f t="shared" si="107"/>
        <v>Over Budget</v>
      </c>
      <c r="O1398" s="38">
        <f t="shared" si="108"/>
        <v>-14638.94</v>
      </c>
      <c r="P1398" s="39">
        <f t="shared" si="109"/>
        <v>45717</v>
      </c>
    </row>
    <row r="1399" spans="1:16" ht="15.5" x14ac:dyDescent="0.35">
      <c r="A1399" s="17" t="s">
        <v>1447</v>
      </c>
      <c r="B1399" s="35">
        <v>46092</v>
      </c>
      <c r="C1399" s="17" t="s">
        <v>12</v>
      </c>
      <c r="D1399" s="17" t="s">
        <v>2585</v>
      </c>
      <c r="E1399" s="17" t="s">
        <v>74</v>
      </c>
      <c r="F1399" s="17" t="s">
        <v>52</v>
      </c>
      <c r="G1399" s="17" t="s">
        <v>43</v>
      </c>
      <c r="H1399" s="17" t="s">
        <v>2590</v>
      </c>
      <c r="I1399" s="17" t="s">
        <v>30</v>
      </c>
      <c r="J1399" s="36">
        <v>5000</v>
      </c>
      <c r="K1399" s="36">
        <v>1479.61</v>
      </c>
      <c r="L1399" s="36">
        <f t="shared" si="105"/>
        <v>-3520.3900000000003</v>
      </c>
      <c r="M1399" s="37">
        <f t="shared" si="106"/>
        <v>-0.70407800000000009</v>
      </c>
      <c r="N1399" s="17" t="str">
        <f t="shared" si="107"/>
        <v>Under Budget</v>
      </c>
      <c r="O1399" s="38">
        <f t="shared" si="108"/>
        <v>-1479.61</v>
      </c>
      <c r="P1399" s="39">
        <f t="shared" si="109"/>
        <v>46082</v>
      </c>
    </row>
    <row r="1400" spans="1:16" ht="15.5" x14ac:dyDescent="0.35">
      <c r="A1400" s="17" t="s">
        <v>1448</v>
      </c>
      <c r="B1400" s="35">
        <v>45943</v>
      </c>
      <c r="C1400" s="17" t="s">
        <v>12</v>
      </c>
      <c r="D1400" s="17" t="s">
        <v>2584</v>
      </c>
      <c r="E1400" s="17" t="s">
        <v>74</v>
      </c>
      <c r="F1400" s="17" t="s">
        <v>28</v>
      </c>
      <c r="G1400" s="17" t="s">
        <v>38</v>
      </c>
      <c r="H1400" s="17" t="s">
        <v>2597</v>
      </c>
      <c r="I1400" s="17" t="s">
        <v>23</v>
      </c>
      <c r="J1400" s="36">
        <v>3333.33</v>
      </c>
      <c r="K1400" s="36">
        <v>1440.85</v>
      </c>
      <c r="L1400" s="36">
        <f t="shared" si="105"/>
        <v>-1892.48</v>
      </c>
      <c r="M1400" s="37">
        <f t="shared" si="106"/>
        <v>-0.56774456774456772</v>
      </c>
      <c r="N1400" s="17" t="str">
        <f t="shared" si="107"/>
        <v>Under Budget</v>
      </c>
      <c r="O1400" s="38">
        <f t="shared" si="108"/>
        <v>-1440.85</v>
      </c>
      <c r="P1400" s="39">
        <f t="shared" si="109"/>
        <v>45931</v>
      </c>
    </row>
    <row r="1401" spans="1:16" ht="15.5" x14ac:dyDescent="0.35">
      <c r="A1401" s="17" t="s">
        <v>1449</v>
      </c>
      <c r="B1401" s="35">
        <v>46083</v>
      </c>
      <c r="C1401" s="17" t="s">
        <v>12</v>
      </c>
      <c r="D1401" s="17" t="s">
        <v>2585</v>
      </c>
      <c r="E1401" s="17" t="s">
        <v>77</v>
      </c>
      <c r="F1401" s="17" t="s">
        <v>52</v>
      </c>
      <c r="G1401" s="17" t="s">
        <v>38</v>
      </c>
      <c r="H1401" s="17" t="s">
        <v>2592</v>
      </c>
      <c r="I1401" s="17" t="s">
        <v>23</v>
      </c>
      <c r="J1401" s="36">
        <v>1833.33</v>
      </c>
      <c r="K1401" s="36">
        <v>263.35000000000002</v>
      </c>
      <c r="L1401" s="36">
        <f t="shared" si="105"/>
        <v>-1569.98</v>
      </c>
      <c r="M1401" s="37">
        <f t="shared" si="106"/>
        <v>-0.85635428428051696</v>
      </c>
      <c r="N1401" s="17" t="str">
        <f t="shared" si="107"/>
        <v>Under Budget</v>
      </c>
      <c r="O1401" s="38">
        <f t="shared" si="108"/>
        <v>-263.35000000000002</v>
      </c>
      <c r="P1401" s="39">
        <f t="shared" si="109"/>
        <v>46082</v>
      </c>
    </row>
    <row r="1402" spans="1:16" ht="15.5" x14ac:dyDescent="0.35">
      <c r="A1402" s="17" t="s">
        <v>1450</v>
      </c>
      <c r="B1402" s="35">
        <v>46142</v>
      </c>
      <c r="C1402" s="17" t="s">
        <v>25</v>
      </c>
      <c r="D1402" s="17" t="s">
        <v>32</v>
      </c>
      <c r="E1402" s="17" t="s">
        <v>109</v>
      </c>
      <c r="F1402" s="17" t="s">
        <v>52</v>
      </c>
      <c r="G1402" s="17" t="s">
        <v>22</v>
      </c>
      <c r="H1402" s="17" t="s">
        <v>2586</v>
      </c>
      <c r="I1402" s="17" t="s">
        <v>39</v>
      </c>
      <c r="J1402" s="36">
        <v>7142.86</v>
      </c>
      <c r="K1402" s="36">
        <v>2570.4299999999998</v>
      </c>
      <c r="L1402" s="36">
        <f t="shared" si="105"/>
        <v>-4572.43</v>
      </c>
      <c r="M1402" s="37">
        <f t="shared" si="106"/>
        <v>-0.64013994394402252</v>
      </c>
      <c r="N1402" s="17" t="str">
        <f t="shared" si="107"/>
        <v>Under Budget</v>
      </c>
      <c r="O1402" s="38">
        <f t="shared" si="108"/>
        <v>2570.4299999999998</v>
      </c>
      <c r="P1402" s="39">
        <f t="shared" si="109"/>
        <v>46113</v>
      </c>
    </row>
    <row r="1403" spans="1:16" ht="15.5" x14ac:dyDescent="0.35">
      <c r="A1403" s="17" t="s">
        <v>1451</v>
      </c>
      <c r="B1403" s="35">
        <v>46071</v>
      </c>
      <c r="C1403" s="17" t="s">
        <v>25</v>
      </c>
      <c r="D1403" s="17" t="s">
        <v>2585</v>
      </c>
      <c r="E1403" s="17" t="s">
        <v>109</v>
      </c>
      <c r="F1403" s="17" t="s">
        <v>52</v>
      </c>
      <c r="G1403" s="17" t="s">
        <v>38</v>
      </c>
      <c r="H1403" s="17" t="s">
        <v>2596</v>
      </c>
      <c r="I1403" s="17" t="s">
        <v>23</v>
      </c>
      <c r="J1403" s="36">
        <v>8083.33</v>
      </c>
      <c r="K1403" s="36">
        <v>5967.09</v>
      </c>
      <c r="L1403" s="36">
        <f t="shared" si="105"/>
        <v>-2116.2399999999998</v>
      </c>
      <c r="M1403" s="37">
        <f t="shared" si="106"/>
        <v>-0.26180299455793588</v>
      </c>
      <c r="N1403" s="17" t="str">
        <f t="shared" si="107"/>
        <v>Under Budget</v>
      </c>
      <c r="O1403" s="38">
        <f t="shared" si="108"/>
        <v>5967.09</v>
      </c>
      <c r="P1403" s="39">
        <f t="shared" si="109"/>
        <v>46054</v>
      </c>
    </row>
    <row r="1404" spans="1:16" ht="15.5" x14ac:dyDescent="0.35">
      <c r="A1404" s="17" t="s">
        <v>1452</v>
      </c>
      <c r="B1404" s="35">
        <v>45856</v>
      </c>
      <c r="C1404" s="17" t="s">
        <v>12</v>
      </c>
      <c r="D1404" s="17" t="s">
        <v>19</v>
      </c>
      <c r="E1404" s="17" t="s">
        <v>47</v>
      </c>
      <c r="F1404" s="17" t="s">
        <v>34</v>
      </c>
      <c r="G1404" s="17" t="s">
        <v>38</v>
      </c>
      <c r="H1404" s="17" t="s">
        <v>80</v>
      </c>
      <c r="I1404" s="17" t="s">
        <v>48</v>
      </c>
      <c r="J1404" s="36">
        <v>8750</v>
      </c>
      <c r="K1404" s="36">
        <v>1920.34</v>
      </c>
      <c r="L1404" s="36">
        <f t="shared" si="105"/>
        <v>-6829.66</v>
      </c>
      <c r="M1404" s="37">
        <f t="shared" si="106"/>
        <v>-0.78053257142857146</v>
      </c>
      <c r="N1404" s="17" t="str">
        <f t="shared" si="107"/>
        <v>Under Budget</v>
      </c>
      <c r="O1404" s="38">
        <f t="shared" si="108"/>
        <v>-1920.34</v>
      </c>
      <c r="P1404" s="39">
        <f t="shared" si="109"/>
        <v>45839</v>
      </c>
    </row>
    <row r="1405" spans="1:16" ht="15.5" x14ac:dyDescent="0.35">
      <c r="A1405" s="17" t="s">
        <v>1453</v>
      </c>
      <c r="B1405" s="35">
        <v>45737</v>
      </c>
      <c r="C1405" s="17" t="s">
        <v>25</v>
      </c>
      <c r="D1405" s="17" t="s">
        <v>2584</v>
      </c>
      <c r="E1405" s="17" t="s">
        <v>33</v>
      </c>
      <c r="F1405" s="17" t="s">
        <v>21</v>
      </c>
      <c r="G1405" s="17" t="s">
        <v>38</v>
      </c>
      <c r="H1405" s="17" t="s">
        <v>2587</v>
      </c>
      <c r="I1405" s="17" t="s">
        <v>30</v>
      </c>
      <c r="J1405" s="36">
        <v>8064.52</v>
      </c>
      <c r="K1405" s="36">
        <v>16982.96</v>
      </c>
      <c r="L1405" s="36">
        <f t="shared" si="105"/>
        <v>8918.4399999999987</v>
      </c>
      <c r="M1405" s="37">
        <f t="shared" si="106"/>
        <v>1.1058860291747057</v>
      </c>
      <c r="N1405" s="17" t="str">
        <f t="shared" si="107"/>
        <v>Over Budget</v>
      </c>
      <c r="O1405" s="38">
        <f t="shared" si="108"/>
        <v>16982.96</v>
      </c>
      <c r="P1405" s="39">
        <f t="shared" si="109"/>
        <v>45717</v>
      </c>
    </row>
    <row r="1406" spans="1:16" ht="15.5" x14ac:dyDescent="0.35">
      <c r="A1406" s="17" t="s">
        <v>1454</v>
      </c>
      <c r="B1406" s="35">
        <v>45961</v>
      </c>
      <c r="C1406" s="17" t="s">
        <v>12</v>
      </c>
      <c r="D1406" s="17" t="s">
        <v>2585</v>
      </c>
      <c r="E1406" s="17" t="s">
        <v>41</v>
      </c>
      <c r="F1406" s="17" t="s">
        <v>21</v>
      </c>
      <c r="G1406" s="17" t="s">
        <v>43</v>
      </c>
      <c r="H1406" s="17" t="s">
        <v>2597</v>
      </c>
      <c r="I1406" s="17" t="s">
        <v>23</v>
      </c>
      <c r="J1406" s="36">
        <v>9285.7099999999991</v>
      </c>
      <c r="K1406" s="36">
        <v>6669.14</v>
      </c>
      <c r="L1406" s="36">
        <f t="shared" si="105"/>
        <v>-2616.5699999999988</v>
      </c>
      <c r="M1406" s="37">
        <f t="shared" si="106"/>
        <v>-0.28178459159288832</v>
      </c>
      <c r="N1406" s="17" t="str">
        <f t="shared" si="107"/>
        <v>Under Budget</v>
      </c>
      <c r="O1406" s="38">
        <f t="shared" si="108"/>
        <v>-6669.14</v>
      </c>
      <c r="P1406" s="39">
        <f t="shared" si="109"/>
        <v>45931</v>
      </c>
    </row>
    <row r="1407" spans="1:16" ht="15.5" x14ac:dyDescent="0.35">
      <c r="A1407" s="17" t="s">
        <v>1455</v>
      </c>
      <c r="B1407" s="35">
        <v>45720</v>
      </c>
      <c r="C1407" s="17" t="s">
        <v>25</v>
      </c>
      <c r="D1407" s="17" t="s">
        <v>26</v>
      </c>
      <c r="E1407" s="17" t="s">
        <v>109</v>
      </c>
      <c r="F1407" s="17" t="s">
        <v>34</v>
      </c>
      <c r="G1407" s="17" t="s">
        <v>38</v>
      </c>
      <c r="H1407" s="17" t="s">
        <v>2586</v>
      </c>
      <c r="I1407" s="17" t="s">
        <v>48</v>
      </c>
      <c r="J1407" s="36">
        <v>9090.91</v>
      </c>
      <c r="K1407" s="36">
        <v>14879.56</v>
      </c>
      <c r="L1407" s="36">
        <f t="shared" si="105"/>
        <v>5788.65</v>
      </c>
      <c r="M1407" s="37">
        <f t="shared" si="106"/>
        <v>0.63675143632485631</v>
      </c>
      <c r="N1407" s="17" t="str">
        <f t="shared" si="107"/>
        <v>Over Budget</v>
      </c>
      <c r="O1407" s="38">
        <f t="shared" si="108"/>
        <v>14879.56</v>
      </c>
      <c r="P1407" s="39">
        <f t="shared" si="109"/>
        <v>45717</v>
      </c>
    </row>
    <row r="1408" spans="1:16" ht="15.5" x14ac:dyDescent="0.35">
      <c r="A1408" s="17" t="s">
        <v>1456</v>
      </c>
      <c r="B1408" s="35">
        <v>45942</v>
      </c>
      <c r="C1408" s="17" t="s">
        <v>12</v>
      </c>
      <c r="D1408" s="17" t="s">
        <v>19</v>
      </c>
      <c r="E1408" s="17" t="s">
        <v>37</v>
      </c>
      <c r="F1408" s="17" t="s">
        <v>52</v>
      </c>
      <c r="G1408" s="17" t="s">
        <v>22</v>
      </c>
      <c r="H1408" s="17" t="s">
        <v>2598</v>
      </c>
      <c r="I1408" s="17" t="s">
        <v>23</v>
      </c>
      <c r="J1408" s="36">
        <v>3500</v>
      </c>
      <c r="K1408" s="36">
        <v>901.11</v>
      </c>
      <c r="L1408" s="36">
        <f t="shared" si="105"/>
        <v>-2598.89</v>
      </c>
      <c r="M1408" s="37">
        <f t="shared" si="106"/>
        <v>-0.74253999999999998</v>
      </c>
      <c r="N1408" s="17" t="str">
        <f t="shared" si="107"/>
        <v>Under Budget</v>
      </c>
      <c r="O1408" s="38">
        <f t="shared" si="108"/>
        <v>-901.11</v>
      </c>
      <c r="P1408" s="39">
        <f t="shared" si="109"/>
        <v>45931</v>
      </c>
    </row>
    <row r="1409" spans="1:16" ht="15.5" x14ac:dyDescent="0.35">
      <c r="A1409" s="17" t="s">
        <v>1457</v>
      </c>
      <c r="B1409" s="35">
        <v>46080</v>
      </c>
      <c r="C1409" s="17" t="s">
        <v>25</v>
      </c>
      <c r="D1409" s="17" t="s">
        <v>32</v>
      </c>
      <c r="E1409" s="17" t="s">
        <v>109</v>
      </c>
      <c r="F1409" s="17" t="s">
        <v>15</v>
      </c>
      <c r="G1409" s="17" t="s">
        <v>22</v>
      </c>
      <c r="H1409" s="17" t="s">
        <v>2598</v>
      </c>
      <c r="I1409" s="17" t="s">
        <v>23</v>
      </c>
      <c r="J1409" s="36">
        <v>8083.33</v>
      </c>
      <c r="K1409" s="36">
        <v>10311.14</v>
      </c>
      <c r="L1409" s="36">
        <f t="shared" si="105"/>
        <v>2227.8099999999995</v>
      </c>
      <c r="M1409" s="37">
        <f t="shared" si="106"/>
        <v>0.27560547447648426</v>
      </c>
      <c r="N1409" s="17" t="str">
        <f t="shared" si="107"/>
        <v>Over Budget</v>
      </c>
      <c r="O1409" s="38">
        <f t="shared" si="108"/>
        <v>10311.14</v>
      </c>
      <c r="P1409" s="39">
        <f t="shared" si="109"/>
        <v>46054</v>
      </c>
    </row>
    <row r="1410" spans="1:16" ht="15.5" x14ac:dyDescent="0.35">
      <c r="A1410" s="17" t="s">
        <v>1458</v>
      </c>
      <c r="B1410" s="35">
        <v>46053</v>
      </c>
      <c r="C1410" s="17" t="s">
        <v>25</v>
      </c>
      <c r="D1410" s="17" t="s">
        <v>26</v>
      </c>
      <c r="E1410" s="17" t="s">
        <v>109</v>
      </c>
      <c r="F1410" s="17" t="s">
        <v>52</v>
      </c>
      <c r="G1410" s="17" t="s">
        <v>38</v>
      </c>
      <c r="H1410" s="17" t="s">
        <v>2597</v>
      </c>
      <c r="I1410" s="17" t="s">
        <v>48</v>
      </c>
      <c r="J1410" s="36">
        <v>6062.5</v>
      </c>
      <c r="K1410" s="36">
        <v>1369.19</v>
      </c>
      <c r="L1410" s="36">
        <f t="shared" si="105"/>
        <v>-4693.3099999999995</v>
      </c>
      <c r="M1410" s="37">
        <f t="shared" si="106"/>
        <v>-0.7741542268041236</v>
      </c>
      <c r="N1410" s="17" t="str">
        <f t="shared" si="107"/>
        <v>Under Budget</v>
      </c>
      <c r="O1410" s="38">
        <f t="shared" si="108"/>
        <v>1369.19</v>
      </c>
      <c r="P1410" s="39">
        <f t="shared" si="109"/>
        <v>46023</v>
      </c>
    </row>
    <row r="1411" spans="1:16" ht="15.5" x14ac:dyDescent="0.35">
      <c r="A1411" s="17" t="s">
        <v>1459</v>
      </c>
      <c r="B1411" s="35">
        <v>45740</v>
      </c>
      <c r="C1411" s="17" t="s">
        <v>25</v>
      </c>
      <c r="D1411" s="17" t="s">
        <v>32</v>
      </c>
      <c r="E1411" s="17" t="s">
        <v>33</v>
      </c>
      <c r="F1411" s="17" t="s">
        <v>52</v>
      </c>
      <c r="G1411" s="17" t="s">
        <v>38</v>
      </c>
      <c r="H1411" s="17" t="s">
        <v>60</v>
      </c>
      <c r="I1411" s="17" t="s">
        <v>48</v>
      </c>
      <c r="J1411" s="36">
        <v>8064.52</v>
      </c>
      <c r="K1411" s="36">
        <v>3707.27</v>
      </c>
      <c r="L1411" s="36">
        <f t="shared" ref="L1411:L1474" si="110">K1411-J1411</f>
        <v>-4357.25</v>
      </c>
      <c r="M1411" s="37">
        <f t="shared" ref="M1411:M1474" si="111">IF(J1411=0,0,L1411/J1411)</f>
        <v>-0.54029874065660444</v>
      </c>
      <c r="N1411" s="17" t="str">
        <f t="shared" ref="N1411:N1474" si="112">IF(J1411=0,"No Budget",IF(K1411&gt;J1411,"Over Budget",IF(K1411&lt;J1411,"Under Budget","On Budget")))</f>
        <v>Under Budget</v>
      </c>
      <c r="O1411" s="38">
        <f t="shared" ref="O1411:O1474" si="113">IF(C1411="Revenue",K1411,-K1411)</f>
        <v>3707.27</v>
      </c>
      <c r="P1411" s="39">
        <f t="shared" ref="P1411:P1474" si="114">DATE(YEAR(B1411),MONTH(B1411),1)</f>
        <v>45717</v>
      </c>
    </row>
    <row r="1412" spans="1:16" ht="15.5" x14ac:dyDescent="0.35">
      <c r="A1412" s="17" t="s">
        <v>1460</v>
      </c>
      <c r="B1412" s="35">
        <v>46070</v>
      </c>
      <c r="C1412" s="17" t="s">
        <v>12</v>
      </c>
      <c r="D1412" s="17" t="s">
        <v>36</v>
      </c>
      <c r="E1412" s="17" t="s">
        <v>47</v>
      </c>
      <c r="F1412" s="17" t="s">
        <v>28</v>
      </c>
      <c r="G1412" s="17" t="s">
        <v>29</v>
      </c>
      <c r="H1412" s="17" t="s">
        <v>2587</v>
      </c>
      <c r="I1412" s="17" t="s">
        <v>30</v>
      </c>
      <c r="J1412" s="36">
        <v>5658.33</v>
      </c>
      <c r="K1412" s="36">
        <v>4327.45</v>
      </c>
      <c r="L1412" s="36">
        <f t="shared" si="110"/>
        <v>-1330.88</v>
      </c>
      <c r="M1412" s="37">
        <f t="shared" si="111"/>
        <v>-0.23520720778038753</v>
      </c>
      <c r="N1412" s="17" t="str">
        <f t="shared" si="112"/>
        <v>Under Budget</v>
      </c>
      <c r="O1412" s="38">
        <f t="shared" si="113"/>
        <v>-4327.45</v>
      </c>
      <c r="P1412" s="39">
        <f t="shared" si="114"/>
        <v>46054</v>
      </c>
    </row>
    <row r="1413" spans="1:16" ht="15.5" x14ac:dyDescent="0.35">
      <c r="A1413" s="17" t="s">
        <v>1461</v>
      </c>
      <c r="B1413" s="35">
        <v>46156</v>
      </c>
      <c r="C1413" s="17" t="s">
        <v>25</v>
      </c>
      <c r="D1413" s="17" t="s">
        <v>32</v>
      </c>
      <c r="E1413" s="17" t="s">
        <v>27</v>
      </c>
      <c r="F1413" s="17" t="s">
        <v>34</v>
      </c>
      <c r="G1413" s="17" t="s">
        <v>22</v>
      </c>
      <c r="H1413" s="17" t="s">
        <v>2590</v>
      </c>
      <c r="I1413" s="17" t="s">
        <v>30</v>
      </c>
      <c r="J1413" s="36">
        <v>6153.85</v>
      </c>
      <c r="K1413" s="36">
        <v>1392.05</v>
      </c>
      <c r="L1413" s="36">
        <f t="shared" si="110"/>
        <v>-4761.8</v>
      </c>
      <c r="M1413" s="37">
        <f t="shared" si="111"/>
        <v>-0.77379201637998973</v>
      </c>
      <c r="N1413" s="17" t="str">
        <f t="shared" si="112"/>
        <v>Under Budget</v>
      </c>
      <c r="O1413" s="38">
        <f t="shared" si="113"/>
        <v>1392.05</v>
      </c>
      <c r="P1413" s="39">
        <f t="shared" si="114"/>
        <v>46143</v>
      </c>
    </row>
    <row r="1414" spans="1:16" ht="15.5" x14ac:dyDescent="0.35">
      <c r="A1414" s="17" t="s">
        <v>1462</v>
      </c>
      <c r="B1414" s="35">
        <v>46199</v>
      </c>
      <c r="C1414" s="17" t="s">
        <v>12</v>
      </c>
      <c r="D1414" s="17" t="s">
        <v>2585</v>
      </c>
      <c r="E1414" s="17" t="s">
        <v>41</v>
      </c>
      <c r="F1414" s="17" t="s">
        <v>15</v>
      </c>
      <c r="G1414" s="17" t="s">
        <v>29</v>
      </c>
      <c r="H1414" s="17" t="s">
        <v>2591</v>
      </c>
      <c r="I1414" s="17" t="s">
        <v>30</v>
      </c>
      <c r="J1414" s="36">
        <v>5416.67</v>
      </c>
      <c r="K1414" s="36">
        <v>7251.68</v>
      </c>
      <c r="L1414" s="36">
        <f t="shared" si="110"/>
        <v>1835.0100000000002</v>
      </c>
      <c r="M1414" s="37">
        <f t="shared" si="111"/>
        <v>0.33877086844869636</v>
      </c>
      <c r="N1414" s="17" t="str">
        <f t="shared" si="112"/>
        <v>Over Budget</v>
      </c>
      <c r="O1414" s="38">
        <f t="shared" si="113"/>
        <v>-7251.68</v>
      </c>
      <c r="P1414" s="39">
        <f t="shared" si="114"/>
        <v>46174</v>
      </c>
    </row>
    <row r="1415" spans="1:16" ht="15.5" x14ac:dyDescent="0.35">
      <c r="A1415" s="17" t="s">
        <v>1463</v>
      </c>
      <c r="B1415" s="35">
        <v>45750</v>
      </c>
      <c r="C1415" s="17" t="s">
        <v>12</v>
      </c>
      <c r="D1415" s="17" t="s">
        <v>19</v>
      </c>
      <c r="E1415" s="17" t="s">
        <v>65</v>
      </c>
      <c r="F1415" s="17" t="s">
        <v>52</v>
      </c>
      <c r="G1415" s="17" t="s">
        <v>38</v>
      </c>
      <c r="H1415" s="17" t="s">
        <v>2586</v>
      </c>
      <c r="I1415" s="17" t="s">
        <v>39</v>
      </c>
      <c r="J1415" s="36">
        <v>6111.11</v>
      </c>
      <c r="K1415" s="36">
        <v>394.1</v>
      </c>
      <c r="L1415" s="36">
        <f t="shared" si="110"/>
        <v>-5717.0099999999993</v>
      </c>
      <c r="M1415" s="37">
        <f t="shared" si="111"/>
        <v>-0.93551089736561766</v>
      </c>
      <c r="N1415" s="17" t="str">
        <f t="shared" si="112"/>
        <v>Under Budget</v>
      </c>
      <c r="O1415" s="38">
        <f t="shared" si="113"/>
        <v>-394.1</v>
      </c>
      <c r="P1415" s="39">
        <f t="shared" si="114"/>
        <v>45748</v>
      </c>
    </row>
    <row r="1416" spans="1:16" ht="15.5" x14ac:dyDescent="0.35">
      <c r="A1416" s="17" t="s">
        <v>1464</v>
      </c>
      <c r="B1416" s="35">
        <v>46176</v>
      </c>
      <c r="C1416" s="17" t="s">
        <v>25</v>
      </c>
      <c r="D1416" s="17" t="s">
        <v>32</v>
      </c>
      <c r="E1416" s="17" t="s">
        <v>33</v>
      </c>
      <c r="F1416" s="17" t="s">
        <v>52</v>
      </c>
      <c r="G1416" s="17" t="s">
        <v>43</v>
      </c>
      <c r="H1416" s="17" t="s">
        <v>2588</v>
      </c>
      <c r="I1416" s="17" t="s">
        <v>23</v>
      </c>
      <c r="J1416" s="36">
        <v>10000</v>
      </c>
      <c r="K1416" s="36">
        <v>8978.24</v>
      </c>
      <c r="L1416" s="36">
        <f t="shared" si="110"/>
        <v>-1021.7600000000002</v>
      </c>
      <c r="M1416" s="37">
        <f t="shared" si="111"/>
        <v>-0.10217600000000002</v>
      </c>
      <c r="N1416" s="17" t="str">
        <f t="shared" si="112"/>
        <v>Under Budget</v>
      </c>
      <c r="O1416" s="38">
        <f t="shared" si="113"/>
        <v>8978.24</v>
      </c>
      <c r="P1416" s="39">
        <f t="shared" si="114"/>
        <v>46174</v>
      </c>
    </row>
    <row r="1417" spans="1:16" ht="15.5" x14ac:dyDescent="0.35">
      <c r="A1417" s="17" t="s">
        <v>1465</v>
      </c>
      <c r="B1417" s="35">
        <v>46009</v>
      </c>
      <c r="C1417" s="17" t="s">
        <v>25</v>
      </c>
      <c r="D1417" s="17" t="s">
        <v>13</v>
      </c>
      <c r="E1417" s="17" t="s">
        <v>109</v>
      </c>
      <c r="F1417" s="17" t="s">
        <v>28</v>
      </c>
      <c r="G1417" s="17" t="s">
        <v>43</v>
      </c>
      <c r="H1417" s="17" t="s">
        <v>2594</v>
      </c>
      <c r="I1417" s="17" t="s">
        <v>23</v>
      </c>
      <c r="J1417" s="36">
        <v>9545.4500000000007</v>
      </c>
      <c r="K1417" s="36">
        <v>3114.32</v>
      </c>
      <c r="L1417" s="36">
        <f t="shared" si="110"/>
        <v>-6431.130000000001</v>
      </c>
      <c r="M1417" s="37">
        <f t="shared" si="111"/>
        <v>-0.67373774939892839</v>
      </c>
      <c r="N1417" s="17" t="str">
        <f t="shared" si="112"/>
        <v>Under Budget</v>
      </c>
      <c r="O1417" s="38">
        <f t="shared" si="113"/>
        <v>3114.32</v>
      </c>
      <c r="P1417" s="39">
        <f t="shared" si="114"/>
        <v>45992</v>
      </c>
    </row>
    <row r="1418" spans="1:16" ht="15.5" x14ac:dyDescent="0.35">
      <c r="A1418" s="17" t="s">
        <v>1466</v>
      </c>
      <c r="B1418" s="35">
        <v>45876</v>
      </c>
      <c r="C1418" s="17" t="s">
        <v>12</v>
      </c>
      <c r="D1418" s="17" t="s">
        <v>19</v>
      </c>
      <c r="E1418" s="17" t="s">
        <v>77</v>
      </c>
      <c r="F1418" s="17" t="s">
        <v>28</v>
      </c>
      <c r="G1418" s="17" t="s">
        <v>38</v>
      </c>
      <c r="H1418" s="17" t="s">
        <v>2596</v>
      </c>
      <c r="I1418" s="17" t="s">
        <v>23</v>
      </c>
      <c r="J1418" s="36">
        <v>3666.67</v>
      </c>
      <c r="K1418" s="36">
        <v>1769.63</v>
      </c>
      <c r="L1418" s="36">
        <f t="shared" si="110"/>
        <v>-1897.04</v>
      </c>
      <c r="M1418" s="37">
        <f t="shared" si="111"/>
        <v>-0.51737407511447719</v>
      </c>
      <c r="N1418" s="17" t="str">
        <f t="shared" si="112"/>
        <v>Under Budget</v>
      </c>
      <c r="O1418" s="38">
        <f t="shared" si="113"/>
        <v>-1769.63</v>
      </c>
      <c r="P1418" s="39">
        <f t="shared" si="114"/>
        <v>45870</v>
      </c>
    </row>
    <row r="1419" spans="1:16" ht="15.5" x14ac:dyDescent="0.35">
      <c r="A1419" s="17" t="s">
        <v>1467</v>
      </c>
      <c r="B1419" s="35">
        <v>45722</v>
      </c>
      <c r="C1419" s="17" t="s">
        <v>12</v>
      </c>
      <c r="D1419" s="17" t="s">
        <v>26</v>
      </c>
      <c r="E1419" s="17" t="s">
        <v>47</v>
      </c>
      <c r="F1419" s="17" t="s">
        <v>52</v>
      </c>
      <c r="G1419" s="17" t="s">
        <v>38</v>
      </c>
      <c r="H1419" s="17" t="s">
        <v>2598</v>
      </c>
      <c r="I1419" s="17" t="s">
        <v>23</v>
      </c>
      <c r="J1419" s="36">
        <v>4375</v>
      </c>
      <c r="K1419" s="36">
        <v>3102.75</v>
      </c>
      <c r="L1419" s="36">
        <f t="shared" si="110"/>
        <v>-1272.25</v>
      </c>
      <c r="M1419" s="37">
        <f t="shared" si="111"/>
        <v>-0.2908</v>
      </c>
      <c r="N1419" s="17" t="str">
        <f t="shared" si="112"/>
        <v>Under Budget</v>
      </c>
      <c r="O1419" s="38">
        <f t="shared" si="113"/>
        <v>-3102.75</v>
      </c>
      <c r="P1419" s="39">
        <f t="shared" si="114"/>
        <v>45717</v>
      </c>
    </row>
    <row r="1420" spans="1:16" ht="15.5" x14ac:dyDescent="0.35">
      <c r="A1420" s="17" t="s">
        <v>1468</v>
      </c>
      <c r="B1420" s="35">
        <v>45806</v>
      </c>
      <c r="C1420" s="17" t="s">
        <v>12</v>
      </c>
      <c r="D1420" s="17" t="s">
        <v>32</v>
      </c>
      <c r="E1420" s="17" t="s">
        <v>41</v>
      </c>
      <c r="F1420" s="17" t="s">
        <v>15</v>
      </c>
      <c r="G1420" s="17" t="s">
        <v>38</v>
      </c>
      <c r="H1420" s="17" t="s">
        <v>2591</v>
      </c>
      <c r="I1420" s="17" t="s">
        <v>48</v>
      </c>
      <c r="J1420" s="36">
        <v>4642.8599999999997</v>
      </c>
      <c r="K1420" s="36">
        <v>6540.94</v>
      </c>
      <c r="L1420" s="36">
        <f t="shared" si="110"/>
        <v>1898.08</v>
      </c>
      <c r="M1420" s="37">
        <f t="shared" si="111"/>
        <v>0.40881697918955129</v>
      </c>
      <c r="N1420" s="17" t="str">
        <f t="shared" si="112"/>
        <v>Over Budget</v>
      </c>
      <c r="O1420" s="38">
        <f t="shared" si="113"/>
        <v>-6540.94</v>
      </c>
      <c r="P1420" s="39">
        <f t="shared" si="114"/>
        <v>45778</v>
      </c>
    </row>
    <row r="1421" spans="1:16" ht="15.5" x14ac:dyDescent="0.35">
      <c r="A1421" s="17" t="s">
        <v>1469</v>
      </c>
      <c r="B1421" s="35">
        <v>46095</v>
      </c>
      <c r="C1421" s="17" t="s">
        <v>25</v>
      </c>
      <c r="D1421" s="17" t="s">
        <v>32</v>
      </c>
      <c r="E1421" s="17" t="s">
        <v>33</v>
      </c>
      <c r="F1421" s="17" t="s">
        <v>15</v>
      </c>
      <c r="G1421" s="17" t="s">
        <v>38</v>
      </c>
      <c r="H1421" s="17" t="s">
        <v>2597</v>
      </c>
      <c r="I1421" s="17" t="s">
        <v>23</v>
      </c>
      <c r="J1421" s="36">
        <v>11363.64</v>
      </c>
      <c r="K1421" s="36">
        <v>13161.38</v>
      </c>
      <c r="L1421" s="36">
        <f t="shared" si="110"/>
        <v>1797.7399999999998</v>
      </c>
      <c r="M1421" s="37">
        <f t="shared" si="111"/>
        <v>0.15820106937565778</v>
      </c>
      <c r="N1421" s="17" t="str">
        <f t="shared" si="112"/>
        <v>Over Budget</v>
      </c>
      <c r="O1421" s="38">
        <f t="shared" si="113"/>
        <v>13161.38</v>
      </c>
      <c r="P1421" s="39">
        <f t="shared" si="114"/>
        <v>46082</v>
      </c>
    </row>
    <row r="1422" spans="1:16" ht="15.5" x14ac:dyDescent="0.35">
      <c r="A1422" s="17" t="s">
        <v>1470</v>
      </c>
      <c r="B1422" s="35">
        <v>46134</v>
      </c>
      <c r="C1422" s="17" t="s">
        <v>12</v>
      </c>
      <c r="D1422" s="17" t="s">
        <v>26</v>
      </c>
      <c r="E1422" s="17" t="s">
        <v>14</v>
      </c>
      <c r="F1422" s="17" t="s">
        <v>15</v>
      </c>
      <c r="G1422" s="17" t="s">
        <v>38</v>
      </c>
      <c r="H1422" s="17" t="s">
        <v>2596</v>
      </c>
      <c r="I1422" s="17" t="s">
        <v>30</v>
      </c>
      <c r="J1422" s="36">
        <v>5333.33</v>
      </c>
      <c r="K1422" s="36">
        <v>4448.59</v>
      </c>
      <c r="L1422" s="36">
        <f t="shared" si="110"/>
        <v>-884.73999999999978</v>
      </c>
      <c r="M1422" s="37">
        <f t="shared" si="111"/>
        <v>-0.16588885368053352</v>
      </c>
      <c r="N1422" s="17" t="str">
        <f t="shared" si="112"/>
        <v>Under Budget</v>
      </c>
      <c r="O1422" s="38">
        <f t="shared" si="113"/>
        <v>-4448.59</v>
      </c>
      <c r="P1422" s="39">
        <f t="shared" si="114"/>
        <v>46113</v>
      </c>
    </row>
    <row r="1423" spans="1:16" ht="15.5" x14ac:dyDescent="0.35">
      <c r="A1423" s="17" t="s">
        <v>1471</v>
      </c>
      <c r="B1423" s="35">
        <v>45909</v>
      </c>
      <c r="C1423" s="17" t="s">
        <v>12</v>
      </c>
      <c r="D1423" s="17" t="s">
        <v>2584</v>
      </c>
      <c r="E1423" s="17" t="s">
        <v>45</v>
      </c>
      <c r="F1423" s="17" t="s">
        <v>15</v>
      </c>
      <c r="G1423" s="17" t="s">
        <v>38</v>
      </c>
      <c r="H1423" s="17" t="s">
        <v>2592</v>
      </c>
      <c r="I1423" s="17" t="s">
        <v>23</v>
      </c>
      <c r="J1423" s="36">
        <v>7500</v>
      </c>
      <c r="K1423" s="36">
        <v>3016</v>
      </c>
      <c r="L1423" s="36">
        <f t="shared" si="110"/>
        <v>-4484</v>
      </c>
      <c r="M1423" s="37">
        <f t="shared" si="111"/>
        <v>-0.59786666666666666</v>
      </c>
      <c r="N1423" s="17" t="str">
        <f t="shared" si="112"/>
        <v>Under Budget</v>
      </c>
      <c r="O1423" s="38">
        <f t="shared" si="113"/>
        <v>-3016</v>
      </c>
      <c r="P1423" s="39">
        <f t="shared" si="114"/>
        <v>45901</v>
      </c>
    </row>
    <row r="1424" spans="1:16" ht="15.5" x14ac:dyDescent="0.35">
      <c r="A1424" s="17" t="s">
        <v>1472</v>
      </c>
      <c r="B1424" s="35">
        <v>45723</v>
      </c>
      <c r="C1424" s="17" t="s">
        <v>25</v>
      </c>
      <c r="D1424" s="17" t="s">
        <v>32</v>
      </c>
      <c r="E1424" s="17" t="s">
        <v>109</v>
      </c>
      <c r="F1424" s="17" t="s">
        <v>52</v>
      </c>
      <c r="G1424" s="17" t="s">
        <v>22</v>
      </c>
      <c r="H1424" s="17" t="s">
        <v>80</v>
      </c>
      <c r="I1424" s="17" t="s">
        <v>39</v>
      </c>
      <c r="J1424" s="36">
        <v>9090.91</v>
      </c>
      <c r="K1424" s="36">
        <v>11853.27</v>
      </c>
      <c r="L1424" s="36">
        <f t="shared" si="110"/>
        <v>2762.3600000000006</v>
      </c>
      <c r="M1424" s="37">
        <f t="shared" si="111"/>
        <v>0.30385956961404309</v>
      </c>
      <c r="N1424" s="17" t="str">
        <f t="shared" si="112"/>
        <v>Over Budget</v>
      </c>
      <c r="O1424" s="38">
        <f t="shared" si="113"/>
        <v>11853.27</v>
      </c>
      <c r="P1424" s="39">
        <f t="shared" si="114"/>
        <v>45717</v>
      </c>
    </row>
    <row r="1425" spans="1:16" ht="15.5" x14ac:dyDescent="0.35">
      <c r="A1425" s="17" t="s">
        <v>1473</v>
      </c>
      <c r="B1425" s="35">
        <v>45836</v>
      </c>
      <c r="C1425" s="17" t="s">
        <v>25</v>
      </c>
      <c r="D1425" s="17" t="s">
        <v>2584</v>
      </c>
      <c r="E1425" s="17" t="s">
        <v>33</v>
      </c>
      <c r="F1425" s="17" t="s">
        <v>28</v>
      </c>
      <c r="G1425" s="17" t="s">
        <v>38</v>
      </c>
      <c r="H1425" s="17" t="s">
        <v>2594</v>
      </c>
      <c r="I1425" s="17" t="s">
        <v>48</v>
      </c>
      <c r="J1425" s="36">
        <v>9615.3799999999992</v>
      </c>
      <c r="K1425" s="36">
        <v>4539.75</v>
      </c>
      <c r="L1425" s="36">
        <f t="shared" si="110"/>
        <v>-5075.6299999999992</v>
      </c>
      <c r="M1425" s="37">
        <f t="shared" si="111"/>
        <v>-0.52786577337557117</v>
      </c>
      <c r="N1425" s="17" t="str">
        <f t="shared" si="112"/>
        <v>Under Budget</v>
      </c>
      <c r="O1425" s="38">
        <f t="shared" si="113"/>
        <v>4539.75</v>
      </c>
      <c r="P1425" s="39">
        <f t="shared" si="114"/>
        <v>45809</v>
      </c>
    </row>
    <row r="1426" spans="1:16" ht="15.5" x14ac:dyDescent="0.35">
      <c r="A1426" s="17" t="s">
        <v>1474</v>
      </c>
      <c r="B1426" s="35">
        <v>46073</v>
      </c>
      <c r="C1426" s="17" t="s">
        <v>12</v>
      </c>
      <c r="D1426" s="17" t="s">
        <v>13</v>
      </c>
      <c r="E1426" s="17" t="s">
        <v>14</v>
      </c>
      <c r="F1426" s="17" t="s">
        <v>21</v>
      </c>
      <c r="G1426" s="17" t="s">
        <v>38</v>
      </c>
      <c r="H1426" s="17" t="s">
        <v>2591</v>
      </c>
      <c r="I1426" s="17" t="s">
        <v>30</v>
      </c>
      <c r="J1426" s="36">
        <v>5173.33</v>
      </c>
      <c r="K1426" s="36">
        <v>5893.63</v>
      </c>
      <c r="L1426" s="36">
        <f t="shared" si="110"/>
        <v>720.30000000000018</v>
      </c>
      <c r="M1426" s="37">
        <f t="shared" si="111"/>
        <v>0.1392333371348822</v>
      </c>
      <c r="N1426" s="17" t="str">
        <f t="shared" si="112"/>
        <v>Over Budget</v>
      </c>
      <c r="O1426" s="38">
        <f t="shared" si="113"/>
        <v>-5893.63</v>
      </c>
      <c r="P1426" s="39">
        <f t="shared" si="114"/>
        <v>46054</v>
      </c>
    </row>
    <row r="1427" spans="1:16" ht="15.5" x14ac:dyDescent="0.35">
      <c r="A1427" s="17" t="s">
        <v>1475</v>
      </c>
      <c r="B1427" s="35">
        <v>46181</v>
      </c>
      <c r="C1427" s="17" t="s">
        <v>12</v>
      </c>
      <c r="D1427" s="17" t="s">
        <v>36</v>
      </c>
      <c r="E1427" s="17" t="s">
        <v>45</v>
      </c>
      <c r="F1427" s="17" t="s">
        <v>28</v>
      </c>
      <c r="G1427" s="17" t="s">
        <v>43</v>
      </c>
      <c r="H1427" s="17" t="s">
        <v>2586</v>
      </c>
      <c r="I1427" s="17" t="s">
        <v>48</v>
      </c>
      <c r="J1427" s="36">
        <v>8571.43</v>
      </c>
      <c r="K1427" s="36">
        <v>11366.5</v>
      </c>
      <c r="L1427" s="36">
        <f t="shared" si="110"/>
        <v>2795.0699999999997</v>
      </c>
      <c r="M1427" s="37">
        <f t="shared" si="111"/>
        <v>0.32609144565142567</v>
      </c>
      <c r="N1427" s="17" t="str">
        <f t="shared" si="112"/>
        <v>Over Budget</v>
      </c>
      <c r="O1427" s="38">
        <f t="shared" si="113"/>
        <v>-11366.5</v>
      </c>
      <c r="P1427" s="39">
        <f t="shared" si="114"/>
        <v>46174</v>
      </c>
    </row>
    <row r="1428" spans="1:16" ht="15.5" x14ac:dyDescent="0.35">
      <c r="A1428" s="17" t="s">
        <v>1476</v>
      </c>
      <c r="B1428" s="35">
        <v>45831</v>
      </c>
      <c r="C1428" s="17" t="s">
        <v>25</v>
      </c>
      <c r="D1428" s="17" t="s">
        <v>32</v>
      </c>
      <c r="E1428" s="17" t="s">
        <v>33</v>
      </c>
      <c r="F1428" s="17" t="s">
        <v>34</v>
      </c>
      <c r="G1428" s="17" t="s">
        <v>29</v>
      </c>
      <c r="H1428" s="17" t="s">
        <v>2595</v>
      </c>
      <c r="I1428" s="17" t="s">
        <v>17</v>
      </c>
      <c r="J1428" s="36">
        <v>9615.3799999999992</v>
      </c>
      <c r="K1428" s="36">
        <v>20563.13</v>
      </c>
      <c r="L1428" s="36">
        <f t="shared" si="110"/>
        <v>10947.750000000002</v>
      </c>
      <c r="M1428" s="37">
        <f t="shared" si="111"/>
        <v>1.1385665465119426</v>
      </c>
      <c r="N1428" s="17" t="str">
        <f t="shared" si="112"/>
        <v>Over Budget</v>
      </c>
      <c r="O1428" s="38">
        <f t="shared" si="113"/>
        <v>20563.13</v>
      </c>
      <c r="P1428" s="39">
        <f t="shared" si="114"/>
        <v>45809</v>
      </c>
    </row>
    <row r="1429" spans="1:16" ht="15.5" x14ac:dyDescent="0.35">
      <c r="A1429" s="17" t="s">
        <v>1477</v>
      </c>
      <c r="B1429" s="35">
        <v>46008</v>
      </c>
      <c r="C1429" s="17" t="s">
        <v>12</v>
      </c>
      <c r="D1429" s="17" t="s">
        <v>19</v>
      </c>
      <c r="E1429" s="17" t="s">
        <v>51</v>
      </c>
      <c r="F1429" s="17" t="s">
        <v>52</v>
      </c>
      <c r="G1429" s="17" t="s">
        <v>43</v>
      </c>
      <c r="H1429" s="17" t="s">
        <v>2586</v>
      </c>
      <c r="I1429" s="17" t="s">
        <v>23</v>
      </c>
      <c r="J1429" s="36">
        <v>4500</v>
      </c>
      <c r="K1429" s="36">
        <v>5913.05</v>
      </c>
      <c r="L1429" s="36">
        <f t="shared" si="110"/>
        <v>1413.0500000000002</v>
      </c>
      <c r="M1429" s="37">
        <f t="shared" si="111"/>
        <v>0.31401111111111113</v>
      </c>
      <c r="N1429" s="17" t="str">
        <f t="shared" si="112"/>
        <v>Over Budget</v>
      </c>
      <c r="O1429" s="38">
        <f t="shared" si="113"/>
        <v>-5913.05</v>
      </c>
      <c r="P1429" s="39">
        <f t="shared" si="114"/>
        <v>45992</v>
      </c>
    </row>
    <row r="1430" spans="1:16" ht="15.5" x14ac:dyDescent="0.35">
      <c r="A1430" s="17" t="s">
        <v>1478</v>
      </c>
      <c r="B1430" s="35">
        <v>46098</v>
      </c>
      <c r="C1430" s="17" t="s">
        <v>12</v>
      </c>
      <c r="D1430" s="17" t="s">
        <v>36</v>
      </c>
      <c r="E1430" s="17" t="s">
        <v>14</v>
      </c>
      <c r="F1430" s="17" t="s">
        <v>15</v>
      </c>
      <c r="G1430" s="17" t="s">
        <v>38</v>
      </c>
      <c r="H1430" s="17" t="s">
        <v>2587</v>
      </c>
      <c r="I1430" s="17" t="s">
        <v>23</v>
      </c>
      <c r="J1430" s="36">
        <v>4000</v>
      </c>
      <c r="K1430" s="36">
        <v>657.92</v>
      </c>
      <c r="L1430" s="36">
        <f t="shared" si="110"/>
        <v>-3342.08</v>
      </c>
      <c r="M1430" s="37">
        <f t="shared" si="111"/>
        <v>-0.83551999999999993</v>
      </c>
      <c r="N1430" s="17" t="str">
        <f t="shared" si="112"/>
        <v>Under Budget</v>
      </c>
      <c r="O1430" s="38">
        <f t="shared" si="113"/>
        <v>-657.92</v>
      </c>
      <c r="P1430" s="39">
        <f t="shared" si="114"/>
        <v>46082</v>
      </c>
    </row>
    <row r="1431" spans="1:16" ht="15.5" x14ac:dyDescent="0.35">
      <c r="A1431" s="17" t="s">
        <v>1479</v>
      </c>
      <c r="B1431" s="35">
        <v>45925</v>
      </c>
      <c r="C1431" s="17" t="s">
        <v>12</v>
      </c>
      <c r="D1431" s="17" t="s">
        <v>2585</v>
      </c>
      <c r="E1431" s="17" t="s">
        <v>47</v>
      </c>
      <c r="F1431" s="17" t="s">
        <v>52</v>
      </c>
      <c r="G1431" s="17" t="s">
        <v>16</v>
      </c>
      <c r="H1431" s="17" t="s">
        <v>2591</v>
      </c>
      <c r="I1431" s="17" t="s">
        <v>30</v>
      </c>
      <c r="J1431" s="36">
        <v>3500</v>
      </c>
      <c r="K1431" s="36">
        <v>1750.62</v>
      </c>
      <c r="L1431" s="36">
        <f t="shared" si="110"/>
        <v>-1749.38</v>
      </c>
      <c r="M1431" s="37">
        <f t="shared" si="111"/>
        <v>-0.49982285714285718</v>
      </c>
      <c r="N1431" s="17" t="str">
        <f t="shared" si="112"/>
        <v>Under Budget</v>
      </c>
      <c r="O1431" s="38">
        <f t="shared" si="113"/>
        <v>-1750.62</v>
      </c>
      <c r="P1431" s="39">
        <f t="shared" si="114"/>
        <v>45901</v>
      </c>
    </row>
    <row r="1432" spans="1:16" ht="15.5" x14ac:dyDescent="0.35">
      <c r="A1432" s="17" t="s">
        <v>1480</v>
      </c>
      <c r="B1432" s="35">
        <v>45838</v>
      </c>
      <c r="C1432" s="17" t="s">
        <v>25</v>
      </c>
      <c r="D1432" s="17" t="s">
        <v>32</v>
      </c>
      <c r="E1432" s="17" t="s">
        <v>33</v>
      </c>
      <c r="F1432" s="17" t="s">
        <v>52</v>
      </c>
      <c r="G1432" s="17" t="s">
        <v>16</v>
      </c>
      <c r="H1432" s="17" t="s">
        <v>2589</v>
      </c>
      <c r="I1432" s="17" t="s">
        <v>23</v>
      </c>
      <c r="J1432" s="36">
        <v>9615.3799999999992</v>
      </c>
      <c r="K1432" s="36">
        <v>7314.45</v>
      </c>
      <c r="L1432" s="36">
        <f t="shared" si="110"/>
        <v>-2300.9299999999994</v>
      </c>
      <c r="M1432" s="37">
        <f t="shared" si="111"/>
        <v>-0.23929683486248068</v>
      </c>
      <c r="N1432" s="17" t="str">
        <f t="shared" si="112"/>
        <v>Under Budget</v>
      </c>
      <c r="O1432" s="38">
        <f t="shared" si="113"/>
        <v>7314.45</v>
      </c>
      <c r="P1432" s="39">
        <f t="shared" si="114"/>
        <v>45809</v>
      </c>
    </row>
    <row r="1433" spans="1:16" ht="15.5" x14ac:dyDescent="0.35">
      <c r="A1433" s="17" t="s">
        <v>1481</v>
      </c>
      <c r="B1433" s="35">
        <v>45892</v>
      </c>
      <c r="C1433" s="17" t="s">
        <v>12</v>
      </c>
      <c r="D1433" s="17" t="s">
        <v>19</v>
      </c>
      <c r="E1433" s="17" t="s">
        <v>14</v>
      </c>
      <c r="F1433" s="17" t="s">
        <v>52</v>
      </c>
      <c r="G1433" s="17" t="s">
        <v>16</v>
      </c>
      <c r="H1433" s="17" t="s">
        <v>2591</v>
      </c>
      <c r="I1433" s="17" t="s">
        <v>23</v>
      </c>
      <c r="J1433" s="36">
        <v>2285.71</v>
      </c>
      <c r="K1433" s="36">
        <v>2665.95</v>
      </c>
      <c r="L1433" s="36">
        <f t="shared" si="110"/>
        <v>380.23999999999978</v>
      </c>
      <c r="M1433" s="37">
        <f t="shared" si="111"/>
        <v>0.16635531191620975</v>
      </c>
      <c r="N1433" s="17" t="str">
        <f t="shared" si="112"/>
        <v>Over Budget</v>
      </c>
      <c r="O1433" s="38">
        <f t="shared" si="113"/>
        <v>-2665.95</v>
      </c>
      <c r="P1433" s="39">
        <f t="shared" si="114"/>
        <v>45870</v>
      </c>
    </row>
    <row r="1434" spans="1:16" ht="15.5" x14ac:dyDescent="0.35">
      <c r="A1434" s="17" t="s">
        <v>1482</v>
      </c>
      <c r="B1434" s="35">
        <v>46108</v>
      </c>
      <c r="C1434" s="17" t="s">
        <v>25</v>
      </c>
      <c r="D1434" s="17" t="s">
        <v>32</v>
      </c>
      <c r="E1434" s="17" t="s">
        <v>27</v>
      </c>
      <c r="F1434" s="17" t="s">
        <v>28</v>
      </c>
      <c r="G1434" s="17" t="s">
        <v>43</v>
      </c>
      <c r="H1434" s="17" t="s">
        <v>2598</v>
      </c>
      <c r="I1434" s="17" t="s">
        <v>23</v>
      </c>
      <c r="J1434" s="36">
        <v>10000</v>
      </c>
      <c r="K1434" s="36">
        <v>3992.66</v>
      </c>
      <c r="L1434" s="36">
        <f t="shared" si="110"/>
        <v>-6007.34</v>
      </c>
      <c r="M1434" s="37">
        <f t="shared" si="111"/>
        <v>-0.60073399999999999</v>
      </c>
      <c r="N1434" s="17" t="str">
        <f t="shared" si="112"/>
        <v>Under Budget</v>
      </c>
      <c r="O1434" s="38">
        <f t="shared" si="113"/>
        <v>3992.66</v>
      </c>
      <c r="P1434" s="39">
        <f t="shared" si="114"/>
        <v>46082</v>
      </c>
    </row>
    <row r="1435" spans="1:16" ht="15.5" x14ac:dyDescent="0.35">
      <c r="A1435" s="17" t="s">
        <v>1483</v>
      </c>
      <c r="B1435" s="35">
        <v>46030</v>
      </c>
      <c r="C1435" s="17" t="s">
        <v>12</v>
      </c>
      <c r="D1435" s="17" t="s">
        <v>26</v>
      </c>
      <c r="E1435" s="17" t="s">
        <v>37</v>
      </c>
      <c r="F1435" s="17" t="s">
        <v>21</v>
      </c>
      <c r="G1435" s="17" t="s">
        <v>38</v>
      </c>
      <c r="H1435" s="17" t="s">
        <v>80</v>
      </c>
      <c r="I1435" s="17" t="s">
        <v>48</v>
      </c>
      <c r="J1435" s="36">
        <v>5432</v>
      </c>
      <c r="K1435" s="36">
        <v>2870.34</v>
      </c>
      <c r="L1435" s="36">
        <f t="shared" si="110"/>
        <v>-2561.66</v>
      </c>
      <c r="M1435" s="37">
        <f t="shared" si="111"/>
        <v>-0.4715868924889543</v>
      </c>
      <c r="N1435" s="17" t="str">
        <f t="shared" si="112"/>
        <v>Under Budget</v>
      </c>
      <c r="O1435" s="38">
        <f t="shared" si="113"/>
        <v>-2870.34</v>
      </c>
      <c r="P1435" s="39">
        <f t="shared" si="114"/>
        <v>46023</v>
      </c>
    </row>
    <row r="1436" spans="1:16" ht="15.5" x14ac:dyDescent="0.35">
      <c r="A1436" s="17" t="s">
        <v>1484</v>
      </c>
      <c r="B1436" s="35">
        <v>46099</v>
      </c>
      <c r="C1436" s="17" t="s">
        <v>25</v>
      </c>
      <c r="D1436" s="17" t="s">
        <v>32</v>
      </c>
      <c r="E1436" s="17" t="s">
        <v>33</v>
      </c>
      <c r="F1436" s="17" t="s">
        <v>21</v>
      </c>
      <c r="G1436" s="17" t="s">
        <v>16</v>
      </c>
      <c r="H1436" s="17" t="s">
        <v>2597</v>
      </c>
      <c r="I1436" s="17" t="s">
        <v>30</v>
      </c>
      <c r="J1436" s="36">
        <v>11363.64</v>
      </c>
      <c r="K1436" s="36">
        <v>4160.66</v>
      </c>
      <c r="L1436" s="36">
        <f t="shared" si="110"/>
        <v>-7202.98</v>
      </c>
      <c r="M1436" s="37">
        <f t="shared" si="111"/>
        <v>-0.63386203716414813</v>
      </c>
      <c r="N1436" s="17" t="str">
        <f t="shared" si="112"/>
        <v>Under Budget</v>
      </c>
      <c r="O1436" s="38">
        <f t="shared" si="113"/>
        <v>4160.66</v>
      </c>
      <c r="P1436" s="39">
        <f t="shared" si="114"/>
        <v>46082</v>
      </c>
    </row>
    <row r="1437" spans="1:16" ht="15.5" x14ac:dyDescent="0.35">
      <c r="A1437" s="17" t="s">
        <v>1485</v>
      </c>
      <c r="B1437" s="35">
        <v>45961</v>
      </c>
      <c r="C1437" s="17" t="s">
        <v>12</v>
      </c>
      <c r="D1437" s="17" t="s">
        <v>13</v>
      </c>
      <c r="E1437" s="17" t="s">
        <v>45</v>
      </c>
      <c r="F1437" s="17" t="s">
        <v>34</v>
      </c>
      <c r="G1437" s="17" t="s">
        <v>29</v>
      </c>
      <c r="H1437" s="17" t="s">
        <v>2592</v>
      </c>
      <c r="I1437" s="17" t="s">
        <v>30</v>
      </c>
      <c r="J1437" s="36">
        <v>7826.09</v>
      </c>
      <c r="K1437" s="36">
        <v>5616.45</v>
      </c>
      <c r="L1437" s="36">
        <f t="shared" si="110"/>
        <v>-2209.6400000000003</v>
      </c>
      <c r="M1437" s="37">
        <f t="shared" si="111"/>
        <v>-0.2823427790889193</v>
      </c>
      <c r="N1437" s="17" t="str">
        <f t="shared" si="112"/>
        <v>Under Budget</v>
      </c>
      <c r="O1437" s="38">
        <f t="shared" si="113"/>
        <v>-5616.45</v>
      </c>
      <c r="P1437" s="39">
        <f t="shared" si="114"/>
        <v>45931</v>
      </c>
    </row>
    <row r="1438" spans="1:16" ht="15.5" x14ac:dyDescent="0.35">
      <c r="A1438" s="17" t="s">
        <v>1486</v>
      </c>
      <c r="B1438" s="35">
        <v>45917</v>
      </c>
      <c r="C1438" s="17" t="s">
        <v>12</v>
      </c>
      <c r="D1438" s="17" t="s">
        <v>32</v>
      </c>
      <c r="E1438" s="17" t="s">
        <v>45</v>
      </c>
      <c r="F1438" s="17" t="s">
        <v>52</v>
      </c>
      <c r="G1438" s="17" t="s">
        <v>43</v>
      </c>
      <c r="H1438" s="17" t="s">
        <v>2598</v>
      </c>
      <c r="I1438" s="17" t="s">
        <v>48</v>
      </c>
      <c r="J1438" s="36">
        <v>7500</v>
      </c>
      <c r="K1438" s="36">
        <v>1284.5999999999999</v>
      </c>
      <c r="L1438" s="36">
        <f t="shared" si="110"/>
        <v>-6215.4</v>
      </c>
      <c r="M1438" s="37">
        <f t="shared" si="111"/>
        <v>-0.8287199999999999</v>
      </c>
      <c r="N1438" s="17" t="str">
        <f t="shared" si="112"/>
        <v>Under Budget</v>
      </c>
      <c r="O1438" s="38">
        <f t="shared" si="113"/>
        <v>-1284.5999999999999</v>
      </c>
      <c r="P1438" s="39">
        <f t="shared" si="114"/>
        <v>45901</v>
      </c>
    </row>
    <row r="1439" spans="1:16" ht="15.5" x14ac:dyDescent="0.35">
      <c r="A1439" s="17" t="s">
        <v>1487</v>
      </c>
      <c r="B1439" s="35">
        <v>46193</v>
      </c>
      <c r="C1439" s="17" t="s">
        <v>12</v>
      </c>
      <c r="D1439" s="17" t="s">
        <v>26</v>
      </c>
      <c r="E1439" s="17" t="s">
        <v>47</v>
      </c>
      <c r="F1439" s="17" t="s">
        <v>34</v>
      </c>
      <c r="G1439" s="17" t="s">
        <v>22</v>
      </c>
      <c r="H1439" s="17" t="s">
        <v>2597</v>
      </c>
      <c r="I1439" s="17" t="s">
        <v>39</v>
      </c>
      <c r="J1439" s="36">
        <v>5000</v>
      </c>
      <c r="K1439" s="36">
        <v>2642.36</v>
      </c>
      <c r="L1439" s="36">
        <f t="shared" si="110"/>
        <v>-2357.64</v>
      </c>
      <c r="M1439" s="37">
        <f t="shared" si="111"/>
        <v>-0.47152799999999995</v>
      </c>
      <c r="N1439" s="17" t="str">
        <f t="shared" si="112"/>
        <v>Under Budget</v>
      </c>
      <c r="O1439" s="38">
        <f t="shared" si="113"/>
        <v>-2642.36</v>
      </c>
      <c r="P1439" s="39">
        <f t="shared" si="114"/>
        <v>46174</v>
      </c>
    </row>
    <row r="1440" spans="1:16" ht="15.5" x14ac:dyDescent="0.35">
      <c r="A1440" s="17" t="s">
        <v>1488</v>
      </c>
      <c r="B1440" s="35">
        <v>46095</v>
      </c>
      <c r="C1440" s="17" t="s">
        <v>25</v>
      </c>
      <c r="D1440" s="17" t="s">
        <v>32</v>
      </c>
      <c r="E1440" s="17" t="s">
        <v>109</v>
      </c>
      <c r="F1440" s="17" t="s">
        <v>28</v>
      </c>
      <c r="G1440" s="17" t="s">
        <v>38</v>
      </c>
      <c r="H1440" s="17" t="s">
        <v>80</v>
      </c>
      <c r="I1440" s="17" t="s">
        <v>30</v>
      </c>
      <c r="J1440" s="36">
        <v>10000</v>
      </c>
      <c r="K1440" s="36">
        <v>15546.75</v>
      </c>
      <c r="L1440" s="36">
        <f t="shared" si="110"/>
        <v>5546.75</v>
      </c>
      <c r="M1440" s="37">
        <f t="shared" si="111"/>
        <v>0.55467500000000003</v>
      </c>
      <c r="N1440" s="17" t="str">
        <f t="shared" si="112"/>
        <v>Over Budget</v>
      </c>
      <c r="O1440" s="38">
        <f t="shared" si="113"/>
        <v>15546.75</v>
      </c>
      <c r="P1440" s="39">
        <f t="shared" si="114"/>
        <v>46082</v>
      </c>
    </row>
    <row r="1441" spans="1:16" ht="15.5" x14ac:dyDescent="0.35">
      <c r="A1441" s="17" t="s">
        <v>1489</v>
      </c>
      <c r="B1441" s="35">
        <v>46162</v>
      </c>
      <c r="C1441" s="17" t="s">
        <v>25</v>
      </c>
      <c r="D1441" s="17" t="s">
        <v>32</v>
      </c>
      <c r="E1441" s="17" t="s">
        <v>33</v>
      </c>
      <c r="F1441" s="17" t="s">
        <v>28</v>
      </c>
      <c r="G1441" s="17" t="s">
        <v>38</v>
      </c>
      <c r="H1441" s="17" t="s">
        <v>2588</v>
      </c>
      <c r="I1441" s="17" t="s">
        <v>39</v>
      </c>
      <c r="J1441" s="36">
        <v>10869.57</v>
      </c>
      <c r="K1441" s="36">
        <v>24657.08</v>
      </c>
      <c r="L1441" s="36">
        <f t="shared" si="110"/>
        <v>13787.510000000002</v>
      </c>
      <c r="M1441" s="37">
        <f t="shared" si="111"/>
        <v>1.268450361881841</v>
      </c>
      <c r="N1441" s="17" t="str">
        <f t="shared" si="112"/>
        <v>Over Budget</v>
      </c>
      <c r="O1441" s="38">
        <f t="shared" si="113"/>
        <v>24657.08</v>
      </c>
      <c r="P1441" s="39">
        <f t="shared" si="114"/>
        <v>46143</v>
      </c>
    </row>
    <row r="1442" spans="1:16" ht="15.5" x14ac:dyDescent="0.35">
      <c r="A1442" s="17" t="s">
        <v>1490</v>
      </c>
      <c r="B1442" s="35">
        <v>45709</v>
      </c>
      <c r="C1442" s="17" t="s">
        <v>25</v>
      </c>
      <c r="D1442" s="17" t="s">
        <v>32</v>
      </c>
      <c r="E1442" s="17" t="s">
        <v>27</v>
      </c>
      <c r="F1442" s="17" t="s">
        <v>21</v>
      </c>
      <c r="G1442" s="17" t="s">
        <v>38</v>
      </c>
      <c r="H1442" s="17" t="s">
        <v>2590</v>
      </c>
      <c r="I1442" s="17" t="s">
        <v>17</v>
      </c>
      <c r="J1442" s="36">
        <v>4850</v>
      </c>
      <c r="K1442" s="36">
        <v>7198.02</v>
      </c>
      <c r="L1442" s="36">
        <f t="shared" si="110"/>
        <v>2348.0200000000004</v>
      </c>
      <c r="M1442" s="37">
        <f t="shared" si="111"/>
        <v>0.4841278350515465</v>
      </c>
      <c r="N1442" s="17" t="str">
        <f t="shared" si="112"/>
        <v>Over Budget</v>
      </c>
      <c r="O1442" s="38">
        <f t="shared" si="113"/>
        <v>7198.02</v>
      </c>
      <c r="P1442" s="39">
        <f t="shared" si="114"/>
        <v>45689</v>
      </c>
    </row>
    <row r="1443" spans="1:16" ht="15.5" x14ac:dyDescent="0.35">
      <c r="A1443" s="17" t="s">
        <v>1491</v>
      </c>
      <c r="B1443" s="35">
        <v>46155</v>
      </c>
      <c r="C1443" s="17" t="s">
        <v>12</v>
      </c>
      <c r="D1443" s="17" t="s">
        <v>32</v>
      </c>
      <c r="E1443" s="17" t="s">
        <v>47</v>
      </c>
      <c r="F1443" s="17" t="s">
        <v>21</v>
      </c>
      <c r="G1443" s="17" t="s">
        <v>38</v>
      </c>
      <c r="H1443" s="17" t="s">
        <v>2586</v>
      </c>
      <c r="I1443" s="17" t="s">
        <v>23</v>
      </c>
      <c r="J1443" s="36">
        <v>2692.31</v>
      </c>
      <c r="K1443" s="36">
        <v>391.53</v>
      </c>
      <c r="L1443" s="36">
        <f t="shared" si="110"/>
        <v>-2300.7799999999997</v>
      </c>
      <c r="M1443" s="37">
        <f t="shared" si="111"/>
        <v>-0.85457469607883185</v>
      </c>
      <c r="N1443" s="17" t="str">
        <f t="shared" si="112"/>
        <v>Under Budget</v>
      </c>
      <c r="O1443" s="38">
        <f t="shared" si="113"/>
        <v>-391.53</v>
      </c>
      <c r="P1443" s="39">
        <f t="shared" si="114"/>
        <v>46143</v>
      </c>
    </row>
    <row r="1444" spans="1:16" ht="15.5" x14ac:dyDescent="0.35">
      <c r="A1444" s="17" t="s">
        <v>1492</v>
      </c>
      <c r="B1444" s="35">
        <v>45941</v>
      </c>
      <c r="C1444" s="17" t="s">
        <v>25</v>
      </c>
      <c r="D1444" s="17" t="s">
        <v>2585</v>
      </c>
      <c r="E1444" s="17" t="s">
        <v>27</v>
      </c>
      <c r="F1444" s="17" t="s">
        <v>52</v>
      </c>
      <c r="G1444" s="17" t="s">
        <v>22</v>
      </c>
      <c r="H1444" s="17" t="s">
        <v>2595</v>
      </c>
      <c r="I1444" s="17" t="s">
        <v>30</v>
      </c>
      <c r="J1444" s="36">
        <v>4705.88</v>
      </c>
      <c r="K1444" s="36">
        <v>6752.93</v>
      </c>
      <c r="L1444" s="36">
        <f t="shared" si="110"/>
        <v>2047.0500000000002</v>
      </c>
      <c r="M1444" s="37">
        <f t="shared" si="111"/>
        <v>0.4349983424991713</v>
      </c>
      <c r="N1444" s="17" t="str">
        <f t="shared" si="112"/>
        <v>Over Budget</v>
      </c>
      <c r="O1444" s="38">
        <f t="shared" si="113"/>
        <v>6752.93</v>
      </c>
      <c r="P1444" s="39">
        <f t="shared" si="114"/>
        <v>45931</v>
      </c>
    </row>
    <row r="1445" spans="1:16" ht="15.5" x14ac:dyDescent="0.35">
      <c r="A1445" s="17" t="s">
        <v>1493</v>
      </c>
      <c r="B1445" s="35">
        <v>46007</v>
      </c>
      <c r="C1445" s="17" t="s">
        <v>12</v>
      </c>
      <c r="D1445" s="17" t="s">
        <v>26</v>
      </c>
      <c r="E1445" s="17" t="s">
        <v>47</v>
      </c>
      <c r="F1445" s="17" t="s">
        <v>34</v>
      </c>
      <c r="G1445" s="17" t="s">
        <v>38</v>
      </c>
      <c r="H1445" s="17" t="s">
        <v>2594</v>
      </c>
      <c r="I1445" s="17" t="s">
        <v>30</v>
      </c>
      <c r="J1445" s="36">
        <v>6125</v>
      </c>
      <c r="K1445" s="36">
        <v>1454.38</v>
      </c>
      <c r="L1445" s="36">
        <f t="shared" si="110"/>
        <v>-4670.62</v>
      </c>
      <c r="M1445" s="37">
        <f t="shared" si="111"/>
        <v>-0.76255020408163265</v>
      </c>
      <c r="N1445" s="17" t="str">
        <f t="shared" si="112"/>
        <v>Under Budget</v>
      </c>
      <c r="O1445" s="38">
        <f t="shared" si="113"/>
        <v>-1454.38</v>
      </c>
      <c r="P1445" s="39">
        <f t="shared" si="114"/>
        <v>45992</v>
      </c>
    </row>
    <row r="1446" spans="1:16" ht="15.5" x14ac:dyDescent="0.35">
      <c r="A1446" s="17" t="s">
        <v>1494</v>
      </c>
      <c r="B1446" s="35">
        <v>45895</v>
      </c>
      <c r="C1446" s="17" t="s">
        <v>25</v>
      </c>
      <c r="D1446" s="17" t="s">
        <v>32</v>
      </c>
      <c r="E1446" s="17" t="s">
        <v>109</v>
      </c>
      <c r="F1446" s="17" t="s">
        <v>15</v>
      </c>
      <c r="G1446" s="17" t="s">
        <v>43</v>
      </c>
      <c r="H1446" s="17" t="s">
        <v>2588</v>
      </c>
      <c r="I1446" s="17" t="s">
        <v>39</v>
      </c>
      <c r="J1446" s="36">
        <v>7142.86</v>
      </c>
      <c r="K1446" s="36">
        <v>4071.42</v>
      </c>
      <c r="L1446" s="36">
        <f t="shared" si="110"/>
        <v>-3071.4399999999996</v>
      </c>
      <c r="M1446" s="37">
        <f t="shared" si="111"/>
        <v>-0.43000142799942875</v>
      </c>
      <c r="N1446" s="17" t="str">
        <f t="shared" si="112"/>
        <v>Under Budget</v>
      </c>
      <c r="O1446" s="38">
        <f t="shared" si="113"/>
        <v>4071.42</v>
      </c>
      <c r="P1446" s="39">
        <f t="shared" si="114"/>
        <v>45870</v>
      </c>
    </row>
    <row r="1447" spans="1:16" ht="15.5" x14ac:dyDescent="0.35">
      <c r="A1447" s="17" t="s">
        <v>1495</v>
      </c>
      <c r="B1447" s="35">
        <v>45820</v>
      </c>
      <c r="C1447" s="17" t="s">
        <v>12</v>
      </c>
      <c r="D1447" s="17" t="s">
        <v>36</v>
      </c>
      <c r="E1447" s="17" t="s">
        <v>37</v>
      </c>
      <c r="F1447" s="17" t="s">
        <v>28</v>
      </c>
      <c r="G1447" s="17" t="s">
        <v>22</v>
      </c>
      <c r="H1447" s="17" t="s">
        <v>2596</v>
      </c>
      <c r="I1447" s="17" t="s">
        <v>17</v>
      </c>
      <c r="J1447" s="36">
        <v>7000</v>
      </c>
      <c r="K1447" s="36">
        <v>604.6</v>
      </c>
      <c r="L1447" s="36">
        <f t="shared" si="110"/>
        <v>-6395.4</v>
      </c>
      <c r="M1447" s="37">
        <f t="shared" si="111"/>
        <v>-0.91362857142857135</v>
      </c>
      <c r="N1447" s="17" t="str">
        <f t="shared" si="112"/>
        <v>Under Budget</v>
      </c>
      <c r="O1447" s="38">
        <f t="shared" si="113"/>
        <v>-604.6</v>
      </c>
      <c r="P1447" s="39">
        <f t="shared" si="114"/>
        <v>45809</v>
      </c>
    </row>
    <row r="1448" spans="1:16" ht="15.5" x14ac:dyDescent="0.35">
      <c r="A1448" s="17" t="s">
        <v>1496</v>
      </c>
      <c r="B1448" s="35">
        <v>45745</v>
      </c>
      <c r="C1448" s="17" t="s">
        <v>12</v>
      </c>
      <c r="D1448" s="17" t="s">
        <v>19</v>
      </c>
      <c r="E1448" s="17" t="s">
        <v>14</v>
      </c>
      <c r="F1448" s="17" t="s">
        <v>15</v>
      </c>
      <c r="G1448" s="17" t="s">
        <v>16</v>
      </c>
      <c r="H1448" s="17" t="s">
        <v>2590</v>
      </c>
      <c r="I1448" s="17" t="s">
        <v>23</v>
      </c>
      <c r="J1448" s="36">
        <v>4571.43</v>
      </c>
      <c r="K1448" s="36">
        <v>2359.3000000000002</v>
      </c>
      <c r="L1448" s="36">
        <f t="shared" si="110"/>
        <v>-2212.13</v>
      </c>
      <c r="M1448" s="37">
        <f t="shared" si="111"/>
        <v>-0.48390328628022306</v>
      </c>
      <c r="N1448" s="17" t="str">
        <f t="shared" si="112"/>
        <v>Under Budget</v>
      </c>
      <c r="O1448" s="38">
        <f t="shared" si="113"/>
        <v>-2359.3000000000002</v>
      </c>
      <c r="P1448" s="39">
        <f t="shared" si="114"/>
        <v>45717</v>
      </c>
    </row>
    <row r="1449" spans="1:16" ht="15.5" x14ac:dyDescent="0.35">
      <c r="A1449" s="17" t="s">
        <v>1497</v>
      </c>
      <c r="B1449" s="35">
        <v>46031</v>
      </c>
      <c r="C1449" s="17" t="s">
        <v>25</v>
      </c>
      <c r="D1449" s="17" t="s">
        <v>36</v>
      </c>
      <c r="E1449" s="17" t="s">
        <v>109</v>
      </c>
      <c r="F1449" s="17" t="s">
        <v>21</v>
      </c>
      <c r="G1449" s="17" t="s">
        <v>38</v>
      </c>
      <c r="H1449" s="17" t="s">
        <v>2594</v>
      </c>
      <c r="I1449" s="17" t="s">
        <v>48</v>
      </c>
      <c r="J1449" s="36">
        <v>6062.5</v>
      </c>
      <c r="K1449" s="36">
        <v>9159.89</v>
      </c>
      <c r="L1449" s="36">
        <f t="shared" si="110"/>
        <v>3097.3899999999994</v>
      </c>
      <c r="M1449" s="37">
        <f t="shared" si="111"/>
        <v>0.51090969072164938</v>
      </c>
      <c r="N1449" s="17" t="str">
        <f t="shared" si="112"/>
        <v>Over Budget</v>
      </c>
      <c r="O1449" s="38">
        <f t="shared" si="113"/>
        <v>9159.89</v>
      </c>
      <c r="P1449" s="39">
        <f t="shared" si="114"/>
        <v>46023</v>
      </c>
    </row>
    <row r="1450" spans="1:16" ht="15.5" x14ac:dyDescent="0.35">
      <c r="A1450" s="17" t="s">
        <v>1498</v>
      </c>
      <c r="B1450" s="35">
        <v>46168</v>
      </c>
      <c r="C1450" s="17" t="s">
        <v>12</v>
      </c>
      <c r="D1450" s="17" t="s">
        <v>26</v>
      </c>
      <c r="E1450" s="17" t="s">
        <v>51</v>
      </c>
      <c r="F1450" s="17" t="s">
        <v>52</v>
      </c>
      <c r="G1450" s="17" t="s">
        <v>22</v>
      </c>
      <c r="H1450" s="17" t="s">
        <v>2596</v>
      </c>
      <c r="I1450" s="17" t="s">
        <v>23</v>
      </c>
      <c r="J1450" s="36">
        <v>2727.27</v>
      </c>
      <c r="K1450" s="36">
        <v>1344.89</v>
      </c>
      <c r="L1450" s="36">
        <f t="shared" si="110"/>
        <v>-1382.3799999999999</v>
      </c>
      <c r="M1450" s="37">
        <f t="shared" si="111"/>
        <v>-0.50687317353984018</v>
      </c>
      <c r="N1450" s="17" t="str">
        <f t="shared" si="112"/>
        <v>Under Budget</v>
      </c>
      <c r="O1450" s="38">
        <f t="shared" si="113"/>
        <v>-1344.89</v>
      </c>
      <c r="P1450" s="39">
        <f t="shared" si="114"/>
        <v>46143</v>
      </c>
    </row>
    <row r="1451" spans="1:16" ht="15.5" x14ac:dyDescent="0.35">
      <c r="A1451" s="17" t="s">
        <v>1499</v>
      </c>
      <c r="B1451" s="35">
        <v>45832</v>
      </c>
      <c r="C1451" s="17" t="s">
        <v>12</v>
      </c>
      <c r="D1451" s="17" t="s">
        <v>26</v>
      </c>
      <c r="E1451" s="17" t="s">
        <v>20</v>
      </c>
      <c r="F1451" s="17" t="s">
        <v>34</v>
      </c>
      <c r="G1451" s="17" t="s">
        <v>43</v>
      </c>
      <c r="H1451" s="17" t="s">
        <v>80</v>
      </c>
      <c r="I1451" s="17" t="s">
        <v>23</v>
      </c>
      <c r="J1451" s="36">
        <v>2000</v>
      </c>
      <c r="K1451" s="36">
        <v>716.16</v>
      </c>
      <c r="L1451" s="36">
        <f t="shared" si="110"/>
        <v>-1283.8400000000001</v>
      </c>
      <c r="M1451" s="37">
        <f t="shared" si="111"/>
        <v>-0.64192000000000005</v>
      </c>
      <c r="N1451" s="17" t="str">
        <f t="shared" si="112"/>
        <v>Under Budget</v>
      </c>
      <c r="O1451" s="38">
        <f t="shared" si="113"/>
        <v>-716.16</v>
      </c>
      <c r="P1451" s="39">
        <f t="shared" si="114"/>
        <v>45809</v>
      </c>
    </row>
    <row r="1452" spans="1:16" ht="15.5" x14ac:dyDescent="0.35">
      <c r="A1452" s="17" t="s">
        <v>1500</v>
      </c>
      <c r="B1452" s="35">
        <v>45745</v>
      </c>
      <c r="C1452" s="17" t="s">
        <v>25</v>
      </c>
      <c r="D1452" s="17" t="s">
        <v>19</v>
      </c>
      <c r="E1452" s="17" t="s">
        <v>33</v>
      </c>
      <c r="F1452" s="17" t="s">
        <v>52</v>
      </c>
      <c r="G1452" s="17" t="s">
        <v>43</v>
      </c>
      <c r="H1452" s="17" t="s">
        <v>2596</v>
      </c>
      <c r="I1452" s="17" t="s">
        <v>48</v>
      </c>
      <c r="J1452" s="36">
        <v>8064.52</v>
      </c>
      <c r="K1452" s="36">
        <v>5079.13</v>
      </c>
      <c r="L1452" s="36">
        <f t="shared" si="110"/>
        <v>-2985.3900000000003</v>
      </c>
      <c r="M1452" s="37">
        <f t="shared" si="111"/>
        <v>-0.37018818230967249</v>
      </c>
      <c r="N1452" s="17" t="str">
        <f t="shared" si="112"/>
        <v>Under Budget</v>
      </c>
      <c r="O1452" s="38">
        <f t="shared" si="113"/>
        <v>5079.13</v>
      </c>
      <c r="P1452" s="39">
        <f t="shared" si="114"/>
        <v>45717</v>
      </c>
    </row>
    <row r="1453" spans="1:16" ht="15.5" x14ac:dyDescent="0.35">
      <c r="A1453" s="17" t="s">
        <v>1501</v>
      </c>
      <c r="B1453" s="35">
        <v>46093</v>
      </c>
      <c r="C1453" s="17" t="s">
        <v>25</v>
      </c>
      <c r="D1453" s="17" t="s">
        <v>36</v>
      </c>
      <c r="E1453" s="17" t="s">
        <v>33</v>
      </c>
      <c r="F1453" s="17" t="s">
        <v>21</v>
      </c>
      <c r="G1453" s="17" t="s">
        <v>82</v>
      </c>
      <c r="H1453" s="17" t="s">
        <v>2587</v>
      </c>
      <c r="I1453" s="17" t="s">
        <v>23</v>
      </c>
      <c r="J1453" s="36">
        <v>11363.64</v>
      </c>
      <c r="K1453" s="36">
        <v>6079.97</v>
      </c>
      <c r="L1453" s="36">
        <f t="shared" si="110"/>
        <v>-5283.6699999999992</v>
      </c>
      <c r="M1453" s="37">
        <f t="shared" si="111"/>
        <v>-0.46496281121190036</v>
      </c>
      <c r="N1453" s="17" t="str">
        <f t="shared" si="112"/>
        <v>Under Budget</v>
      </c>
      <c r="O1453" s="38">
        <f t="shared" si="113"/>
        <v>6079.97</v>
      </c>
      <c r="P1453" s="39">
        <f t="shared" si="114"/>
        <v>46082</v>
      </c>
    </row>
    <row r="1454" spans="1:16" ht="15.5" x14ac:dyDescent="0.35">
      <c r="A1454" s="17" t="s">
        <v>1502</v>
      </c>
      <c r="B1454" s="35">
        <v>46153</v>
      </c>
      <c r="C1454" s="17" t="s">
        <v>25</v>
      </c>
      <c r="D1454" s="17" t="s">
        <v>32</v>
      </c>
      <c r="E1454" s="17" t="s">
        <v>33</v>
      </c>
      <c r="F1454" s="17" t="s">
        <v>28</v>
      </c>
      <c r="G1454" s="17" t="s">
        <v>22</v>
      </c>
      <c r="H1454" s="17" t="s">
        <v>2594</v>
      </c>
      <c r="I1454" s="17" t="s">
        <v>39</v>
      </c>
      <c r="J1454" s="36">
        <v>10869.57</v>
      </c>
      <c r="K1454" s="36">
        <v>19756.88</v>
      </c>
      <c r="L1454" s="36">
        <f t="shared" si="110"/>
        <v>8887.3100000000013</v>
      </c>
      <c r="M1454" s="37">
        <f t="shared" si="111"/>
        <v>0.81763216024184959</v>
      </c>
      <c r="N1454" s="17" t="str">
        <f t="shared" si="112"/>
        <v>Over Budget</v>
      </c>
      <c r="O1454" s="38">
        <f t="shared" si="113"/>
        <v>19756.88</v>
      </c>
      <c r="P1454" s="39">
        <f t="shared" si="114"/>
        <v>46143</v>
      </c>
    </row>
    <row r="1455" spans="1:16" ht="15.5" x14ac:dyDescent="0.35">
      <c r="A1455" s="17" t="s">
        <v>1503</v>
      </c>
      <c r="B1455" s="35">
        <v>45672</v>
      </c>
      <c r="C1455" s="17" t="s">
        <v>25</v>
      </c>
      <c r="D1455" s="17" t="s">
        <v>19</v>
      </c>
      <c r="E1455" s="17" t="s">
        <v>33</v>
      </c>
      <c r="F1455" s="17" t="s">
        <v>34</v>
      </c>
      <c r="G1455" s="17" t="s">
        <v>43</v>
      </c>
      <c r="H1455" s="17" t="s">
        <v>2596</v>
      </c>
      <c r="I1455" s="17" t="s">
        <v>48</v>
      </c>
      <c r="J1455" s="36">
        <v>11022.73</v>
      </c>
      <c r="K1455" s="36">
        <v>8275.6299999999992</v>
      </c>
      <c r="L1455" s="36">
        <f t="shared" si="110"/>
        <v>-2747.1000000000004</v>
      </c>
      <c r="M1455" s="37">
        <f t="shared" si="111"/>
        <v>-0.24922138163594684</v>
      </c>
      <c r="N1455" s="17" t="str">
        <f t="shared" si="112"/>
        <v>Under Budget</v>
      </c>
      <c r="O1455" s="38">
        <f t="shared" si="113"/>
        <v>8275.6299999999992</v>
      </c>
      <c r="P1455" s="39">
        <f t="shared" si="114"/>
        <v>45658</v>
      </c>
    </row>
    <row r="1456" spans="1:16" ht="15.5" x14ac:dyDescent="0.35">
      <c r="A1456" s="17" t="s">
        <v>1504</v>
      </c>
      <c r="B1456" s="35">
        <v>45773</v>
      </c>
      <c r="C1456" s="17" t="s">
        <v>25</v>
      </c>
      <c r="D1456" s="17" t="s">
        <v>36</v>
      </c>
      <c r="E1456" s="17" t="s">
        <v>109</v>
      </c>
      <c r="F1456" s="17" t="s">
        <v>34</v>
      </c>
      <c r="G1456" s="17" t="s">
        <v>82</v>
      </c>
      <c r="H1456" s="17" t="s">
        <v>2598</v>
      </c>
      <c r="I1456" s="17" t="s">
        <v>30</v>
      </c>
      <c r="J1456" s="36">
        <v>14285.71</v>
      </c>
      <c r="K1456" s="36">
        <v>14033.92</v>
      </c>
      <c r="L1456" s="36">
        <f t="shared" si="110"/>
        <v>-251.78999999999905</v>
      </c>
      <c r="M1456" s="37">
        <f t="shared" si="111"/>
        <v>-1.7625305287591521E-2</v>
      </c>
      <c r="N1456" s="17" t="str">
        <f t="shared" si="112"/>
        <v>Under Budget</v>
      </c>
      <c r="O1456" s="38">
        <f t="shared" si="113"/>
        <v>14033.92</v>
      </c>
      <c r="P1456" s="39">
        <f t="shared" si="114"/>
        <v>45748</v>
      </c>
    </row>
    <row r="1457" spans="1:16" ht="15.5" x14ac:dyDescent="0.35">
      <c r="A1457" s="17" t="s">
        <v>1505</v>
      </c>
      <c r="B1457" s="35">
        <v>45863</v>
      </c>
      <c r="C1457" s="17" t="s">
        <v>25</v>
      </c>
      <c r="D1457" s="17" t="s">
        <v>26</v>
      </c>
      <c r="E1457" s="17" t="s">
        <v>33</v>
      </c>
      <c r="F1457" s="17" t="s">
        <v>52</v>
      </c>
      <c r="G1457" s="17" t="s">
        <v>22</v>
      </c>
      <c r="H1457" s="17" t="s">
        <v>2591</v>
      </c>
      <c r="I1457" s="17" t="s">
        <v>48</v>
      </c>
      <c r="J1457" s="36">
        <v>12500</v>
      </c>
      <c r="K1457" s="36">
        <v>14918.8</v>
      </c>
      <c r="L1457" s="36">
        <f t="shared" si="110"/>
        <v>2418.7999999999993</v>
      </c>
      <c r="M1457" s="37">
        <f t="shared" si="111"/>
        <v>0.19350399999999995</v>
      </c>
      <c r="N1457" s="17" t="str">
        <f t="shared" si="112"/>
        <v>Over Budget</v>
      </c>
      <c r="O1457" s="38">
        <f t="shared" si="113"/>
        <v>14918.8</v>
      </c>
      <c r="P1457" s="39">
        <f t="shared" si="114"/>
        <v>45839</v>
      </c>
    </row>
    <row r="1458" spans="1:16" ht="15.5" x14ac:dyDescent="0.35">
      <c r="A1458" s="17" t="s">
        <v>1506</v>
      </c>
      <c r="B1458" s="35">
        <v>45843</v>
      </c>
      <c r="C1458" s="17" t="s">
        <v>12</v>
      </c>
      <c r="D1458" s="17" t="s">
        <v>2585</v>
      </c>
      <c r="E1458" s="17" t="s">
        <v>20</v>
      </c>
      <c r="F1458" s="17" t="s">
        <v>34</v>
      </c>
      <c r="G1458" s="17" t="s">
        <v>38</v>
      </c>
      <c r="H1458" s="17" t="s">
        <v>2594</v>
      </c>
      <c r="I1458" s="17" t="s">
        <v>39</v>
      </c>
      <c r="J1458" s="36">
        <v>2250</v>
      </c>
      <c r="K1458" s="36">
        <v>1035.03</v>
      </c>
      <c r="L1458" s="36">
        <f t="shared" si="110"/>
        <v>-1214.97</v>
      </c>
      <c r="M1458" s="37">
        <f t="shared" si="111"/>
        <v>-0.53998666666666673</v>
      </c>
      <c r="N1458" s="17" t="str">
        <f t="shared" si="112"/>
        <v>Under Budget</v>
      </c>
      <c r="O1458" s="38">
        <f t="shared" si="113"/>
        <v>-1035.03</v>
      </c>
      <c r="P1458" s="39">
        <f t="shared" si="114"/>
        <v>45839</v>
      </c>
    </row>
    <row r="1459" spans="1:16" ht="15.5" x14ac:dyDescent="0.35">
      <c r="A1459" s="17" t="s">
        <v>1507</v>
      </c>
      <c r="B1459" s="35">
        <v>46140</v>
      </c>
      <c r="C1459" s="17" t="s">
        <v>12</v>
      </c>
      <c r="D1459" s="17" t="s">
        <v>19</v>
      </c>
      <c r="E1459" s="17" t="s">
        <v>45</v>
      </c>
      <c r="F1459" s="17" t="s">
        <v>28</v>
      </c>
      <c r="G1459" s="17" t="s">
        <v>38</v>
      </c>
      <c r="H1459" s="17" t="s">
        <v>2594</v>
      </c>
      <c r="I1459" s="17" t="s">
        <v>48</v>
      </c>
      <c r="J1459" s="36">
        <v>8571.43</v>
      </c>
      <c r="K1459" s="36">
        <v>14079.14</v>
      </c>
      <c r="L1459" s="36">
        <f t="shared" si="110"/>
        <v>5507.7099999999991</v>
      </c>
      <c r="M1459" s="37">
        <f t="shared" si="111"/>
        <v>0.64256605957232327</v>
      </c>
      <c r="N1459" s="17" t="str">
        <f t="shared" si="112"/>
        <v>Over Budget</v>
      </c>
      <c r="O1459" s="38">
        <f t="shared" si="113"/>
        <v>-14079.14</v>
      </c>
      <c r="P1459" s="39">
        <f t="shared" si="114"/>
        <v>46113</v>
      </c>
    </row>
    <row r="1460" spans="1:16" ht="15.5" x14ac:dyDescent="0.35">
      <c r="A1460" s="17" t="s">
        <v>1508</v>
      </c>
      <c r="B1460" s="35">
        <v>45749</v>
      </c>
      <c r="C1460" s="17" t="s">
        <v>12</v>
      </c>
      <c r="D1460" s="17" t="s">
        <v>19</v>
      </c>
      <c r="E1460" s="17" t="s">
        <v>41</v>
      </c>
      <c r="F1460" s="17" t="s">
        <v>34</v>
      </c>
      <c r="G1460" s="17" t="s">
        <v>22</v>
      </c>
      <c r="H1460" s="17" t="s">
        <v>2591</v>
      </c>
      <c r="I1460" s="17" t="s">
        <v>39</v>
      </c>
      <c r="J1460" s="36">
        <v>5416.67</v>
      </c>
      <c r="K1460" s="36">
        <v>6834.8</v>
      </c>
      <c r="L1460" s="36">
        <f t="shared" si="110"/>
        <v>1418.13</v>
      </c>
      <c r="M1460" s="37">
        <f t="shared" si="111"/>
        <v>0.26180845427172045</v>
      </c>
      <c r="N1460" s="17" t="str">
        <f t="shared" si="112"/>
        <v>Over Budget</v>
      </c>
      <c r="O1460" s="38">
        <f t="shared" si="113"/>
        <v>-6834.8</v>
      </c>
      <c r="P1460" s="39">
        <f t="shared" si="114"/>
        <v>45748</v>
      </c>
    </row>
    <row r="1461" spans="1:16" ht="15.5" x14ac:dyDescent="0.35">
      <c r="A1461" s="17" t="s">
        <v>1509</v>
      </c>
      <c r="B1461" s="35">
        <v>45725</v>
      </c>
      <c r="C1461" s="17" t="s">
        <v>12</v>
      </c>
      <c r="D1461" s="17" t="s">
        <v>26</v>
      </c>
      <c r="E1461" s="17" t="s">
        <v>45</v>
      </c>
      <c r="F1461" s="17" t="s">
        <v>15</v>
      </c>
      <c r="G1461" s="17" t="s">
        <v>22</v>
      </c>
      <c r="H1461" s="17" t="s">
        <v>2595</v>
      </c>
      <c r="I1461" s="17" t="s">
        <v>48</v>
      </c>
      <c r="J1461" s="36">
        <v>6000</v>
      </c>
      <c r="K1461" s="36">
        <v>5898.73</v>
      </c>
      <c r="L1461" s="36">
        <f t="shared" si="110"/>
        <v>-101.27000000000044</v>
      </c>
      <c r="M1461" s="37">
        <f t="shared" si="111"/>
        <v>-1.6878333333333405E-2</v>
      </c>
      <c r="N1461" s="17" t="str">
        <f t="shared" si="112"/>
        <v>Under Budget</v>
      </c>
      <c r="O1461" s="38">
        <f t="shared" si="113"/>
        <v>-5898.73</v>
      </c>
      <c r="P1461" s="39">
        <f t="shared" si="114"/>
        <v>45717</v>
      </c>
    </row>
    <row r="1462" spans="1:16" ht="15.5" x14ac:dyDescent="0.35">
      <c r="A1462" s="17" t="s">
        <v>1510</v>
      </c>
      <c r="B1462" s="35">
        <v>46169</v>
      </c>
      <c r="C1462" s="17" t="s">
        <v>12</v>
      </c>
      <c r="D1462" s="17" t="s">
        <v>19</v>
      </c>
      <c r="E1462" s="17" t="s">
        <v>14</v>
      </c>
      <c r="F1462" s="17" t="s">
        <v>21</v>
      </c>
      <c r="G1462" s="17" t="s">
        <v>38</v>
      </c>
      <c r="H1462" s="17" t="s">
        <v>2590</v>
      </c>
      <c r="I1462" s="17" t="s">
        <v>23</v>
      </c>
      <c r="J1462" s="36">
        <v>8000</v>
      </c>
      <c r="K1462" s="36">
        <v>5932.53</v>
      </c>
      <c r="L1462" s="36">
        <f t="shared" si="110"/>
        <v>-2067.4700000000003</v>
      </c>
      <c r="M1462" s="37">
        <f t="shared" si="111"/>
        <v>-0.25843375000000002</v>
      </c>
      <c r="N1462" s="17" t="str">
        <f t="shared" si="112"/>
        <v>Under Budget</v>
      </c>
      <c r="O1462" s="38">
        <f t="shared" si="113"/>
        <v>-5932.53</v>
      </c>
      <c r="P1462" s="39">
        <f t="shared" si="114"/>
        <v>46143</v>
      </c>
    </row>
    <row r="1463" spans="1:16" ht="15.5" x14ac:dyDescent="0.35">
      <c r="A1463" s="17" t="s">
        <v>1511</v>
      </c>
      <c r="B1463" s="35">
        <v>45824</v>
      </c>
      <c r="C1463" s="17" t="s">
        <v>12</v>
      </c>
      <c r="D1463" s="17" t="s">
        <v>13</v>
      </c>
      <c r="E1463" s="17" t="s">
        <v>45</v>
      </c>
      <c r="F1463" s="17" t="s">
        <v>52</v>
      </c>
      <c r="G1463" s="17" t="s">
        <v>38</v>
      </c>
      <c r="H1463" s="17" t="s">
        <v>2588</v>
      </c>
      <c r="I1463" s="17" t="s">
        <v>30</v>
      </c>
      <c r="J1463" s="36">
        <v>6428.57</v>
      </c>
      <c r="K1463" s="36">
        <v>4239.37</v>
      </c>
      <c r="L1463" s="36">
        <f t="shared" si="110"/>
        <v>-2189.1999999999998</v>
      </c>
      <c r="M1463" s="37">
        <f t="shared" si="111"/>
        <v>-0.34054229789828838</v>
      </c>
      <c r="N1463" s="17" t="str">
        <f t="shared" si="112"/>
        <v>Under Budget</v>
      </c>
      <c r="O1463" s="38">
        <f t="shared" si="113"/>
        <v>-4239.37</v>
      </c>
      <c r="P1463" s="39">
        <f t="shared" si="114"/>
        <v>45809</v>
      </c>
    </row>
    <row r="1464" spans="1:16" ht="15.5" x14ac:dyDescent="0.35">
      <c r="A1464" s="17" t="s">
        <v>1512</v>
      </c>
      <c r="B1464" s="35">
        <v>46197</v>
      </c>
      <c r="C1464" s="17" t="s">
        <v>12</v>
      </c>
      <c r="D1464" s="17" t="s">
        <v>19</v>
      </c>
      <c r="E1464" s="17" t="s">
        <v>51</v>
      </c>
      <c r="F1464" s="17" t="s">
        <v>21</v>
      </c>
      <c r="G1464" s="17" t="s">
        <v>38</v>
      </c>
      <c r="H1464" s="17" t="s">
        <v>2591</v>
      </c>
      <c r="I1464" s="17" t="s">
        <v>48</v>
      </c>
      <c r="J1464" s="36">
        <v>6000</v>
      </c>
      <c r="K1464" s="36">
        <v>3423.75</v>
      </c>
      <c r="L1464" s="36">
        <f t="shared" si="110"/>
        <v>-2576.25</v>
      </c>
      <c r="M1464" s="37">
        <f t="shared" si="111"/>
        <v>-0.42937500000000001</v>
      </c>
      <c r="N1464" s="17" t="str">
        <f t="shared" si="112"/>
        <v>Under Budget</v>
      </c>
      <c r="O1464" s="38">
        <f t="shared" si="113"/>
        <v>-3423.75</v>
      </c>
      <c r="P1464" s="39">
        <f t="shared" si="114"/>
        <v>46174</v>
      </c>
    </row>
    <row r="1465" spans="1:16" ht="15.5" x14ac:dyDescent="0.35">
      <c r="A1465" s="17" t="s">
        <v>1513</v>
      </c>
      <c r="B1465" s="35">
        <v>45680</v>
      </c>
      <c r="C1465" s="17" t="s">
        <v>12</v>
      </c>
      <c r="D1465" s="17" t="s">
        <v>36</v>
      </c>
      <c r="E1465" s="17" t="s">
        <v>47</v>
      </c>
      <c r="F1465" s="17" t="s">
        <v>34</v>
      </c>
      <c r="G1465" s="17" t="s">
        <v>43</v>
      </c>
      <c r="H1465" s="17" t="s">
        <v>2587</v>
      </c>
      <c r="I1465" s="17" t="s">
        <v>23</v>
      </c>
      <c r="J1465" s="36">
        <v>5658.33</v>
      </c>
      <c r="K1465" s="36">
        <v>2366.8000000000002</v>
      </c>
      <c r="L1465" s="36">
        <f t="shared" si="110"/>
        <v>-3291.5299999999997</v>
      </c>
      <c r="M1465" s="37">
        <f t="shared" si="111"/>
        <v>-0.58171403930134857</v>
      </c>
      <c r="N1465" s="17" t="str">
        <f t="shared" si="112"/>
        <v>Under Budget</v>
      </c>
      <c r="O1465" s="38">
        <f t="shared" si="113"/>
        <v>-2366.8000000000002</v>
      </c>
      <c r="P1465" s="39">
        <f t="shared" si="114"/>
        <v>45658</v>
      </c>
    </row>
    <row r="1466" spans="1:16" ht="15.5" x14ac:dyDescent="0.35">
      <c r="A1466" s="17" t="s">
        <v>1514</v>
      </c>
      <c r="B1466" s="35">
        <v>46196</v>
      </c>
      <c r="C1466" s="17" t="s">
        <v>25</v>
      </c>
      <c r="D1466" s="17" t="s">
        <v>13</v>
      </c>
      <c r="E1466" s="17" t="s">
        <v>27</v>
      </c>
      <c r="F1466" s="17" t="s">
        <v>21</v>
      </c>
      <c r="G1466" s="17" t="s">
        <v>22</v>
      </c>
      <c r="H1466" s="17" t="s">
        <v>2587</v>
      </c>
      <c r="I1466" s="17" t="s">
        <v>30</v>
      </c>
      <c r="J1466" s="36">
        <v>7272.73</v>
      </c>
      <c r="K1466" s="36">
        <v>2545.94</v>
      </c>
      <c r="L1466" s="36">
        <f t="shared" si="110"/>
        <v>-4726.7899999999991</v>
      </c>
      <c r="M1466" s="37">
        <f t="shared" si="111"/>
        <v>-0.6499333812749819</v>
      </c>
      <c r="N1466" s="17" t="str">
        <f t="shared" si="112"/>
        <v>Under Budget</v>
      </c>
      <c r="O1466" s="38">
        <f t="shared" si="113"/>
        <v>2545.94</v>
      </c>
      <c r="P1466" s="39">
        <f t="shared" si="114"/>
        <v>46174</v>
      </c>
    </row>
    <row r="1467" spans="1:16" ht="15.5" x14ac:dyDescent="0.35">
      <c r="A1467" s="17" t="s">
        <v>1515</v>
      </c>
      <c r="B1467" s="35">
        <v>45685</v>
      </c>
      <c r="C1467" s="17" t="s">
        <v>12</v>
      </c>
      <c r="D1467" s="17" t="s">
        <v>26</v>
      </c>
      <c r="E1467" s="17" t="s">
        <v>77</v>
      </c>
      <c r="F1467" s="17" t="s">
        <v>52</v>
      </c>
      <c r="G1467" s="17" t="s">
        <v>22</v>
      </c>
      <c r="H1467" s="17" t="s">
        <v>2587</v>
      </c>
      <c r="I1467" s="17" t="s">
        <v>39</v>
      </c>
      <c r="J1467" s="36">
        <v>3556.67</v>
      </c>
      <c r="K1467" s="36">
        <v>378.42</v>
      </c>
      <c r="L1467" s="36">
        <f t="shared" si="110"/>
        <v>-3178.25</v>
      </c>
      <c r="M1467" s="37">
        <f t="shared" si="111"/>
        <v>-0.89360272389622875</v>
      </c>
      <c r="N1467" s="17" t="str">
        <f t="shared" si="112"/>
        <v>Under Budget</v>
      </c>
      <c r="O1467" s="38">
        <f t="shared" si="113"/>
        <v>-378.42</v>
      </c>
      <c r="P1467" s="39">
        <f t="shared" si="114"/>
        <v>45658</v>
      </c>
    </row>
    <row r="1468" spans="1:16" ht="15.5" x14ac:dyDescent="0.35">
      <c r="A1468" s="17" t="s">
        <v>1516</v>
      </c>
      <c r="B1468" s="35">
        <v>45917</v>
      </c>
      <c r="C1468" s="17" t="s">
        <v>25</v>
      </c>
      <c r="D1468" s="17" t="s">
        <v>32</v>
      </c>
      <c r="E1468" s="17" t="s">
        <v>27</v>
      </c>
      <c r="F1468" s="17" t="s">
        <v>52</v>
      </c>
      <c r="G1468" s="17" t="s">
        <v>16</v>
      </c>
      <c r="H1468" s="17" t="s">
        <v>2591</v>
      </c>
      <c r="I1468" s="17" t="s">
        <v>30</v>
      </c>
      <c r="J1468" s="36">
        <v>10000</v>
      </c>
      <c r="K1468" s="36">
        <v>7718.51</v>
      </c>
      <c r="L1468" s="36">
        <f t="shared" si="110"/>
        <v>-2281.4899999999998</v>
      </c>
      <c r="M1468" s="37">
        <f t="shared" si="111"/>
        <v>-0.22814899999999999</v>
      </c>
      <c r="N1468" s="17" t="str">
        <f t="shared" si="112"/>
        <v>Under Budget</v>
      </c>
      <c r="O1468" s="38">
        <f t="shared" si="113"/>
        <v>7718.51</v>
      </c>
      <c r="P1468" s="39">
        <f t="shared" si="114"/>
        <v>45901</v>
      </c>
    </row>
    <row r="1469" spans="1:16" ht="15.5" x14ac:dyDescent="0.35">
      <c r="A1469" s="17" t="s">
        <v>1517</v>
      </c>
      <c r="B1469" s="35">
        <v>45661</v>
      </c>
      <c r="C1469" s="17" t="s">
        <v>12</v>
      </c>
      <c r="D1469" s="17" t="s">
        <v>13</v>
      </c>
      <c r="E1469" s="17" t="s">
        <v>20</v>
      </c>
      <c r="F1469" s="17" t="s">
        <v>28</v>
      </c>
      <c r="G1469" s="17" t="s">
        <v>29</v>
      </c>
      <c r="H1469" s="17" t="s">
        <v>2596</v>
      </c>
      <c r="I1469" s="17" t="s">
        <v>23</v>
      </c>
      <c r="J1469" s="36">
        <v>1746</v>
      </c>
      <c r="K1469" s="36">
        <v>1063.8599999999999</v>
      </c>
      <c r="L1469" s="36">
        <f t="shared" si="110"/>
        <v>-682.1400000000001</v>
      </c>
      <c r="M1469" s="37">
        <f t="shared" si="111"/>
        <v>-0.39068728522336776</v>
      </c>
      <c r="N1469" s="17" t="str">
        <f t="shared" si="112"/>
        <v>Under Budget</v>
      </c>
      <c r="O1469" s="38">
        <f t="shared" si="113"/>
        <v>-1063.8599999999999</v>
      </c>
      <c r="P1469" s="39">
        <f t="shared" si="114"/>
        <v>45658</v>
      </c>
    </row>
    <row r="1470" spans="1:16" ht="15.5" x14ac:dyDescent="0.35">
      <c r="A1470" s="17" t="s">
        <v>1518</v>
      </c>
      <c r="B1470" s="35">
        <v>46113</v>
      </c>
      <c r="C1470" s="17" t="s">
        <v>12</v>
      </c>
      <c r="D1470" s="17" t="s">
        <v>36</v>
      </c>
      <c r="E1470" s="17" t="s">
        <v>65</v>
      </c>
      <c r="F1470" s="17" t="s">
        <v>21</v>
      </c>
      <c r="G1470" s="17" t="s">
        <v>82</v>
      </c>
      <c r="H1470" s="17" t="s">
        <v>2590</v>
      </c>
      <c r="I1470" s="17" t="s">
        <v>23</v>
      </c>
      <c r="J1470" s="36">
        <v>9166.67</v>
      </c>
      <c r="K1470" s="36">
        <v>2997</v>
      </c>
      <c r="L1470" s="36">
        <f t="shared" si="110"/>
        <v>-6169.67</v>
      </c>
      <c r="M1470" s="37">
        <f t="shared" si="111"/>
        <v>-0.67305466434375838</v>
      </c>
      <c r="N1470" s="17" t="str">
        <f t="shared" si="112"/>
        <v>Under Budget</v>
      </c>
      <c r="O1470" s="38">
        <f t="shared" si="113"/>
        <v>-2997</v>
      </c>
      <c r="P1470" s="39">
        <f t="shared" si="114"/>
        <v>46113</v>
      </c>
    </row>
    <row r="1471" spans="1:16" ht="15.5" x14ac:dyDescent="0.35">
      <c r="A1471" s="17" t="s">
        <v>1519</v>
      </c>
      <c r="B1471" s="35">
        <v>46053</v>
      </c>
      <c r="C1471" s="17" t="s">
        <v>12</v>
      </c>
      <c r="D1471" s="17" t="s">
        <v>13</v>
      </c>
      <c r="E1471" s="17" t="s">
        <v>41</v>
      </c>
      <c r="F1471" s="17" t="s">
        <v>28</v>
      </c>
      <c r="G1471" s="17" t="s">
        <v>38</v>
      </c>
      <c r="H1471" s="17" t="s">
        <v>2592</v>
      </c>
      <c r="I1471" s="17" t="s">
        <v>39</v>
      </c>
      <c r="J1471" s="36">
        <v>6305</v>
      </c>
      <c r="K1471" s="36">
        <v>11614.94</v>
      </c>
      <c r="L1471" s="36">
        <f t="shared" si="110"/>
        <v>5309.9400000000005</v>
      </c>
      <c r="M1471" s="37">
        <f t="shared" si="111"/>
        <v>0.84217922283901669</v>
      </c>
      <c r="N1471" s="17" t="str">
        <f t="shared" si="112"/>
        <v>Over Budget</v>
      </c>
      <c r="O1471" s="38">
        <f t="shared" si="113"/>
        <v>-11614.94</v>
      </c>
      <c r="P1471" s="39">
        <f t="shared" si="114"/>
        <v>46023</v>
      </c>
    </row>
    <row r="1472" spans="1:16" ht="15.5" x14ac:dyDescent="0.35">
      <c r="A1472" s="17" t="s">
        <v>1520</v>
      </c>
      <c r="B1472" s="35">
        <v>46055</v>
      </c>
      <c r="C1472" s="17" t="s">
        <v>12</v>
      </c>
      <c r="D1472" s="17" t="s">
        <v>36</v>
      </c>
      <c r="E1472" s="17" t="s">
        <v>45</v>
      </c>
      <c r="F1472" s="17" t="s">
        <v>52</v>
      </c>
      <c r="G1472" s="17" t="s">
        <v>22</v>
      </c>
      <c r="H1472" s="17" t="s">
        <v>2590</v>
      </c>
      <c r="I1472" s="17" t="s">
        <v>17</v>
      </c>
      <c r="J1472" s="36">
        <v>9189.4699999999993</v>
      </c>
      <c r="K1472" s="36">
        <v>16888.45</v>
      </c>
      <c r="L1472" s="36">
        <f t="shared" si="110"/>
        <v>7698.9800000000014</v>
      </c>
      <c r="M1472" s="37">
        <f t="shared" si="111"/>
        <v>0.83780457414845488</v>
      </c>
      <c r="N1472" s="17" t="str">
        <f t="shared" si="112"/>
        <v>Over Budget</v>
      </c>
      <c r="O1472" s="38">
        <f t="shared" si="113"/>
        <v>-16888.45</v>
      </c>
      <c r="P1472" s="39">
        <f t="shared" si="114"/>
        <v>46054</v>
      </c>
    </row>
    <row r="1473" spans="1:16" ht="15.5" x14ac:dyDescent="0.35">
      <c r="A1473" s="17" t="s">
        <v>1521</v>
      </c>
      <c r="B1473" s="35">
        <v>46023</v>
      </c>
      <c r="C1473" s="17" t="s">
        <v>25</v>
      </c>
      <c r="D1473" s="17" t="s">
        <v>36</v>
      </c>
      <c r="E1473" s="17" t="s">
        <v>33</v>
      </c>
      <c r="F1473" s="17" t="s">
        <v>34</v>
      </c>
      <c r="G1473" s="17" t="s">
        <v>38</v>
      </c>
      <c r="H1473" s="17" t="s">
        <v>2597</v>
      </c>
      <c r="I1473" s="17" t="s">
        <v>23</v>
      </c>
      <c r="J1473" s="36">
        <v>11547.62</v>
      </c>
      <c r="K1473" s="36">
        <v>8803.24</v>
      </c>
      <c r="L1473" s="36">
        <f t="shared" si="110"/>
        <v>-2744.380000000001</v>
      </c>
      <c r="M1473" s="37">
        <f t="shared" si="111"/>
        <v>-0.23765762988390687</v>
      </c>
      <c r="N1473" s="17" t="str">
        <f t="shared" si="112"/>
        <v>Under Budget</v>
      </c>
      <c r="O1473" s="38">
        <f t="shared" si="113"/>
        <v>8803.24</v>
      </c>
      <c r="P1473" s="39">
        <f t="shared" si="114"/>
        <v>46023</v>
      </c>
    </row>
    <row r="1474" spans="1:16" ht="15.5" x14ac:dyDescent="0.35">
      <c r="A1474" s="17" t="s">
        <v>1522</v>
      </c>
      <c r="B1474" s="35">
        <v>46141</v>
      </c>
      <c r="C1474" s="17" t="s">
        <v>25</v>
      </c>
      <c r="D1474" s="17" t="s">
        <v>19</v>
      </c>
      <c r="E1474" s="17" t="s">
        <v>33</v>
      </c>
      <c r="F1474" s="17" t="s">
        <v>34</v>
      </c>
      <c r="G1474" s="17" t="s">
        <v>22</v>
      </c>
      <c r="H1474" s="17" t="s">
        <v>2597</v>
      </c>
      <c r="I1474" s="17" t="s">
        <v>39</v>
      </c>
      <c r="J1474" s="36">
        <v>8333.33</v>
      </c>
      <c r="K1474" s="36">
        <v>1501.61</v>
      </c>
      <c r="L1474" s="36">
        <f t="shared" si="110"/>
        <v>-6831.72</v>
      </c>
      <c r="M1474" s="37">
        <f t="shared" si="111"/>
        <v>-0.81980672792269116</v>
      </c>
      <c r="N1474" s="17" t="str">
        <f t="shared" si="112"/>
        <v>Under Budget</v>
      </c>
      <c r="O1474" s="38">
        <f t="shared" si="113"/>
        <v>1501.61</v>
      </c>
      <c r="P1474" s="39">
        <f t="shared" si="114"/>
        <v>46113</v>
      </c>
    </row>
    <row r="1475" spans="1:16" ht="15.5" x14ac:dyDescent="0.35">
      <c r="A1475" s="17" t="s">
        <v>1523</v>
      </c>
      <c r="B1475" s="35">
        <v>45891</v>
      </c>
      <c r="C1475" s="17" t="s">
        <v>25</v>
      </c>
      <c r="D1475" s="17" t="s">
        <v>32</v>
      </c>
      <c r="E1475" s="17" t="s">
        <v>109</v>
      </c>
      <c r="F1475" s="17" t="s">
        <v>52</v>
      </c>
      <c r="G1475" s="17" t="s">
        <v>43</v>
      </c>
      <c r="H1475" s="17" t="s">
        <v>2592</v>
      </c>
      <c r="I1475" s="17" t="s">
        <v>39</v>
      </c>
      <c r="J1475" s="36">
        <v>7142.86</v>
      </c>
      <c r="K1475" s="36">
        <v>14025.21</v>
      </c>
      <c r="L1475" s="36">
        <f t="shared" ref="L1475:L1538" si="115">K1475-J1475</f>
        <v>6882.3499999999995</v>
      </c>
      <c r="M1475" s="37">
        <f t="shared" ref="M1475:M1538" si="116">IF(J1475=0,0,L1475/J1475)</f>
        <v>0.9635286145885541</v>
      </c>
      <c r="N1475" s="17" t="str">
        <f t="shared" ref="N1475:N1538" si="117">IF(J1475=0,"No Budget",IF(K1475&gt;J1475,"Over Budget",IF(K1475&lt;J1475,"Under Budget","On Budget")))</f>
        <v>Over Budget</v>
      </c>
      <c r="O1475" s="38">
        <f t="shared" ref="O1475:O1538" si="118">IF(C1475="Revenue",K1475,-K1475)</f>
        <v>14025.21</v>
      </c>
      <c r="P1475" s="39">
        <f t="shared" ref="P1475:P1538" si="119">DATE(YEAR(B1475),MONTH(B1475),1)</f>
        <v>45870</v>
      </c>
    </row>
    <row r="1476" spans="1:16" ht="15.5" x14ac:dyDescent="0.35">
      <c r="A1476" s="17" t="s">
        <v>1524</v>
      </c>
      <c r="B1476" s="35">
        <v>46182</v>
      </c>
      <c r="C1476" s="17" t="s">
        <v>25</v>
      </c>
      <c r="D1476" s="17" t="s">
        <v>2585</v>
      </c>
      <c r="E1476" s="17" t="s">
        <v>109</v>
      </c>
      <c r="F1476" s="17" t="s">
        <v>28</v>
      </c>
      <c r="G1476" s="17" t="s">
        <v>38</v>
      </c>
      <c r="H1476" s="17" t="s">
        <v>2592</v>
      </c>
      <c r="I1476" s="17" t="s">
        <v>23</v>
      </c>
      <c r="J1476" s="36">
        <v>4761.8999999999996</v>
      </c>
      <c r="K1476" s="36">
        <v>9064.68</v>
      </c>
      <c r="L1476" s="36">
        <f t="shared" si="115"/>
        <v>4302.7800000000007</v>
      </c>
      <c r="M1476" s="37">
        <f t="shared" si="116"/>
        <v>0.90358470358470377</v>
      </c>
      <c r="N1476" s="17" t="str">
        <f t="shared" si="117"/>
        <v>Over Budget</v>
      </c>
      <c r="O1476" s="38">
        <f t="shared" si="118"/>
        <v>9064.68</v>
      </c>
      <c r="P1476" s="39">
        <f t="shared" si="119"/>
        <v>46174</v>
      </c>
    </row>
    <row r="1477" spans="1:16" ht="15.5" x14ac:dyDescent="0.35">
      <c r="A1477" s="17" t="s">
        <v>1525</v>
      </c>
      <c r="B1477" s="35">
        <v>45925</v>
      </c>
      <c r="C1477" s="17" t="s">
        <v>12</v>
      </c>
      <c r="D1477" s="17" t="s">
        <v>13</v>
      </c>
      <c r="E1477" s="17" t="s">
        <v>41</v>
      </c>
      <c r="F1477" s="17" t="s">
        <v>34</v>
      </c>
      <c r="G1477" s="17" t="s">
        <v>43</v>
      </c>
      <c r="H1477" s="17" t="s">
        <v>2586</v>
      </c>
      <c r="I1477" s="17" t="s">
        <v>48</v>
      </c>
      <c r="J1477" s="36">
        <v>9285.7099999999991</v>
      </c>
      <c r="K1477" s="36">
        <v>8904.6200000000008</v>
      </c>
      <c r="L1477" s="36">
        <f t="shared" si="115"/>
        <v>-381.08999999999833</v>
      </c>
      <c r="M1477" s="37">
        <f t="shared" si="116"/>
        <v>-4.1040480480221582E-2</v>
      </c>
      <c r="N1477" s="17" t="str">
        <f t="shared" si="117"/>
        <v>Under Budget</v>
      </c>
      <c r="O1477" s="38">
        <f t="shared" si="118"/>
        <v>-8904.6200000000008</v>
      </c>
      <c r="P1477" s="39">
        <f t="shared" si="119"/>
        <v>45901</v>
      </c>
    </row>
    <row r="1478" spans="1:16" ht="15.5" x14ac:dyDescent="0.35">
      <c r="A1478" s="17" t="s">
        <v>1526</v>
      </c>
      <c r="B1478" s="35">
        <v>46046</v>
      </c>
      <c r="C1478" s="17" t="s">
        <v>12</v>
      </c>
      <c r="D1478" s="17" t="s">
        <v>2584</v>
      </c>
      <c r="E1478" s="17" t="s">
        <v>74</v>
      </c>
      <c r="F1478" s="17" t="s">
        <v>15</v>
      </c>
      <c r="G1478" s="17" t="s">
        <v>22</v>
      </c>
      <c r="H1478" s="17" t="s">
        <v>2593</v>
      </c>
      <c r="I1478" s="17" t="s">
        <v>17</v>
      </c>
      <c r="J1478" s="36">
        <v>4850</v>
      </c>
      <c r="K1478" s="36">
        <v>5609.45</v>
      </c>
      <c r="L1478" s="36">
        <f t="shared" si="115"/>
        <v>759.44999999999982</v>
      </c>
      <c r="M1478" s="37">
        <f t="shared" si="116"/>
        <v>0.15658762886597935</v>
      </c>
      <c r="N1478" s="17" t="str">
        <f t="shared" si="117"/>
        <v>Over Budget</v>
      </c>
      <c r="O1478" s="38">
        <f t="shared" si="118"/>
        <v>-5609.45</v>
      </c>
      <c r="P1478" s="39">
        <f t="shared" si="119"/>
        <v>46023</v>
      </c>
    </row>
    <row r="1479" spans="1:16" ht="15.5" x14ac:dyDescent="0.35">
      <c r="A1479" s="17" t="s">
        <v>1527</v>
      </c>
      <c r="B1479" s="35">
        <v>45803</v>
      </c>
      <c r="C1479" s="17" t="s">
        <v>25</v>
      </c>
      <c r="D1479" s="17" t="s">
        <v>32</v>
      </c>
      <c r="E1479" s="17" t="s">
        <v>33</v>
      </c>
      <c r="F1479" s="17" t="s">
        <v>28</v>
      </c>
      <c r="G1479" s="17" t="s">
        <v>16</v>
      </c>
      <c r="H1479" s="17" t="s">
        <v>2592</v>
      </c>
      <c r="I1479" s="17" t="s">
        <v>39</v>
      </c>
      <c r="J1479" s="36">
        <v>9615.3799999999992</v>
      </c>
      <c r="K1479" s="36">
        <v>19765.240000000002</v>
      </c>
      <c r="L1479" s="36">
        <f t="shared" si="115"/>
        <v>10149.860000000002</v>
      </c>
      <c r="M1479" s="37">
        <f t="shared" si="116"/>
        <v>1.0555859466812547</v>
      </c>
      <c r="N1479" s="17" t="str">
        <f t="shared" si="117"/>
        <v>Over Budget</v>
      </c>
      <c r="O1479" s="38">
        <f t="shared" si="118"/>
        <v>19765.240000000002</v>
      </c>
      <c r="P1479" s="39">
        <f t="shared" si="119"/>
        <v>45778</v>
      </c>
    </row>
    <row r="1480" spans="1:16" ht="15.5" x14ac:dyDescent="0.35">
      <c r="A1480" s="17" t="s">
        <v>1528</v>
      </c>
      <c r="B1480" s="35">
        <v>45697</v>
      </c>
      <c r="C1480" s="17" t="s">
        <v>25</v>
      </c>
      <c r="D1480" s="17" t="s">
        <v>32</v>
      </c>
      <c r="E1480" s="17" t="s">
        <v>33</v>
      </c>
      <c r="F1480" s="17" t="s">
        <v>52</v>
      </c>
      <c r="G1480" s="17" t="s">
        <v>38</v>
      </c>
      <c r="H1480" s="17" t="s">
        <v>2591</v>
      </c>
      <c r="I1480" s="17" t="s">
        <v>23</v>
      </c>
      <c r="J1480" s="36">
        <v>13472.22</v>
      </c>
      <c r="K1480" s="36">
        <v>6465.88</v>
      </c>
      <c r="L1480" s="36">
        <f t="shared" si="115"/>
        <v>-7006.3399999999992</v>
      </c>
      <c r="M1480" s="37">
        <f t="shared" si="116"/>
        <v>-0.52005831258693813</v>
      </c>
      <c r="N1480" s="17" t="str">
        <f t="shared" si="117"/>
        <v>Under Budget</v>
      </c>
      <c r="O1480" s="38">
        <f t="shared" si="118"/>
        <v>6465.88</v>
      </c>
      <c r="P1480" s="39">
        <f t="shared" si="119"/>
        <v>45689</v>
      </c>
    </row>
    <row r="1481" spans="1:16" ht="15.5" x14ac:dyDescent="0.35">
      <c r="A1481" s="17" t="s">
        <v>1529</v>
      </c>
      <c r="B1481" s="35">
        <v>46138</v>
      </c>
      <c r="C1481" s="17" t="s">
        <v>12</v>
      </c>
      <c r="D1481" s="17" t="s">
        <v>19</v>
      </c>
      <c r="E1481" s="17" t="s">
        <v>65</v>
      </c>
      <c r="F1481" s="17" t="s">
        <v>15</v>
      </c>
      <c r="G1481" s="17" t="s">
        <v>43</v>
      </c>
      <c r="H1481" s="17" t="s">
        <v>2588</v>
      </c>
      <c r="I1481" s="17" t="s">
        <v>23</v>
      </c>
      <c r="J1481" s="36">
        <v>9166.67</v>
      </c>
      <c r="K1481" s="36">
        <v>4868.78</v>
      </c>
      <c r="L1481" s="36">
        <f t="shared" si="115"/>
        <v>-4297.8900000000003</v>
      </c>
      <c r="M1481" s="37">
        <f t="shared" si="116"/>
        <v>-0.46886055677797939</v>
      </c>
      <c r="N1481" s="17" t="str">
        <f t="shared" si="117"/>
        <v>Under Budget</v>
      </c>
      <c r="O1481" s="38">
        <f t="shared" si="118"/>
        <v>-4868.78</v>
      </c>
      <c r="P1481" s="39">
        <f t="shared" si="119"/>
        <v>46113</v>
      </c>
    </row>
    <row r="1482" spans="1:16" ht="15.5" x14ac:dyDescent="0.35">
      <c r="A1482" s="17" t="s">
        <v>1530</v>
      </c>
      <c r="B1482" s="35">
        <v>45987</v>
      </c>
      <c r="C1482" s="17" t="s">
        <v>12</v>
      </c>
      <c r="D1482" s="17" t="s">
        <v>2585</v>
      </c>
      <c r="E1482" s="17" t="s">
        <v>77</v>
      </c>
      <c r="F1482" s="17" t="s">
        <v>34</v>
      </c>
      <c r="G1482" s="17" t="s">
        <v>16</v>
      </c>
      <c r="H1482" s="17" t="s">
        <v>80</v>
      </c>
      <c r="I1482" s="17" t="s">
        <v>48</v>
      </c>
      <c r="J1482" s="36">
        <v>2310</v>
      </c>
      <c r="K1482" s="36">
        <v>1921.12</v>
      </c>
      <c r="L1482" s="36">
        <f t="shared" si="115"/>
        <v>-388.88000000000011</v>
      </c>
      <c r="M1482" s="37">
        <f t="shared" si="116"/>
        <v>-0.16834632034632038</v>
      </c>
      <c r="N1482" s="17" t="str">
        <f t="shared" si="117"/>
        <v>Under Budget</v>
      </c>
      <c r="O1482" s="38">
        <f t="shared" si="118"/>
        <v>-1921.12</v>
      </c>
      <c r="P1482" s="39">
        <f t="shared" si="119"/>
        <v>45962</v>
      </c>
    </row>
    <row r="1483" spans="1:16" ht="15.5" x14ac:dyDescent="0.35">
      <c r="A1483" s="17" t="s">
        <v>1531</v>
      </c>
      <c r="B1483" s="35">
        <v>45775</v>
      </c>
      <c r="C1483" s="17" t="s">
        <v>25</v>
      </c>
      <c r="D1483" s="17" t="s">
        <v>32</v>
      </c>
      <c r="E1483" s="17" t="s">
        <v>33</v>
      </c>
      <c r="F1483" s="17" t="s">
        <v>15</v>
      </c>
      <c r="G1483" s="17" t="s">
        <v>38</v>
      </c>
      <c r="H1483" s="17" t="s">
        <v>2593</v>
      </c>
      <c r="I1483" s="17" t="s">
        <v>48</v>
      </c>
      <c r="J1483" s="36">
        <v>11363.64</v>
      </c>
      <c r="K1483" s="36">
        <v>9446.26</v>
      </c>
      <c r="L1483" s="36">
        <f t="shared" si="115"/>
        <v>-1917.3799999999992</v>
      </c>
      <c r="M1483" s="37">
        <f t="shared" si="116"/>
        <v>-0.16872938600659643</v>
      </c>
      <c r="N1483" s="17" t="str">
        <f t="shared" si="117"/>
        <v>Under Budget</v>
      </c>
      <c r="O1483" s="38">
        <f t="shared" si="118"/>
        <v>9446.26</v>
      </c>
      <c r="P1483" s="39">
        <f t="shared" si="119"/>
        <v>45748</v>
      </c>
    </row>
    <row r="1484" spans="1:16" ht="15.5" x14ac:dyDescent="0.35">
      <c r="A1484" s="17" t="s">
        <v>1532</v>
      </c>
      <c r="B1484" s="35">
        <v>46094</v>
      </c>
      <c r="C1484" s="17" t="s">
        <v>12</v>
      </c>
      <c r="D1484" s="17" t="s">
        <v>2585</v>
      </c>
      <c r="E1484" s="17" t="s">
        <v>77</v>
      </c>
      <c r="F1484" s="17" t="s">
        <v>15</v>
      </c>
      <c r="G1484" s="17" t="s">
        <v>16</v>
      </c>
      <c r="H1484" s="17" t="s">
        <v>2598</v>
      </c>
      <c r="I1484" s="17" t="s">
        <v>30</v>
      </c>
      <c r="J1484" s="36">
        <v>1833.33</v>
      </c>
      <c r="K1484" s="36">
        <v>3817.06</v>
      </c>
      <c r="L1484" s="36">
        <f t="shared" si="115"/>
        <v>1983.73</v>
      </c>
      <c r="M1484" s="37">
        <f t="shared" si="116"/>
        <v>1.0820365127936598</v>
      </c>
      <c r="N1484" s="17" t="str">
        <f t="shared" si="117"/>
        <v>Over Budget</v>
      </c>
      <c r="O1484" s="38">
        <f t="shared" si="118"/>
        <v>-3817.06</v>
      </c>
      <c r="P1484" s="39">
        <f t="shared" si="119"/>
        <v>46082</v>
      </c>
    </row>
    <row r="1485" spans="1:16" ht="15.5" x14ac:dyDescent="0.35">
      <c r="A1485" s="17" t="s">
        <v>1533</v>
      </c>
      <c r="B1485" s="35">
        <v>46067</v>
      </c>
      <c r="C1485" s="17" t="s">
        <v>12</v>
      </c>
      <c r="D1485" s="17" t="s">
        <v>19</v>
      </c>
      <c r="E1485" s="17" t="s">
        <v>65</v>
      </c>
      <c r="F1485" s="17" t="s">
        <v>52</v>
      </c>
      <c r="G1485" s="17" t="s">
        <v>38</v>
      </c>
      <c r="H1485" s="17" t="s">
        <v>2594</v>
      </c>
      <c r="I1485" s="17" t="s">
        <v>39</v>
      </c>
      <c r="J1485" s="36">
        <v>4850</v>
      </c>
      <c r="K1485" s="36">
        <v>1794.93</v>
      </c>
      <c r="L1485" s="36">
        <f t="shared" si="115"/>
        <v>-3055.0699999999997</v>
      </c>
      <c r="M1485" s="37">
        <f t="shared" si="116"/>
        <v>-0.62991134020618555</v>
      </c>
      <c r="N1485" s="17" t="str">
        <f t="shared" si="117"/>
        <v>Under Budget</v>
      </c>
      <c r="O1485" s="38">
        <f t="shared" si="118"/>
        <v>-1794.93</v>
      </c>
      <c r="P1485" s="39">
        <f t="shared" si="119"/>
        <v>46054</v>
      </c>
    </row>
    <row r="1486" spans="1:16" ht="15.5" x14ac:dyDescent="0.35">
      <c r="A1486" s="17" t="s">
        <v>1534</v>
      </c>
      <c r="B1486" s="35">
        <v>45954</v>
      </c>
      <c r="C1486" s="17" t="s">
        <v>25</v>
      </c>
      <c r="D1486" s="17" t="s">
        <v>32</v>
      </c>
      <c r="E1486" s="17" t="s">
        <v>109</v>
      </c>
      <c r="F1486" s="17" t="s">
        <v>52</v>
      </c>
      <c r="G1486" s="17" t="s">
        <v>38</v>
      </c>
      <c r="H1486" s="17" t="s">
        <v>2591</v>
      </c>
      <c r="I1486" s="17" t="s">
        <v>39</v>
      </c>
      <c r="J1486" s="36">
        <v>7692.31</v>
      </c>
      <c r="K1486" s="36">
        <v>14366.66</v>
      </c>
      <c r="L1486" s="36">
        <f t="shared" si="115"/>
        <v>6674.3499999999995</v>
      </c>
      <c r="M1486" s="37">
        <f t="shared" si="116"/>
        <v>0.86766523970042797</v>
      </c>
      <c r="N1486" s="17" t="str">
        <f t="shared" si="117"/>
        <v>Over Budget</v>
      </c>
      <c r="O1486" s="38">
        <f t="shared" si="118"/>
        <v>14366.66</v>
      </c>
      <c r="P1486" s="39">
        <f t="shared" si="119"/>
        <v>45931</v>
      </c>
    </row>
    <row r="1487" spans="1:16" ht="15.5" x14ac:dyDescent="0.35">
      <c r="A1487" s="17" t="s">
        <v>1535</v>
      </c>
      <c r="B1487" s="35">
        <v>45910</v>
      </c>
      <c r="C1487" s="17" t="s">
        <v>12</v>
      </c>
      <c r="D1487" s="17" t="s">
        <v>19</v>
      </c>
      <c r="E1487" s="17" t="s">
        <v>77</v>
      </c>
      <c r="F1487" s="17" t="s">
        <v>28</v>
      </c>
      <c r="G1487" s="17" t="s">
        <v>29</v>
      </c>
      <c r="H1487" s="17" t="s">
        <v>2588</v>
      </c>
      <c r="I1487" s="17" t="s">
        <v>23</v>
      </c>
      <c r="J1487" s="36">
        <v>5500</v>
      </c>
      <c r="K1487" s="36">
        <v>1394.66</v>
      </c>
      <c r="L1487" s="36">
        <f t="shared" si="115"/>
        <v>-4105.34</v>
      </c>
      <c r="M1487" s="37">
        <f t="shared" si="116"/>
        <v>-0.74642545454545461</v>
      </c>
      <c r="N1487" s="17" t="str">
        <f t="shared" si="117"/>
        <v>Under Budget</v>
      </c>
      <c r="O1487" s="38">
        <f t="shared" si="118"/>
        <v>-1394.66</v>
      </c>
      <c r="P1487" s="39">
        <f t="shared" si="119"/>
        <v>45901</v>
      </c>
    </row>
    <row r="1488" spans="1:16" ht="15.5" x14ac:dyDescent="0.35">
      <c r="A1488" s="17" t="s">
        <v>1536</v>
      </c>
      <c r="B1488" s="35">
        <v>45770</v>
      </c>
      <c r="C1488" s="17" t="s">
        <v>25</v>
      </c>
      <c r="D1488" s="17" t="s">
        <v>32</v>
      </c>
      <c r="E1488" s="17" t="s">
        <v>109</v>
      </c>
      <c r="F1488" s="17" t="s">
        <v>21</v>
      </c>
      <c r="G1488" s="17" t="s">
        <v>38</v>
      </c>
      <c r="H1488" s="17" t="s">
        <v>2586</v>
      </c>
      <c r="I1488" s="17" t="s">
        <v>23</v>
      </c>
      <c r="J1488" s="36">
        <v>14285.71</v>
      </c>
      <c r="K1488" s="36">
        <v>10980.08</v>
      </c>
      <c r="L1488" s="36">
        <f t="shared" si="115"/>
        <v>-3305.6299999999992</v>
      </c>
      <c r="M1488" s="37">
        <f t="shared" si="116"/>
        <v>-0.23139416941825078</v>
      </c>
      <c r="N1488" s="17" t="str">
        <f t="shared" si="117"/>
        <v>Under Budget</v>
      </c>
      <c r="O1488" s="38">
        <f t="shared" si="118"/>
        <v>10980.08</v>
      </c>
      <c r="P1488" s="39">
        <f t="shared" si="119"/>
        <v>45748</v>
      </c>
    </row>
    <row r="1489" spans="1:16" ht="15.5" x14ac:dyDescent="0.35">
      <c r="A1489" s="17" t="s">
        <v>1537</v>
      </c>
      <c r="B1489" s="35">
        <v>45854</v>
      </c>
      <c r="C1489" s="17" t="s">
        <v>25</v>
      </c>
      <c r="D1489" s="17" t="s">
        <v>19</v>
      </c>
      <c r="E1489" s="17" t="s">
        <v>33</v>
      </c>
      <c r="F1489" s="17" t="s">
        <v>28</v>
      </c>
      <c r="G1489" s="17" t="s">
        <v>22</v>
      </c>
      <c r="H1489" s="17" t="s">
        <v>2594</v>
      </c>
      <c r="I1489" s="17" t="s">
        <v>23</v>
      </c>
      <c r="J1489" s="36">
        <v>12500</v>
      </c>
      <c r="K1489" s="36">
        <v>2889.67</v>
      </c>
      <c r="L1489" s="36">
        <f t="shared" si="115"/>
        <v>-9610.33</v>
      </c>
      <c r="M1489" s="37">
        <f t="shared" si="116"/>
        <v>-0.76882640000000002</v>
      </c>
      <c r="N1489" s="17" t="str">
        <f t="shared" si="117"/>
        <v>Under Budget</v>
      </c>
      <c r="O1489" s="38">
        <f t="shared" si="118"/>
        <v>2889.67</v>
      </c>
      <c r="P1489" s="39">
        <f t="shared" si="119"/>
        <v>45839</v>
      </c>
    </row>
    <row r="1490" spans="1:16" ht="15.5" x14ac:dyDescent="0.35">
      <c r="A1490" s="17" t="s">
        <v>1538</v>
      </c>
      <c r="B1490" s="35">
        <v>46198</v>
      </c>
      <c r="C1490" s="17" t="s">
        <v>12</v>
      </c>
      <c r="D1490" s="17" t="s">
        <v>19</v>
      </c>
      <c r="E1490" s="17" t="s">
        <v>77</v>
      </c>
      <c r="F1490" s="17" t="s">
        <v>34</v>
      </c>
      <c r="G1490" s="17" t="s">
        <v>82</v>
      </c>
      <c r="H1490" s="17" t="s">
        <v>2589</v>
      </c>
      <c r="I1490" s="17" t="s">
        <v>30</v>
      </c>
      <c r="J1490" s="36">
        <v>3142.86</v>
      </c>
      <c r="K1490" s="36">
        <v>1739.28</v>
      </c>
      <c r="L1490" s="36">
        <f t="shared" si="115"/>
        <v>-1403.5800000000002</v>
      </c>
      <c r="M1490" s="37">
        <f t="shared" si="116"/>
        <v>-0.44659323036979059</v>
      </c>
      <c r="N1490" s="17" t="str">
        <f t="shared" si="117"/>
        <v>Under Budget</v>
      </c>
      <c r="O1490" s="38">
        <f t="shared" si="118"/>
        <v>-1739.28</v>
      </c>
      <c r="P1490" s="39">
        <f t="shared" si="119"/>
        <v>46174</v>
      </c>
    </row>
    <row r="1491" spans="1:16" ht="15.5" x14ac:dyDescent="0.35">
      <c r="A1491" s="17" t="s">
        <v>1539</v>
      </c>
      <c r="B1491" s="35">
        <v>45844</v>
      </c>
      <c r="C1491" s="17" t="s">
        <v>25</v>
      </c>
      <c r="D1491" s="17" t="s">
        <v>13</v>
      </c>
      <c r="E1491" s="17" t="s">
        <v>169</v>
      </c>
      <c r="F1491" s="17" t="s">
        <v>34</v>
      </c>
      <c r="G1491" s="17" t="s">
        <v>29</v>
      </c>
      <c r="H1491" s="17" t="s">
        <v>80</v>
      </c>
      <c r="I1491" s="17" t="s">
        <v>48</v>
      </c>
      <c r="J1491" s="36">
        <v>4000</v>
      </c>
      <c r="K1491" s="36">
        <v>3994.56</v>
      </c>
      <c r="L1491" s="36">
        <f t="shared" si="115"/>
        <v>-5.4400000000000546</v>
      </c>
      <c r="M1491" s="37">
        <f t="shared" si="116"/>
        <v>-1.3600000000000135E-3</v>
      </c>
      <c r="N1491" s="17" t="str">
        <f t="shared" si="117"/>
        <v>Under Budget</v>
      </c>
      <c r="O1491" s="38">
        <f t="shared" si="118"/>
        <v>3994.56</v>
      </c>
      <c r="P1491" s="39">
        <f t="shared" si="119"/>
        <v>45839</v>
      </c>
    </row>
    <row r="1492" spans="1:16" ht="15.5" x14ac:dyDescent="0.35">
      <c r="A1492" s="17" t="s">
        <v>1540</v>
      </c>
      <c r="B1492" s="35">
        <v>46014</v>
      </c>
      <c r="C1492" s="17" t="s">
        <v>12</v>
      </c>
      <c r="D1492" s="17" t="s">
        <v>19</v>
      </c>
      <c r="E1492" s="17" t="s">
        <v>41</v>
      </c>
      <c r="F1492" s="17" t="s">
        <v>28</v>
      </c>
      <c r="G1492" s="17" t="s">
        <v>38</v>
      </c>
      <c r="H1492" s="17" t="s">
        <v>2586</v>
      </c>
      <c r="I1492" s="17" t="s">
        <v>17</v>
      </c>
      <c r="J1492" s="36">
        <v>5250</v>
      </c>
      <c r="K1492" s="36">
        <v>4312.18</v>
      </c>
      <c r="L1492" s="36">
        <f t="shared" si="115"/>
        <v>-937.81999999999971</v>
      </c>
      <c r="M1492" s="37">
        <f t="shared" si="116"/>
        <v>-0.1786323809523809</v>
      </c>
      <c r="N1492" s="17" t="str">
        <f t="shared" si="117"/>
        <v>Under Budget</v>
      </c>
      <c r="O1492" s="38">
        <f t="shared" si="118"/>
        <v>-4312.18</v>
      </c>
      <c r="P1492" s="39">
        <f t="shared" si="119"/>
        <v>45992</v>
      </c>
    </row>
    <row r="1493" spans="1:16" ht="15.5" x14ac:dyDescent="0.35">
      <c r="A1493" s="17" t="s">
        <v>1541</v>
      </c>
      <c r="B1493" s="35">
        <v>45953</v>
      </c>
      <c r="C1493" s="17" t="s">
        <v>12</v>
      </c>
      <c r="D1493" s="17" t="s">
        <v>2583</v>
      </c>
      <c r="E1493" s="17" t="s">
        <v>51</v>
      </c>
      <c r="F1493" s="17" t="s">
        <v>34</v>
      </c>
      <c r="G1493" s="17" t="s">
        <v>82</v>
      </c>
      <c r="H1493" s="17" t="s">
        <v>2591</v>
      </c>
      <c r="I1493" s="17" t="s">
        <v>39</v>
      </c>
      <c r="J1493" s="36">
        <v>5000</v>
      </c>
      <c r="K1493" s="36">
        <v>1549.61</v>
      </c>
      <c r="L1493" s="36">
        <f t="shared" si="115"/>
        <v>-3450.3900000000003</v>
      </c>
      <c r="M1493" s="37">
        <f t="shared" si="116"/>
        <v>-0.69007800000000008</v>
      </c>
      <c r="N1493" s="17" t="str">
        <f t="shared" si="117"/>
        <v>Under Budget</v>
      </c>
      <c r="O1493" s="38">
        <f t="shared" si="118"/>
        <v>-1549.61</v>
      </c>
      <c r="P1493" s="39">
        <f t="shared" si="119"/>
        <v>45931</v>
      </c>
    </row>
    <row r="1494" spans="1:16" ht="15.5" x14ac:dyDescent="0.35">
      <c r="A1494" s="17" t="s">
        <v>1542</v>
      </c>
      <c r="B1494" s="35">
        <v>45753</v>
      </c>
      <c r="C1494" s="17" t="s">
        <v>12</v>
      </c>
      <c r="D1494" s="17" t="s">
        <v>13</v>
      </c>
      <c r="E1494" s="17" t="s">
        <v>65</v>
      </c>
      <c r="F1494" s="17" t="s">
        <v>28</v>
      </c>
      <c r="G1494" s="17" t="s">
        <v>38</v>
      </c>
      <c r="H1494" s="17" t="s">
        <v>80</v>
      </c>
      <c r="I1494" s="17" t="s">
        <v>23</v>
      </c>
      <c r="J1494" s="36">
        <v>6111.11</v>
      </c>
      <c r="K1494" s="36">
        <v>4997.6400000000003</v>
      </c>
      <c r="L1494" s="36">
        <f t="shared" si="115"/>
        <v>-1113.4699999999993</v>
      </c>
      <c r="M1494" s="37">
        <f t="shared" si="116"/>
        <v>-0.1822042149462208</v>
      </c>
      <c r="N1494" s="17" t="str">
        <f t="shared" si="117"/>
        <v>Under Budget</v>
      </c>
      <c r="O1494" s="38">
        <f t="shared" si="118"/>
        <v>-4997.6400000000003</v>
      </c>
      <c r="P1494" s="39">
        <f t="shared" si="119"/>
        <v>45748</v>
      </c>
    </row>
    <row r="1495" spans="1:16" ht="15.5" x14ac:dyDescent="0.35">
      <c r="A1495" s="17" t="s">
        <v>1543</v>
      </c>
      <c r="B1495" s="35">
        <v>45822</v>
      </c>
      <c r="C1495" s="17" t="s">
        <v>12</v>
      </c>
      <c r="D1495" s="17" t="s">
        <v>2584</v>
      </c>
      <c r="E1495" s="17" t="s">
        <v>45</v>
      </c>
      <c r="F1495" s="17" t="s">
        <v>28</v>
      </c>
      <c r="G1495" s="17" t="s">
        <v>82</v>
      </c>
      <c r="H1495" s="17" t="s">
        <v>2593</v>
      </c>
      <c r="I1495" s="17" t="s">
        <v>48</v>
      </c>
      <c r="J1495" s="36">
        <v>6428.57</v>
      </c>
      <c r="K1495" s="36">
        <v>9801.33</v>
      </c>
      <c r="L1495" s="36">
        <f t="shared" si="115"/>
        <v>3372.76</v>
      </c>
      <c r="M1495" s="37">
        <f t="shared" si="116"/>
        <v>0.52465167214481612</v>
      </c>
      <c r="N1495" s="17" t="str">
        <f t="shared" si="117"/>
        <v>Over Budget</v>
      </c>
      <c r="O1495" s="38">
        <f t="shared" si="118"/>
        <v>-9801.33</v>
      </c>
      <c r="P1495" s="39">
        <f t="shared" si="119"/>
        <v>45809</v>
      </c>
    </row>
    <row r="1496" spans="1:16" ht="15.5" x14ac:dyDescent="0.35">
      <c r="A1496" s="17" t="s">
        <v>1544</v>
      </c>
      <c r="B1496" s="35">
        <v>45844</v>
      </c>
      <c r="C1496" s="17" t="s">
        <v>12</v>
      </c>
      <c r="D1496" s="17" t="s">
        <v>13</v>
      </c>
      <c r="E1496" s="17" t="s">
        <v>14</v>
      </c>
      <c r="F1496" s="17" t="s">
        <v>52</v>
      </c>
      <c r="G1496" s="17" t="s">
        <v>16</v>
      </c>
      <c r="H1496" s="17" t="s">
        <v>2587</v>
      </c>
      <c r="I1496" s="17" t="s">
        <v>23</v>
      </c>
      <c r="J1496" s="36">
        <v>4000</v>
      </c>
      <c r="K1496" s="36">
        <v>5330.82</v>
      </c>
      <c r="L1496" s="36">
        <f t="shared" si="115"/>
        <v>1330.8199999999997</v>
      </c>
      <c r="M1496" s="37">
        <f t="shared" si="116"/>
        <v>0.33270499999999992</v>
      </c>
      <c r="N1496" s="17" t="str">
        <f t="shared" si="117"/>
        <v>Over Budget</v>
      </c>
      <c r="O1496" s="38">
        <f t="shared" si="118"/>
        <v>-5330.82</v>
      </c>
      <c r="P1496" s="39">
        <f t="shared" si="119"/>
        <v>45839</v>
      </c>
    </row>
    <row r="1497" spans="1:16" ht="15.5" x14ac:dyDescent="0.35">
      <c r="A1497" s="17" t="s">
        <v>1545</v>
      </c>
      <c r="B1497" s="35">
        <v>45682</v>
      </c>
      <c r="C1497" s="17" t="s">
        <v>25</v>
      </c>
      <c r="D1497" s="17" t="s">
        <v>32</v>
      </c>
      <c r="E1497" s="17" t="s">
        <v>27</v>
      </c>
      <c r="F1497" s="17" t="s">
        <v>52</v>
      </c>
      <c r="G1497" s="17" t="s">
        <v>43</v>
      </c>
      <c r="H1497" s="17" t="s">
        <v>2595</v>
      </c>
      <c r="I1497" s="17" t="s">
        <v>23</v>
      </c>
      <c r="J1497" s="36">
        <v>11085.71</v>
      </c>
      <c r="K1497" s="36">
        <v>2100.35</v>
      </c>
      <c r="L1497" s="36">
        <f t="shared" si="115"/>
        <v>-8985.3599999999988</v>
      </c>
      <c r="M1497" s="37">
        <f t="shared" si="116"/>
        <v>-0.81053536489769251</v>
      </c>
      <c r="N1497" s="17" t="str">
        <f t="shared" si="117"/>
        <v>Under Budget</v>
      </c>
      <c r="O1497" s="38">
        <f t="shared" si="118"/>
        <v>2100.35</v>
      </c>
      <c r="P1497" s="39">
        <f t="shared" si="119"/>
        <v>45658</v>
      </c>
    </row>
    <row r="1498" spans="1:16" ht="15.5" x14ac:dyDescent="0.35">
      <c r="A1498" s="17" t="s">
        <v>1546</v>
      </c>
      <c r="B1498" s="35">
        <v>46134</v>
      </c>
      <c r="C1498" s="17" t="s">
        <v>25</v>
      </c>
      <c r="D1498" s="17" t="s">
        <v>32</v>
      </c>
      <c r="E1498" s="17" t="s">
        <v>27</v>
      </c>
      <c r="F1498" s="17" t="s">
        <v>28</v>
      </c>
      <c r="G1498" s="17" t="s">
        <v>38</v>
      </c>
      <c r="H1498" s="17" t="s">
        <v>2595</v>
      </c>
      <c r="I1498" s="17" t="s">
        <v>23</v>
      </c>
      <c r="J1498" s="36">
        <v>20000</v>
      </c>
      <c r="K1498" s="36">
        <v>7532.59</v>
      </c>
      <c r="L1498" s="36">
        <f t="shared" si="115"/>
        <v>-12467.41</v>
      </c>
      <c r="M1498" s="37">
        <f t="shared" si="116"/>
        <v>-0.62337049999999994</v>
      </c>
      <c r="N1498" s="17" t="str">
        <f t="shared" si="117"/>
        <v>Under Budget</v>
      </c>
      <c r="O1498" s="38">
        <f t="shared" si="118"/>
        <v>7532.59</v>
      </c>
      <c r="P1498" s="39">
        <f t="shared" si="119"/>
        <v>46113</v>
      </c>
    </row>
    <row r="1499" spans="1:16" ht="15.5" x14ac:dyDescent="0.35">
      <c r="A1499" s="17" t="s">
        <v>1547</v>
      </c>
      <c r="B1499" s="35">
        <v>45755</v>
      </c>
      <c r="C1499" s="17" t="s">
        <v>12</v>
      </c>
      <c r="D1499" s="17" t="s">
        <v>19</v>
      </c>
      <c r="E1499" s="17" t="s">
        <v>65</v>
      </c>
      <c r="F1499" s="17" t="s">
        <v>52</v>
      </c>
      <c r="G1499" s="17" t="s">
        <v>22</v>
      </c>
      <c r="H1499" s="17" t="s">
        <v>2587</v>
      </c>
      <c r="I1499" s="17" t="s">
        <v>23</v>
      </c>
      <c r="J1499" s="36">
        <v>6111.11</v>
      </c>
      <c r="K1499" s="36">
        <v>4799.0200000000004</v>
      </c>
      <c r="L1499" s="36">
        <f t="shared" si="115"/>
        <v>-1312.0899999999992</v>
      </c>
      <c r="M1499" s="37">
        <f t="shared" si="116"/>
        <v>-0.21470567540103178</v>
      </c>
      <c r="N1499" s="17" t="str">
        <f t="shared" si="117"/>
        <v>Under Budget</v>
      </c>
      <c r="O1499" s="38">
        <f t="shared" si="118"/>
        <v>-4799.0200000000004</v>
      </c>
      <c r="P1499" s="39">
        <f t="shared" si="119"/>
        <v>45748</v>
      </c>
    </row>
    <row r="1500" spans="1:16" ht="15.5" x14ac:dyDescent="0.35">
      <c r="A1500" s="17" t="s">
        <v>1548</v>
      </c>
      <c r="B1500" s="35">
        <v>45893</v>
      </c>
      <c r="C1500" s="17" t="s">
        <v>25</v>
      </c>
      <c r="D1500" s="17" t="s">
        <v>32</v>
      </c>
      <c r="E1500" s="17" t="s">
        <v>33</v>
      </c>
      <c r="F1500" s="17" t="s">
        <v>34</v>
      </c>
      <c r="G1500" s="17" t="s">
        <v>29</v>
      </c>
      <c r="H1500" s="17" t="s">
        <v>2593</v>
      </c>
      <c r="I1500" s="17" t="s">
        <v>23</v>
      </c>
      <c r="J1500" s="36">
        <v>10416.67</v>
      </c>
      <c r="K1500" s="36">
        <v>23475.95</v>
      </c>
      <c r="L1500" s="36">
        <f t="shared" si="115"/>
        <v>13059.28</v>
      </c>
      <c r="M1500" s="37">
        <f t="shared" si="116"/>
        <v>1.2536904788190468</v>
      </c>
      <c r="N1500" s="17" t="str">
        <f t="shared" si="117"/>
        <v>Over Budget</v>
      </c>
      <c r="O1500" s="38">
        <f t="shared" si="118"/>
        <v>23475.95</v>
      </c>
      <c r="P1500" s="39">
        <f t="shared" si="119"/>
        <v>45870</v>
      </c>
    </row>
    <row r="1501" spans="1:16" ht="15.5" x14ac:dyDescent="0.35">
      <c r="A1501" s="17" t="s">
        <v>1549</v>
      </c>
      <c r="B1501" s="35">
        <v>45931</v>
      </c>
      <c r="C1501" s="17" t="s">
        <v>12</v>
      </c>
      <c r="D1501" s="17" t="s">
        <v>19</v>
      </c>
      <c r="E1501" s="17" t="s">
        <v>45</v>
      </c>
      <c r="F1501" s="17" t="s">
        <v>28</v>
      </c>
      <c r="G1501" s="17" t="s">
        <v>16</v>
      </c>
      <c r="H1501" s="17" t="s">
        <v>2596</v>
      </c>
      <c r="I1501" s="17" t="s">
        <v>39</v>
      </c>
      <c r="J1501" s="36">
        <v>7826.09</v>
      </c>
      <c r="K1501" s="36">
        <v>1825.98</v>
      </c>
      <c r="L1501" s="36">
        <f t="shared" si="115"/>
        <v>-6000.1100000000006</v>
      </c>
      <c r="M1501" s="37">
        <f t="shared" si="116"/>
        <v>-0.76668042406872405</v>
      </c>
      <c r="N1501" s="17" t="str">
        <f t="shared" si="117"/>
        <v>Under Budget</v>
      </c>
      <c r="O1501" s="38">
        <f t="shared" si="118"/>
        <v>-1825.98</v>
      </c>
      <c r="P1501" s="39">
        <f t="shared" si="119"/>
        <v>45931</v>
      </c>
    </row>
    <row r="1502" spans="1:16" ht="15.5" x14ac:dyDescent="0.35">
      <c r="A1502" s="17" t="s">
        <v>1550</v>
      </c>
      <c r="B1502" s="35">
        <v>46160</v>
      </c>
      <c r="C1502" s="17" t="s">
        <v>25</v>
      </c>
      <c r="D1502" s="17" t="s">
        <v>19</v>
      </c>
      <c r="E1502" s="17" t="s">
        <v>33</v>
      </c>
      <c r="F1502" s="17" t="s">
        <v>52</v>
      </c>
      <c r="G1502" s="17" t="s">
        <v>38</v>
      </c>
      <c r="H1502" s="17" t="s">
        <v>2595</v>
      </c>
      <c r="I1502" s="17" t="s">
        <v>30</v>
      </c>
      <c r="J1502" s="36">
        <v>10869.57</v>
      </c>
      <c r="K1502" s="36">
        <v>4699.43</v>
      </c>
      <c r="L1502" s="36">
        <f t="shared" si="115"/>
        <v>-6170.1399999999994</v>
      </c>
      <c r="M1502" s="37">
        <f t="shared" si="116"/>
        <v>-0.56765263023284263</v>
      </c>
      <c r="N1502" s="17" t="str">
        <f t="shared" si="117"/>
        <v>Under Budget</v>
      </c>
      <c r="O1502" s="38">
        <f t="shared" si="118"/>
        <v>4699.43</v>
      </c>
      <c r="P1502" s="39">
        <f t="shared" si="119"/>
        <v>46143</v>
      </c>
    </row>
    <row r="1503" spans="1:16" ht="15.5" x14ac:dyDescent="0.35">
      <c r="A1503" s="17" t="s">
        <v>1551</v>
      </c>
      <c r="B1503" s="35">
        <v>45702</v>
      </c>
      <c r="C1503" s="17" t="s">
        <v>12</v>
      </c>
      <c r="D1503" s="17" t="s">
        <v>32</v>
      </c>
      <c r="E1503" s="17" t="s">
        <v>74</v>
      </c>
      <c r="F1503" s="17" t="s">
        <v>52</v>
      </c>
      <c r="G1503" s="17" t="s">
        <v>38</v>
      </c>
      <c r="H1503" s="17" t="s">
        <v>2586</v>
      </c>
      <c r="I1503" s="17" t="s">
        <v>23</v>
      </c>
      <c r="J1503" s="36">
        <v>5542.86</v>
      </c>
      <c r="K1503" s="36">
        <v>5377.97</v>
      </c>
      <c r="L1503" s="36">
        <f t="shared" si="115"/>
        <v>-164.88999999999942</v>
      </c>
      <c r="M1503" s="37">
        <f t="shared" si="116"/>
        <v>-2.9748180542174874E-2</v>
      </c>
      <c r="N1503" s="17" t="str">
        <f t="shared" si="117"/>
        <v>Under Budget</v>
      </c>
      <c r="O1503" s="38">
        <f t="shared" si="118"/>
        <v>-5377.97</v>
      </c>
      <c r="P1503" s="39">
        <f t="shared" si="119"/>
        <v>45689</v>
      </c>
    </row>
    <row r="1504" spans="1:16" ht="15.5" x14ac:dyDescent="0.35">
      <c r="A1504" s="17" t="s">
        <v>1552</v>
      </c>
      <c r="B1504" s="35">
        <v>45831</v>
      </c>
      <c r="C1504" s="17" t="s">
        <v>12</v>
      </c>
      <c r="D1504" s="17" t="s">
        <v>26</v>
      </c>
      <c r="E1504" s="17" t="s">
        <v>47</v>
      </c>
      <c r="F1504" s="17" t="s">
        <v>28</v>
      </c>
      <c r="G1504" s="17" t="s">
        <v>38</v>
      </c>
      <c r="H1504" s="17" t="s">
        <v>60</v>
      </c>
      <c r="I1504" s="17" t="s">
        <v>23</v>
      </c>
      <c r="J1504" s="36">
        <v>4375</v>
      </c>
      <c r="K1504" s="36">
        <v>1456.21</v>
      </c>
      <c r="L1504" s="36">
        <f t="shared" si="115"/>
        <v>-2918.79</v>
      </c>
      <c r="M1504" s="37">
        <f t="shared" si="116"/>
        <v>-0.66715199999999997</v>
      </c>
      <c r="N1504" s="17" t="str">
        <f t="shared" si="117"/>
        <v>Under Budget</v>
      </c>
      <c r="O1504" s="38">
        <f t="shared" si="118"/>
        <v>-1456.21</v>
      </c>
      <c r="P1504" s="39">
        <f t="shared" si="119"/>
        <v>45809</v>
      </c>
    </row>
    <row r="1505" spans="1:16" ht="15.5" x14ac:dyDescent="0.35">
      <c r="A1505" s="17" t="s">
        <v>1553</v>
      </c>
      <c r="B1505" s="35">
        <v>46021</v>
      </c>
      <c r="C1505" s="17" t="s">
        <v>12</v>
      </c>
      <c r="D1505" s="17" t="s">
        <v>2584</v>
      </c>
      <c r="E1505" s="17" t="s">
        <v>14</v>
      </c>
      <c r="F1505" s="17" t="s">
        <v>34</v>
      </c>
      <c r="G1505" s="17" t="s">
        <v>38</v>
      </c>
      <c r="H1505" s="17" t="s">
        <v>2592</v>
      </c>
      <c r="I1505" s="17" t="s">
        <v>39</v>
      </c>
      <c r="J1505" s="36">
        <v>4800</v>
      </c>
      <c r="K1505" s="36">
        <v>2511.2600000000002</v>
      </c>
      <c r="L1505" s="36">
        <f t="shared" si="115"/>
        <v>-2288.7399999999998</v>
      </c>
      <c r="M1505" s="37">
        <f t="shared" si="116"/>
        <v>-0.4768208333333333</v>
      </c>
      <c r="N1505" s="17" t="str">
        <f t="shared" si="117"/>
        <v>Under Budget</v>
      </c>
      <c r="O1505" s="38">
        <f t="shared" si="118"/>
        <v>-2511.2600000000002</v>
      </c>
      <c r="P1505" s="39">
        <f t="shared" si="119"/>
        <v>45992</v>
      </c>
    </row>
    <row r="1506" spans="1:16" ht="15.5" x14ac:dyDescent="0.35">
      <c r="A1506" s="17" t="s">
        <v>1554</v>
      </c>
      <c r="B1506" s="35">
        <v>45891</v>
      </c>
      <c r="C1506" s="17" t="s">
        <v>25</v>
      </c>
      <c r="D1506" s="17" t="s">
        <v>13</v>
      </c>
      <c r="E1506" s="17" t="s">
        <v>33</v>
      </c>
      <c r="F1506" s="17" t="s">
        <v>34</v>
      </c>
      <c r="G1506" s="17" t="s">
        <v>43</v>
      </c>
      <c r="H1506" s="17" t="s">
        <v>2586</v>
      </c>
      <c r="I1506" s="17" t="s">
        <v>39</v>
      </c>
      <c r="J1506" s="36">
        <v>10416.67</v>
      </c>
      <c r="K1506" s="36">
        <v>12836.08</v>
      </c>
      <c r="L1506" s="36">
        <f t="shared" si="115"/>
        <v>2419.41</v>
      </c>
      <c r="M1506" s="37">
        <f t="shared" si="116"/>
        <v>0.23226328567574858</v>
      </c>
      <c r="N1506" s="17" t="str">
        <f t="shared" si="117"/>
        <v>Over Budget</v>
      </c>
      <c r="O1506" s="38">
        <f t="shared" si="118"/>
        <v>12836.08</v>
      </c>
      <c r="P1506" s="39">
        <f t="shared" si="119"/>
        <v>45870</v>
      </c>
    </row>
    <row r="1507" spans="1:16" ht="15.5" x14ac:dyDescent="0.35">
      <c r="A1507" s="17" t="s">
        <v>1555</v>
      </c>
      <c r="B1507" s="35">
        <v>45843</v>
      </c>
      <c r="C1507" s="17" t="s">
        <v>12</v>
      </c>
      <c r="D1507" s="17" t="s">
        <v>32</v>
      </c>
      <c r="E1507" s="17" t="s">
        <v>74</v>
      </c>
      <c r="F1507" s="17" t="s">
        <v>34</v>
      </c>
      <c r="G1507" s="17" t="s">
        <v>43</v>
      </c>
      <c r="H1507" s="17" t="s">
        <v>2587</v>
      </c>
      <c r="I1507" s="17" t="s">
        <v>48</v>
      </c>
      <c r="J1507" s="36">
        <v>0</v>
      </c>
      <c r="K1507" s="36">
        <v>859.31</v>
      </c>
      <c r="L1507" s="36">
        <f t="shared" si="115"/>
        <v>859.31</v>
      </c>
      <c r="M1507" s="37">
        <f t="shared" si="116"/>
        <v>0</v>
      </c>
      <c r="N1507" s="17" t="str">
        <f t="shared" si="117"/>
        <v>No Budget</v>
      </c>
      <c r="O1507" s="38">
        <f t="shared" si="118"/>
        <v>-859.31</v>
      </c>
      <c r="P1507" s="39">
        <f t="shared" si="119"/>
        <v>45839</v>
      </c>
    </row>
    <row r="1508" spans="1:16" ht="15.5" x14ac:dyDescent="0.35">
      <c r="A1508" s="17" t="s">
        <v>1556</v>
      </c>
      <c r="B1508" s="35">
        <v>45991</v>
      </c>
      <c r="C1508" s="17" t="s">
        <v>12</v>
      </c>
      <c r="D1508" s="17" t="s">
        <v>36</v>
      </c>
      <c r="E1508" s="17" t="s">
        <v>47</v>
      </c>
      <c r="F1508" s="17" t="s">
        <v>28</v>
      </c>
      <c r="G1508" s="17" t="s">
        <v>29</v>
      </c>
      <c r="H1508" s="17" t="s">
        <v>2588</v>
      </c>
      <c r="I1508" s="17" t="s">
        <v>39</v>
      </c>
      <c r="J1508" s="36">
        <v>7350</v>
      </c>
      <c r="K1508" s="36">
        <v>538.24</v>
      </c>
      <c r="L1508" s="36">
        <f t="shared" si="115"/>
        <v>-6811.76</v>
      </c>
      <c r="M1508" s="37">
        <f t="shared" si="116"/>
        <v>-0.92677006802721096</v>
      </c>
      <c r="N1508" s="17" t="str">
        <f t="shared" si="117"/>
        <v>Under Budget</v>
      </c>
      <c r="O1508" s="38">
        <f t="shared" si="118"/>
        <v>-538.24</v>
      </c>
      <c r="P1508" s="39">
        <f t="shared" si="119"/>
        <v>45962</v>
      </c>
    </row>
    <row r="1509" spans="1:16" ht="15.5" x14ac:dyDescent="0.35">
      <c r="A1509" s="17" t="s">
        <v>1557</v>
      </c>
      <c r="B1509" s="35">
        <v>45768</v>
      </c>
      <c r="C1509" s="17" t="s">
        <v>12</v>
      </c>
      <c r="D1509" s="17" t="s">
        <v>2584</v>
      </c>
      <c r="E1509" s="17" t="s">
        <v>20</v>
      </c>
      <c r="F1509" s="17" t="s">
        <v>21</v>
      </c>
      <c r="G1509" s="17" t="s">
        <v>43</v>
      </c>
      <c r="H1509" s="17" t="s">
        <v>2594</v>
      </c>
      <c r="I1509" s="17" t="s">
        <v>30</v>
      </c>
      <c r="J1509" s="36">
        <v>2250</v>
      </c>
      <c r="K1509" s="36">
        <v>253.87</v>
      </c>
      <c r="L1509" s="36">
        <f t="shared" si="115"/>
        <v>-1996.13</v>
      </c>
      <c r="M1509" s="37">
        <f t="shared" si="116"/>
        <v>-0.8871688888888889</v>
      </c>
      <c r="N1509" s="17" t="str">
        <f t="shared" si="117"/>
        <v>Under Budget</v>
      </c>
      <c r="O1509" s="38">
        <f t="shared" si="118"/>
        <v>-253.87</v>
      </c>
      <c r="P1509" s="39">
        <f t="shared" si="119"/>
        <v>45748</v>
      </c>
    </row>
    <row r="1510" spans="1:16" ht="15.5" x14ac:dyDescent="0.35">
      <c r="A1510" s="17" t="s">
        <v>1558</v>
      </c>
      <c r="B1510" s="35">
        <v>45721</v>
      </c>
      <c r="C1510" s="17" t="s">
        <v>12</v>
      </c>
      <c r="D1510" s="17" t="s">
        <v>19</v>
      </c>
      <c r="E1510" s="17" t="s">
        <v>45</v>
      </c>
      <c r="F1510" s="17" t="s">
        <v>34</v>
      </c>
      <c r="G1510" s="17" t="s">
        <v>43</v>
      </c>
      <c r="H1510" s="17" t="s">
        <v>2589</v>
      </c>
      <c r="I1510" s="17" t="s">
        <v>23</v>
      </c>
      <c r="J1510" s="36">
        <v>6000</v>
      </c>
      <c r="K1510" s="36">
        <v>2280.5300000000002</v>
      </c>
      <c r="L1510" s="36">
        <f t="shared" si="115"/>
        <v>-3719.47</v>
      </c>
      <c r="M1510" s="37">
        <f t="shared" si="116"/>
        <v>-0.61991166666666664</v>
      </c>
      <c r="N1510" s="17" t="str">
        <f t="shared" si="117"/>
        <v>Under Budget</v>
      </c>
      <c r="O1510" s="38">
        <f t="shared" si="118"/>
        <v>-2280.5300000000002</v>
      </c>
      <c r="P1510" s="39">
        <f t="shared" si="119"/>
        <v>45717</v>
      </c>
    </row>
    <row r="1511" spans="1:16" ht="15.5" x14ac:dyDescent="0.35">
      <c r="A1511" s="17" t="s">
        <v>1559</v>
      </c>
      <c r="B1511" s="35">
        <v>45937</v>
      </c>
      <c r="C1511" s="17" t="s">
        <v>25</v>
      </c>
      <c r="D1511" s="17" t="s">
        <v>19</v>
      </c>
      <c r="E1511" s="17" t="s">
        <v>109</v>
      </c>
      <c r="F1511" s="17" t="s">
        <v>15</v>
      </c>
      <c r="G1511" s="17" t="s">
        <v>38</v>
      </c>
      <c r="H1511" s="17" t="s">
        <v>2594</v>
      </c>
      <c r="I1511" s="17" t="s">
        <v>48</v>
      </c>
      <c r="J1511" s="36">
        <v>7692.31</v>
      </c>
      <c r="K1511" s="36">
        <v>8022.99</v>
      </c>
      <c r="L1511" s="36">
        <f t="shared" si="115"/>
        <v>330.67999999999938</v>
      </c>
      <c r="M1511" s="37">
        <f t="shared" si="116"/>
        <v>4.2988387103483787E-2</v>
      </c>
      <c r="N1511" s="17" t="str">
        <f t="shared" si="117"/>
        <v>Over Budget</v>
      </c>
      <c r="O1511" s="38">
        <f t="shared" si="118"/>
        <v>8022.99</v>
      </c>
      <c r="P1511" s="39">
        <f t="shared" si="119"/>
        <v>45931</v>
      </c>
    </row>
    <row r="1512" spans="1:16" ht="15.5" x14ac:dyDescent="0.35">
      <c r="A1512" s="17" t="s">
        <v>1560</v>
      </c>
      <c r="B1512" s="35">
        <v>45928</v>
      </c>
      <c r="C1512" s="17" t="s">
        <v>12</v>
      </c>
      <c r="D1512" s="17" t="s">
        <v>13</v>
      </c>
      <c r="E1512" s="17" t="s">
        <v>65</v>
      </c>
      <c r="F1512" s="17" t="s">
        <v>21</v>
      </c>
      <c r="G1512" s="17" t="s">
        <v>43</v>
      </c>
      <c r="H1512" s="17" t="s">
        <v>80</v>
      </c>
      <c r="I1512" s="17" t="s">
        <v>23</v>
      </c>
      <c r="J1512" s="36">
        <v>6111.11</v>
      </c>
      <c r="K1512" s="36">
        <v>8009.59</v>
      </c>
      <c r="L1512" s="36">
        <f t="shared" si="115"/>
        <v>1898.4800000000005</v>
      </c>
      <c r="M1512" s="37">
        <f t="shared" si="116"/>
        <v>0.3106604201200765</v>
      </c>
      <c r="N1512" s="17" t="str">
        <f t="shared" si="117"/>
        <v>Over Budget</v>
      </c>
      <c r="O1512" s="38">
        <f t="shared" si="118"/>
        <v>-8009.59</v>
      </c>
      <c r="P1512" s="39">
        <f t="shared" si="119"/>
        <v>45901</v>
      </c>
    </row>
    <row r="1513" spans="1:16" ht="15.5" x14ac:dyDescent="0.35">
      <c r="A1513" s="17" t="s">
        <v>1561</v>
      </c>
      <c r="B1513" s="35">
        <v>45718</v>
      </c>
      <c r="C1513" s="17" t="s">
        <v>12</v>
      </c>
      <c r="D1513" s="17" t="s">
        <v>26</v>
      </c>
      <c r="E1513" s="17" t="s">
        <v>47</v>
      </c>
      <c r="F1513" s="17" t="s">
        <v>28</v>
      </c>
      <c r="G1513" s="17" t="s">
        <v>22</v>
      </c>
      <c r="H1513" s="17" t="s">
        <v>2587</v>
      </c>
      <c r="I1513" s="17" t="s">
        <v>48</v>
      </c>
      <c r="J1513" s="36">
        <v>4375</v>
      </c>
      <c r="K1513" s="36">
        <v>1534.57</v>
      </c>
      <c r="L1513" s="36">
        <f t="shared" si="115"/>
        <v>-2840.4300000000003</v>
      </c>
      <c r="M1513" s="37">
        <f t="shared" si="116"/>
        <v>-0.64924114285714296</v>
      </c>
      <c r="N1513" s="17" t="str">
        <f t="shared" si="117"/>
        <v>Under Budget</v>
      </c>
      <c r="O1513" s="38">
        <f t="shared" si="118"/>
        <v>-1534.57</v>
      </c>
      <c r="P1513" s="39">
        <f t="shared" si="119"/>
        <v>45717</v>
      </c>
    </row>
    <row r="1514" spans="1:16" ht="15.5" x14ac:dyDescent="0.35">
      <c r="A1514" s="17" t="s">
        <v>1562</v>
      </c>
      <c r="B1514" s="35">
        <v>45997</v>
      </c>
      <c r="C1514" s="17" t="s">
        <v>25</v>
      </c>
      <c r="D1514" s="17" t="s">
        <v>26</v>
      </c>
      <c r="E1514" s="17" t="s">
        <v>2583</v>
      </c>
      <c r="F1514" s="17" t="s">
        <v>28</v>
      </c>
      <c r="G1514" s="17" t="s">
        <v>38</v>
      </c>
      <c r="H1514" s="17" t="s">
        <v>2594</v>
      </c>
      <c r="I1514" s="17" t="s">
        <v>39</v>
      </c>
      <c r="J1514" s="36">
        <v>9333.33</v>
      </c>
      <c r="K1514" s="36">
        <v>1254.21</v>
      </c>
      <c r="L1514" s="36">
        <f t="shared" si="115"/>
        <v>-8079.12</v>
      </c>
      <c r="M1514" s="37">
        <f t="shared" si="116"/>
        <v>-0.86562030915011046</v>
      </c>
      <c r="N1514" s="17" t="str">
        <f t="shared" si="117"/>
        <v>Under Budget</v>
      </c>
      <c r="O1514" s="38">
        <f t="shared" si="118"/>
        <v>1254.21</v>
      </c>
      <c r="P1514" s="39">
        <f t="shared" si="119"/>
        <v>45992</v>
      </c>
    </row>
    <row r="1515" spans="1:16" ht="15.5" x14ac:dyDescent="0.35">
      <c r="A1515" s="17" t="s">
        <v>1563</v>
      </c>
      <c r="B1515" s="35">
        <v>45762</v>
      </c>
      <c r="C1515" s="17" t="s">
        <v>12</v>
      </c>
      <c r="D1515" s="17" t="s">
        <v>36</v>
      </c>
      <c r="E1515" s="17" t="s">
        <v>41</v>
      </c>
      <c r="F1515" s="17" t="s">
        <v>52</v>
      </c>
      <c r="G1515" s="17" t="s">
        <v>22</v>
      </c>
      <c r="H1515" s="17" t="s">
        <v>2592</v>
      </c>
      <c r="I1515" s="17" t="s">
        <v>48</v>
      </c>
      <c r="J1515" s="36">
        <v>5416.67</v>
      </c>
      <c r="K1515" s="36">
        <v>5396.76</v>
      </c>
      <c r="L1515" s="36">
        <f t="shared" si="115"/>
        <v>-19.909999999999854</v>
      </c>
      <c r="M1515" s="37">
        <f t="shared" si="116"/>
        <v>-3.6756900457291758E-3</v>
      </c>
      <c r="N1515" s="17" t="str">
        <f t="shared" si="117"/>
        <v>Under Budget</v>
      </c>
      <c r="O1515" s="38">
        <f t="shared" si="118"/>
        <v>-5396.76</v>
      </c>
      <c r="P1515" s="39">
        <f t="shared" si="119"/>
        <v>45748</v>
      </c>
    </row>
    <row r="1516" spans="1:16" ht="15.5" x14ac:dyDescent="0.35">
      <c r="A1516" s="17" t="s">
        <v>1564</v>
      </c>
      <c r="B1516" s="35">
        <v>46036</v>
      </c>
      <c r="C1516" s="17" t="s">
        <v>25</v>
      </c>
      <c r="D1516" s="17" t="s">
        <v>32</v>
      </c>
      <c r="E1516" s="17" t="s">
        <v>109</v>
      </c>
      <c r="F1516" s="17" t="s">
        <v>21</v>
      </c>
      <c r="G1516" s="17" t="s">
        <v>38</v>
      </c>
      <c r="H1516" s="17" t="s">
        <v>2586</v>
      </c>
      <c r="I1516" s="17" t="s">
        <v>48</v>
      </c>
      <c r="J1516" s="36">
        <v>6062.5</v>
      </c>
      <c r="K1516" s="36">
        <v>7183.54</v>
      </c>
      <c r="L1516" s="36">
        <f t="shared" si="115"/>
        <v>1121.04</v>
      </c>
      <c r="M1516" s="37">
        <f t="shared" si="116"/>
        <v>0.18491381443298968</v>
      </c>
      <c r="N1516" s="17" t="str">
        <f t="shared" si="117"/>
        <v>Over Budget</v>
      </c>
      <c r="O1516" s="38">
        <f t="shared" si="118"/>
        <v>7183.54</v>
      </c>
      <c r="P1516" s="39">
        <f t="shared" si="119"/>
        <v>46023</v>
      </c>
    </row>
    <row r="1517" spans="1:16" ht="15.5" x14ac:dyDescent="0.35">
      <c r="A1517" s="17" t="s">
        <v>1565</v>
      </c>
      <c r="B1517" s="35">
        <v>45993</v>
      </c>
      <c r="C1517" s="17" t="s">
        <v>12</v>
      </c>
      <c r="D1517" s="17" t="s">
        <v>19</v>
      </c>
      <c r="E1517" s="17" t="s">
        <v>45</v>
      </c>
      <c r="F1517" s="17" t="s">
        <v>21</v>
      </c>
      <c r="G1517" s="17" t="s">
        <v>38</v>
      </c>
      <c r="H1517" s="17" t="s">
        <v>2594</v>
      </c>
      <c r="I1517" s="17" t="s">
        <v>39</v>
      </c>
      <c r="J1517" s="36">
        <v>7875</v>
      </c>
      <c r="K1517" s="36">
        <v>17961.509999999998</v>
      </c>
      <c r="L1517" s="36">
        <f t="shared" si="115"/>
        <v>10086.509999999998</v>
      </c>
      <c r="M1517" s="37">
        <f t="shared" si="116"/>
        <v>1.2808266666666666</v>
      </c>
      <c r="N1517" s="17" t="str">
        <f t="shared" si="117"/>
        <v>Over Budget</v>
      </c>
      <c r="O1517" s="38">
        <f t="shared" si="118"/>
        <v>-17961.509999999998</v>
      </c>
      <c r="P1517" s="39">
        <f t="shared" si="119"/>
        <v>45992</v>
      </c>
    </row>
    <row r="1518" spans="1:16" ht="15.5" x14ac:dyDescent="0.35">
      <c r="A1518" s="17" t="s">
        <v>1566</v>
      </c>
      <c r="B1518" s="35">
        <v>46132</v>
      </c>
      <c r="C1518" s="17" t="s">
        <v>12</v>
      </c>
      <c r="D1518" s="17" t="s">
        <v>36</v>
      </c>
      <c r="E1518" s="17" t="s">
        <v>47</v>
      </c>
      <c r="F1518" s="17" t="s">
        <v>21</v>
      </c>
      <c r="G1518" s="17" t="s">
        <v>82</v>
      </c>
      <c r="H1518" s="17" t="s">
        <v>2587</v>
      </c>
      <c r="I1518" s="17" t="s">
        <v>48</v>
      </c>
      <c r="J1518" s="36">
        <v>5833.33</v>
      </c>
      <c r="K1518" s="36">
        <v>1704.34</v>
      </c>
      <c r="L1518" s="36">
        <f t="shared" si="115"/>
        <v>-4128.99</v>
      </c>
      <c r="M1518" s="37">
        <f t="shared" si="116"/>
        <v>-0.70782726161557807</v>
      </c>
      <c r="N1518" s="17" t="str">
        <f t="shared" si="117"/>
        <v>Under Budget</v>
      </c>
      <c r="O1518" s="38">
        <f t="shared" si="118"/>
        <v>-1704.34</v>
      </c>
      <c r="P1518" s="39">
        <f t="shared" si="119"/>
        <v>46113</v>
      </c>
    </row>
    <row r="1519" spans="1:16" ht="15.5" x14ac:dyDescent="0.35">
      <c r="A1519" s="17" t="s">
        <v>1567</v>
      </c>
      <c r="B1519" s="35">
        <v>46054</v>
      </c>
      <c r="C1519" s="17" t="s">
        <v>12</v>
      </c>
      <c r="D1519" s="17" t="s">
        <v>19</v>
      </c>
      <c r="E1519" s="17" t="s">
        <v>51</v>
      </c>
      <c r="F1519" s="17" t="s">
        <v>34</v>
      </c>
      <c r="G1519" s="17" t="s">
        <v>82</v>
      </c>
      <c r="H1519" s="17" t="s">
        <v>2595</v>
      </c>
      <c r="I1519" s="17" t="s">
        <v>23</v>
      </c>
      <c r="J1519" s="36">
        <v>2910</v>
      </c>
      <c r="K1519" s="36">
        <v>3383.21</v>
      </c>
      <c r="L1519" s="36">
        <f t="shared" si="115"/>
        <v>473.21000000000004</v>
      </c>
      <c r="M1519" s="37">
        <f t="shared" si="116"/>
        <v>0.16261512027491409</v>
      </c>
      <c r="N1519" s="17" t="str">
        <f t="shared" si="117"/>
        <v>Over Budget</v>
      </c>
      <c r="O1519" s="38">
        <f t="shared" si="118"/>
        <v>-3383.21</v>
      </c>
      <c r="P1519" s="39">
        <f t="shared" si="119"/>
        <v>46054</v>
      </c>
    </row>
    <row r="1520" spans="1:16" ht="15.5" x14ac:dyDescent="0.35">
      <c r="A1520" s="17" t="s">
        <v>1568</v>
      </c>
      <c r="B1520" s="35">
        <v>46174</v>
      </c>
      <c r="C1520" s="17" t="s">
        <v>25</v>
      </c>
      <c r="D1520" s="17" t="s">
        <v>2585</v>
      </c>
      <c r="E1520" s="17" t="s">
        <v>33</v>
      </c>
      <c r="F1520" s="17" t="s">
        <v>34</v>
      </c>
      <c r="G1520" s="17" t="s">
        <v>38</v>
      </c>
      <c r="H1520" s="17" t="s">
        <v>2594</v>
      </c>
      <c r="I1520" s="17" t="s">
        <v>30</v>
      </c>
      <c r="J1520" s="36">
        <v>10000</v>
      </c>
      <c r="K1520" s="36">
        <v>5246.9</v>
      </c>
      <c r="L1520" s="36">
        <f t="shared" si="115"/>
        <v>-4753.1000000000004</v>
      </c>
      <c r="M1520" s="37">
        <f t="shared" si="116"/>
        <v>-0.47531000000000001</v>
      </c>
      <c r="N1520" s="17" t="str">
        <f t="shared" si="117"/>
        <v>Under Budget</v>
      </c>
      <c r="O1520" s="38">
        <f t="shared" si="118"/>
        <v>5246.9</v>
      </c>
      <c r="P1520" s="39">
        <f t="shared" si="119"/>
        <v>46174</v>
      </c>
    </row>
    <row r="1521" spans="1:16" ht="15.5" x14ac:dyDescent="0.35">
      <c r="A1521" s="17" t="s">
        <v>1569</v>
      </c>
      <c r="B1521" s="35">
        <v>45747</v>
      </c>
      <c r="C1521" s="17" t="s">
        <v>12</v>
      </c>
      <c r="D1521" s="17" t="s">
        <v>36</v>
      </c>
      <c r="E1521" s="17" t="s">
        <v>41</v>
      </c>
      <c r="F1521" s="17" t="s">
        <v>21</v>
      </c>
      <c r="G1521" s="17" t="s">
        <v>38</v>
      </c>
      <c r="H1521" s="17" t="s">
        <v>2596</v>
      </c>
      <c r="I1521" s="17" t="s">
        <v>30</v>
      </c>
      <c r="J1521" s="36">
        <v>5000</v>
      </c>
      <c r="K1521" s="36">
        <v>10529.49</v>
      </c>
      <c r="L1521" s="36">
        <f t="shared" si="115"/>
        <v>5529.49</v>
      </c>
      <c r="M1521" s="37">
        <f t="shared" si="116"/>
        <v>1.105898</v>
      </c>
      <c r="N1521" s="17" t="str">
        <f t="shared" si="117"/>
        <v>Over Budget</v>
      </c>
      <c r="O1521" s="38">
        <f t="shared" si="118"/>
        <v>-10529.49</v>
      </c>
      <c r="P1521" s="39">
        <f t="shared" si="119"/>
        <v>45717</v>
      </c>
    </row>
    <row r="1522" spans="1:16" ht="15.5" x14ac:dyDescent="0.35">
      <c r="A1522" s="17" t="s">
        <v>1570</v>
      </c>
      <c r="B1522" s="35">
        <v>45674</v>
      </c>
      <c r="C1522" s="17" t="s">
        <v>12</v>
      </c>
      <c r="D1522" s="17" t="s">
        <v>13</v>
      </c>
      <c r="E1522" s="17" t="s">
        <v>45</v>
      </c>
      <c r="F1522" s="17" t="s">
        <v>52</v>
      </c>
      <c r="G1522" s="17" t="s">
        <v>22</v>
      </c>
      <c r="H1522" s="17" t="s">
        <v>2597</v>
      </c>
      <c r="I1522" s="17" t="s">
        <v>30</v>
      </c>
      <c r="J1522" s="36">
        <v>7591.3</v>
      </c>
      <c r="K1522" s="36">
        <v>2010.99</v>
      </c>
      <c r="L1522" s="36">
        <f t="shared" si="115"/>
        <v>-5580.31</v>
      </c>
      <c r="M1522" s="37">
        <f t="shared" si="116"/>
        <v>-0.73509280360412577</v>
      </c>
      <c r="N1522" s="17" t="str">
        <f t="shared" si="117"/>
        <v>Under Budget</v>
      </c>
      <c r="O1522" s="38">
        <f t="shared" si="118"/>
        <v>-2010.99</v>
      </c>
      <c r="P1522" s="39">
        <f t="shared" si="119"/>
        <v>45658</v>
      </c>
    </row>
    <row r="1523" spans="1:16" ht="15.5" x14ac:dyDescent="0.35">
      <c r="A1523" s="17" t="s">
        <v>1571</v>
      </c>
      <c r="B1523" s="35">
        <v>46000</v>
      </c>
      <c r="C1523" s="17" t="s">
        <v>12</v>
      </c>
      <c r="D1523" s="17" t="s">
        <v>19</v>
      </c>
      <c r="E1523" s="17" t="s">
        <v>47</v>
      </c>
      <c r="F1523" s="17" t="s">
        <v>34</v>
      </c>
      <c r="G1523" s="17" t="s">
        <v>29</v>
      </c>
      <c r="H1523" s="17" t="s">
        <v>2589</v>
      </c>
      <c r="I1523" s="17" t="s">
        <v>48</v>
      </c>
      <c r="J1523" s="36">
        <v>6125</v>
      </c>
      <c r="K1523" s="36">
        <v>1514.09</v>
      </c>
      <c r="L1523" s="36">
        <f t="shared" si="115"/>
        <v>-4610.91</v>
      </c>
      <c r="M1523" s="37">
        <f t="shared" si="116"/>
        <v>-0.75280163265306121</v>
      </c>
      <c r="N1523" s="17" t="str">
        <f t="shared" si="117"/>
        <v>Under Budget</v>
      </c>
      <c r="O1523" s="38">
        <f t="shared" si="118"/>
        <v>-1514.09</v>
      </c>
      <c r="P1523" s="39">
        <f t="shared" si="119"/>
        <v>45992</v>
      </c>
    </row>
    <row r="1524" spans="1:16" ht="15.5" x14ac:dyDescent="0.35">
      <c r="A1524" s="17" t="s">
        <v>1572</v>
      </c>
      <c r="B1524" s="35">
        <v>45880</v>
      </c>
      <c r="C1524" s="17" t="s">
        <v>12</v>
      </c>
      <c r="D1524" s="17" t="s">
        <v>26</v>
      </c>
      <c r="E1524" s="17" t="s">
        <v>65</v>
      </c>
      <c r="F1524" s="17" t="s">
        <v>21</v>
      </c>
      <c r="G1524" s="17" t="s">
        <v>29</v>
      </c>
      <c r="H1524" s="17" t="s">
        <v>2590</v>
      </c>
      <c r="I1524" s="17" t="s">
        <v>39</v>
      </c>
      <c r="J1524" s="36">
        <v>3928.57</v>
      </c>
      <c r="K1524" s="36">
        <v>2945.83</v>
      </c>
      <c r="L1524" s="36">
        <f t="shared" si="115"/>
        <v>-982.74000000000024</v>
      </c>
      <c r="M1524" s="37">
        <f t="shared" si="116"/>
        <v>-0.25015209096439678</v>
      </c>
      <c r="N1524" s="17" t="str">
        <f t="shared" si="117"/>
        <v>Under Budget</v>
      </c>
      <c r="O1524" s="38">
        <f t="shared" si="118"/>
        <v>-2945.83</v>
      </c>
      <c r="P1524" s="39">
        <f t="shared" si="119"/>
        <v>45870</v>
      </c>
    </row>
    <row r="1525" spans="1:16" ht="15.5" x14ac:dyDescent="0.35">
      <c r="A1525" s="17" t="s">
        <v>1573</v>
      </c>
      <c r="B1525" s="35">
        <v>45963</v>
      </c>
      <c r="C1525" s="17" t="s">
        <v>12</v>
      </c>
      <c r="D1525" s="17" t="s">
        <v>36</v>
      </c>
      <c r="E1525" s="17" t="s">
        <v>45</v>
      </c>
      <c r="F1525" s="17" t="s">
        <v>52</v>
      </c>
      <c r="G1525" s="17" t="s">
        <v>43</v>
      </c>
      <c r="H1525" s="17" t="s">
        <v>2592</v>
      </c>
      <c r="I1525" s="17" t="s">
        <v>23</v>
      </c>
      <c r="J1525" s="36">
        <v>9947.3700000000008</v>
      </c>
      <c r="K1525" s="36">
        <v>3335.94</v>
      </c>
      <c r="L1525" s="36">
        <f t="shared" si="115"/>
        <v>-6611.43</v>
      </c>
      <c r="M1525" s="37">
        <f t="shared" si="116"/>
        <v>-0.6646410056125388</v>
      </c>
      <c r="N1525" s="17" t="str">
        <f t="shared" si="117"/>
        <v>Under Budget</v>
      </c>
      <c r="O1525" s="38">
        <f t="shared" si="118"/>
        <v>-3335.94</v>
      </c>
      <c r="P1525" s="39">
        <f t="shared" si="119"/>
        <v>45962</v>
      </c>
    </row>
    <row r="1526" spans="1:16" ht="15.5" x14ac:dyDescent="0.35">
      <c r="A1526" s="17" t="s">
        <v>1574</v>
      </c>
      <c r="B1526" s="35">
        <v>45970</v>
      </c>
      <c r="C1526" s="17" t="s">
        <v>12</v>
      </c>
      <c r="D1526" s="17" t="s">
        <v>36</v>
      </c>
      <c r="E1526" s="17" t="s">
        <v>45</v>
      </c>
      <c r="F1526" s="17" t="s">
        <v>52</v>
      </c>
      <c r="G1526" s="17" t="s">
        <v>22</v>
      </c>
      <c r="H1526" s="17" t="s">
        <v>2587</v>
      </c>
      <c r="I1526" s="17" t="s">
        <v>17</v>
      </c>
      <c r="J1526" s="36">
        <v>9947.3700000000008</v>
      </c>
      <c r="K1526" s="36">
        <v>3313.4</v>
      </c>
      <c r="L1526" s="36">
        <f t="shared" si="115"/>
        <v>-6633.9700000000012</v>
      </c>
      <c r="M1526" s="37">
        <f t="shared" si="116"/>
        <v>-0.66690693117879407</v>
      </c>
      <c r="N1526" s="17" t="str">
        <f t="shared" si="117"/>
        <v>Under Budget</v>
      </c>
      <c r="O1526" s="38">
        <f t="shared" si="118"/>
        <v>-3313.4</v>
      </c>
      <c r="P1526" s="39">
        <f t="shared" si="119"/>
        <v>45962</v>
      </c>
    </row>
    <row r="1527" spans="1:16" ht="15.5" x14ac:dyDescent="0.35">
      <c r="A1527" s="17" t="s">
        <v>1575</v>
      </c>
      <c r="B1527" s="35">
        <v>45964</v>
      </c>
      <c r="C1527" s="17" t="s">
        <v>12</v>
      </c>
      <c r="D1527" s="17" t="s">
        <v>19</v>
      </c>
      <c r="E1527" s="17" t="s">
        <v>77</v>
      </c>
      <c r="F1527" s="17" t="s">
        <v>34</v>
      </c>
      <c r="G1527" s="17" t="s">
        <v>38</v>
      </c>
      <c r="H1527" s="17" t="s">
        <v>2596</v>
      </c>
      <c r="I1527" s="17" t="s">
        <v>48</v>
      </c>
      <c r="J1527" s="36">
        <v>2310</v>
      </c>
      <c r="K1527" s="36">
        <v>2175</v>
      </c>
      <c r="L1527" s="36">
        <f t="shared" si="115"/>
        <v>-135</v>
      </c>
      <c r="M1527" s="37">
        <f t="shared" si="116"/>
        <v>-5.844155844155844E-2</v>
      </c>
      <c r="N1527" s="17" t="str">
        <f t="shared" si="117"/>
        <v>Under Budget</v>
      </c>
      <c r="O1527" s="38">
        <f t="shared" si="118"/>
        <v>-2175</v>
      </c>
      <c r="P1527" s="39">
        <f t="shared" si="119"/>
        <v>45962</v>
      </c>
    </row>
    <row r="1528" spans="1:16" ht="15.5" x14ac:dyDescent="0.35">
      <c r="A1528" s="17" t="s">
        <v>1576</v>
      </c>
      <c r="B1528" s="35">
        <v>45922</v>
      </c>
      <c r="C1528" s="17" t="s">
        <v>25</v>
      </c>
      <c r="D1528" s="17" t="s">
        <v>32</v>
      </c>
      <c r="E1528" s="17" t="s">
        <v>27</v>
      </c>
      <c r="F1528" s="17" t="s">
        <v>15</v>
      </c>
      <c r="G1528" s="17" t="s">
        <v>22</v>
      </c>
      <c r="H1528" s="17" t="s">
        <v>2589</v>
      </c>
      <c r="I1528" s="17" t="s">
        <v>23</v>
      </c>
      <c r="J1528" s="36">
        <v>10000</v>
      </c>
      <c r="K1528" s="36">
        <v>5430.01</v>
      </c>
      <c r="L1528" s="36">
        <f t="shared" si="115"/>
        <v>-4569.99</v>
      </c>
      <c r="M1528" s="37">
        <f t="shared" si="116"/>
        <v>-0.45699899999999999</v>
      </c>
      <c r="N1528" s="17" t="str">
        <f t="shared" si="117"/>
        <v>Under Budget</v>
      </c>
      <c r="O1528" s="38">
        <f t="shared" si="118"/>
        <v>5430.01</v>
      </c>
      <c r="P1528" s="39">
        <f t="shared" si="119"/>
        <v>45901</v>
      </c>
    </row>
    <row r="1529" spans="1:16" ht="15.5" x14ac:dyDescent="0.35">
      <c r="A1529" s="17" t="s">
        <v>1577</v>
      </c>
      <c r="B1529" s="35">
        <v>46076</v>
      </c>
      <c r="C1529" s="17" t="s">
        <v>25</v>
      </c>
      <c r="D1529" s="17" t="s">
        <v>26</v>
      </c>
      <c r="E1529" s="17" t="s">
        <v>169</v>
      </c>
      <c r="F1529" s="17" t="s">
        <v>34</v>
      </c>
      <c r="G1529" s="17" t="s">
        <v>43</v>
      </c>
      <c r="H1529" s="17" t="s">
        <v>2590</v>
      </c>
      <c r="I1529" s="17" t="s">
        <v>17</v>
      </c>
      <c r="J1529" s="36">
        <v>3880</v>
      </c>
      <c r="K1529" s="36">
        <v>3634.66</v>
      </c>
      <c r="L1529" s="36">
        <f t="shared" si="115"/>
        <v>-245.34000000000015</v>
      </c>
      <c r="M1529" s="37">
        <f t="shared" si="116"/>
        <v>-6.3231958762886634E-2</v>
      </c>
      <c r="N1529" s="17" t="str">
        <f t="shared" si="117"/>
        <v>Under Budget</v>
      </c>
      <c r="O1529" s="38">
        <f t="shared" si="118"/>
        <v>3634.66</v>
      </c>
      <c r="P1529" s="39">
        <f t="shared" si="119"/>
        <v>46054</v>
      </c>
    </row>
    <row r="1530" spans="1:16" ht="15.5" x14ac:dyDescent="0.35">
      <c r="A1530" s="17" t="s">
        <v>1578</v>
      </c>
      <c r="B1530" s="35">
        <v>45987</v>
      </c>
      <c r="C1530" s="17" t="s">
        <v>25</v>
      </c>
      <c r="D1530" s="17" t="s">
        <v>36</v>
      </c>
      <c r="E1530" s="17" t="s">
        <v>33</v>
      </c>
      <c r="F1530" s="17" t="s">
        <v>34</v>
      </c>
      <c r="G1530" s="17" t="s">
        <v>22</v>
      </c>
      <c r="H1530" s="17" t="s">
        <v>2583</v>
      </c>
      <c r="I1530" s="17" t="s">
        <v>30</v>
      </c>
      <c r="J1530" s="36">
        <v>13125</v>
      </c>
      <c r="K1530" s="36">
        <v>21944.68</v>
      </c>
      <c r="L1530" s="36">
        <f t="shared" si="115"/>
        <v>8819.68</v>
      </c>
      <c r="M1530" s="37">
        <f t="shared" si="116"/>
        <v>0.67197561904761904</v>
      </c>
      <c r="N1530" s="17" t="str">
        <f t="shared" si="117"/>
        <v>Over Budget</v>
      </c>
      <c r="O1530" s="38">
        <f t="shared" si="118"/>
        <v>21944.68</v>
      </c>
      <c r="P1530" s="39">
        <f t="shared" si="119"/>
        <v>45962</v>
      </c>
    </row>
    <row r="1531" spans="1:16" ht="15.5" x14ac:dyDescent="0.35">
      <c r="A1531" s="17" t="s">
        <v>1579</v>
      </c>
      <c r="B1531" s="35">
        <v>45987</v>
      </c>
      <c r="C1531" s="17" t="s">
        <v>25</v>
      </c>
      <c r="D1531" s="17" t="s">
        <v>19</v>
      </c>
      <c r="E1531" s="17" t="s">
        <v>27</v>
      </c>
      <c r="F1531" s="17" t="s">
        <v>52</v>
      </c>
      <c r="G1531" s="17" t="s">
        <v>29</v>
      </c>
      <c r="H1531" s="17" t="s">
        <v>2593</v>
      </c>
      <c r="I1531" s="17" t="s">
        <v>17</v>
      </c>
      <c r="J1531" s="36">
        <v>8400</v>
      </c>
      <c r="K1531" s="36">
        <v>5495.48</v>
      </c>
      <c r="L1531" s="36">
        <f t="shared" si="115"/>
        <v>-2904.5200000000004</v>
      </c>
      <c r="M1531" s="37">
        <f t="shared" si="116"/>
        <v>-0.34577619047619051</v>
      </c>
      <c r="N1531" s="17" t="str">
        <f t="shared" si="117"/>
        <v>Under Budget</v>
      </c>
      <c r="O1531" s="38">
        <f t="shared" si="118"/>
        <v>5495.48</v>
      </c>
      <c r="P1531" s="39">
        <f t="shared" si="119"/>
        <v>45962</v>
      </c>
    </row>
    <row r="1532" spans="1:16" ht="15.5" x14ac:dyDescent="0.35">
      <c r="A1532" s="17" t="s">
        <v>1580</v>
      </c>
      <c r="B1532" s="35">
        <v>45902</v>
      </c>
      <c r="C1532" s="17" t="s">
        <v>25</v>
      </c>
      <c r="D1532" s="17" t="s">
        <v>13</v>
      </c>
      <c r="E1532" s="17" t="s">
        <v>109</v>
      </c>
      <c r="F1532" s="17" t="s">
        <v>34</v>
      </c>
      <c r="G1532" s="17" t="s">
        <v>22</v>
      </c>
      <c r="H1532" s="17" t="s">
        <v>2591</v>
      </c>
      <c r="I1532" s="17" t="s">
        <v>39</v>
      </c>
      <c r="J1532" s="36">
        <v>7142.86</v>
      </c>
      <c r="K1532" s="36">
        <v>15554.55</v>
      </c>
      <c r="L1532" s="36">
        <f t="shared" si="115"/>
        <v>8411.6899999999987</v>
      </c>
      <c r="M1532" s="37">
        <f t="shared" si="116"/>
        <v>1.1776361289455484</v>
      </c>
      <c r="N1532" s="17" t="str">
        <f t="shared" si="117"/>
        <v>Over Budget</v>
      </c>
      <c r="O1532" s="38">
        <f t="shared" si="118"/>
        <v>15554.55</v>
      </c>
      <c r="P1532" s="39">
        <f t="shared" si="119"/>
        <v>45901</v>
      </c>
    </row>
    <row r="1533" spans="1:16" ht="15.5" x14ac:dyDescent="0.35">
      <c r="A1533" s="17" t="s">
        <v>1581</v>
      </c>
      <c r="B1533" s="35">
        <v>45915</v>
      </c>
      <c r="C1533" s="17" t="s">
        <v>12</v>
      </c>
      <c r="D1533" s="17" t="s">
        <v>36</v>
      </c>
      <c r="E1533" s="17" t="s">
        <v>45</v>
      </c>
      <c r="F1533" s="17" t="s">
        <v>52</v>
      </c>
      <c r="G1533" s="17" t="s">
        <v>38</v>
      </c>
      <c r="H1533" s="17" t="s">
        <v>2595</v>
      </c>
      <c r="I1533" s="17" t="s">
        <v>30</v>
      </c>
      <c r="J1533" s="36">
        <v>7500</v>
      </c>
      <c r="K1533" s="36">
        <v>13876.74</v>
      </c>
      <c r="L1533" s="36">
        <f t="shared" si="115"/>
        <v>6376.74</v>
      </c>
      <c r="M1533" s="37">
        <f t="shared" si="116"/>
        <v>0.85023199999999999</v>
      </c>
      <c r="N1533" s="17" t="str">
        <f t="shared" si="117"/>
        <v>Over Budget</v>
      </c>
      <c r="O1533" s="38">
        <f t="shared" si="118"/>
        <v>-13876.74</v>
      </c>
      <c r="P1533" s="39">
        <f t="shared" si="119"/>
        <v>45901</v>
      </c>
    </row>
    <row r="1534" spans="1:16" ht="15.5" x14ac:dyDescent="0.35">
      <c r="A1534" s="17" t="s">
        <v>1582</v>
      </c>
      <c r="B1534" s="35">
        <v>46076</v>
      </c>
      <c r="C1534" s="17" t="s">
        <v>25</v>
      </c>
      <c r="D1534" s="17" t="s">
        <v>2585</v>
      </c>
      <c r="E1534" s="17" t="s">
        <v>33</v>
      </c>
      <c r="F1534" s="17" t="s">
        <v>34</v>
      </c>
      <c r="G1534" s="17" t="s">
        <v>22</v>
      </c>
      <c r="H1534" s="17" t="s">
        <v>2591</v>
      </c>
      <c r="I1534" s="17" t="s">
        <v>23</v>
      </c>
      <c r="J1534" s="36">
        <v>12125</v>
      </c>
      <c r="K1534" s="36">
        <v>10672.98</v>
      </c>
      <c r="L1534" s="36">
        <f t="shared" si="115"/>
        <v>-1452.0200000000004</v>
      </c>
      <c r="M1534" s="37">
        <f t="shared" si="116"/>
        <v>-0.11975422680412375</v>
      </c>
      <c r="N1534" s="17" t="str">
        <f t="shared" si="117"/>
        <v>Under Budget</v>
      </c>
      <c r="O1534" s="38">
        <f t="shared" si="118"/>
        <v>10672.98</v>
      </c>
      <c r="P1534" s="39">
        <f t="shared" si="119"/>
        <v>46054</v>
      </c>
    </row>
    <row r="1535" spans="1:16" ht="15.5" x14ac:dyDescent="0.35">
      <c r="A1535" s="17" t="s">
        <v>1583</v>
      </c>
      <c r="B1535" s="35">
        <v>45869</v>
      </c>
      <c r="C1535" s="17" t="s">
        <v>25</v>
      </c>
      <c r="D1535" s="17" t="s">
        <v>32</v>
      </c>
      <c r="E1535" s="17" t="s">
        <v>109</v>
      </c>
      <c r="F1535" s="17" t="s">
        <v>52</v>
      </c>
      <c r="G1535" s="17" t="s">
        <v>82</v>
      </c>
      <c r="H1535" s="17" t="s">
        <v>2591</v>
      </c>
      <c r="I1535" s="17" t="s">
        <v>23</v>
      </c>
      <c r="J1535" s="36">
        <v>7142.86</v>
      </c>
      <c r="K1535" s="36">
        <v>1314.32</v>
      </c>
      <c r="L1535" s="36">
        <f t="shared" si="115"/>
        <v>-5828.54</v>
      </c>
      <c r="M1535" s="37">
        <f t="shared" si="116"/>
        <v>-0.81599527360189061</v>
      </c>
      <c r="N1535" s="17" t="str">
        <f t="shared" si="117"/>
        <v>Under Budget</v>
      </c>
      <c r="O1535" s="38">
        <f t="shared" si="118"/>
        <v>1314.32</v>
      </c>
      <c r="P1535" s="39">
        <f t="shared" si="119"/>
        <v>45839</v>
      </c>
    </row>
    <row r="1536" spans="1:16" ht="15.5" x14ac:dyDescent="0.35">
      <c r="A1536" s="17" t="s">
        <v>1584</v>
      </c>
      <c r="B1536" s="35">
        <v>46161</v>
      </c>
      <c r="C1536" s="17" t="s">
        <v>25</v>
      </c>
      <c r="D1536" s="17" t="s">
        <v>32</v>
      </c>
      <c r="E1536" s="17" t="s">
        <v>27</v>
      </c>
      <c r="F1536" s="17" t="s">
        <v>34</v>
      </c>
      <c r="G1536" s="17" t="s">
        <v>22</v>
      </c>
      <c r="H1536" s="17" t="s">
        <v>2589</v>
      </c>
      <c r="I1536" s="17" t="s">
        <v>39</v>
      </c>
      <c r="J1536" s="36">
        <v>6153.85</v>
      </c>
      <c r="K1536" s="36">
        <v>7554.72</v>
      </c>
      <c r="L1536" s="36">
        <f t="shared" si="115"/>
        <v>1400.87</v>
      </c>
      <c r="M1536" s="37">
        <f t="shared" si="116"/>
        <v>0.22764123272422951</v>
      </c>
      <c r="N1536" s="17" t="str">
        <f t="shared" si="117"/>
        <v>Over Budget</v>
      </c>
      <c r="O1536" s="38">
        <f t="shared" si="118"/>
        <v>7554.72</v>
      </c>
      <c r="P1536" s="39">
        <f t="shared" si="119"/>
        <v>46143</v>
      </c>
    </row>
    <row r="1537" spans="1:16" ht="15.5" x14ac:dyDescent="0.35">
      <c r="A1537" s="17" t="s">
        <v>1585</v>
      </c>
      <c r="B1537" s="35">
        <v>46102</v>
      </c>
      <c r="C1537" s="17" t="s">
        <v>12</v>
      </c>
      <c r="D1537" s="17" t="s">
        <v>26</v>
      </c>
      <c r="E1537" s="17" t="s">
        <v>74</v>
      </c>
      <c r="F1537" s="17" t="s">
        <v>52</v>
      </c>
      <c r="G1537" s="17" t="s">
        <v>22</v>
      </c>
      <c r="H1537" s="17" t="s">
        <v>2597</v>
      </c>
      <c r="I1537" s="17" t="s">
        <v>17</v>
      </c>
      <c r="J1537" s="36">
        <v>5000</v>
      </c>
      <c r="K1537" s="36">
        <v>3825.53</v>
      </c>
      <c r="L1537" s="36">
        <f t="shared" si="115"/>
        <v>-1174.4699999999998</v>
      </c>
      <c r="M1537" s="37">
        <f t="shared" si="116"/>
        <v>-0.23489399999999996</v>
      </c>
      <c r="N1537" s="17" t="str">
        <f t="shared" si="117"/>
        <v>Under Budget</v>
      </c>
      <c r="O1537" s="38">
        <f t="shared" si="118"/>
        <v>-3825.53</v>
      </c>
      <c r="P1537" s="39">
        <f t="shared" si="119"/>
        <v>46082</v>
      </c>
    </row>
    <row r="1538" spans="1:16" ht="15.5" x14ac:dyDescent="0.35">
      <c r="A1538" s="17" t="s">
        <v>1586</v>
      </c>
      <c r="B1538" s="35">
        <v>45717</v>
      </c>
      <c r="C1538" s="17" t="s">
        <v>25</v>
      </c>
      <c r="D1538" s="17" t="s">
        <v>2584</v>
      </c>
      <c r="E1538" s="17" t="s">
        <v>109</v>
      </c>
      <c r="F1538" s="17" t="s">
        <v>34</v>
      </c>
      <c r="G1538" s="17" t="s">
        <v>43</v>
      </c>
      <c r="H1538" s="17" t="s">
        <v>60</v>
      </c>
      <c r="I1538" s="17" t="s">
        <v>17</v>
      </c>
      <c r="J1538" s="36">
        <v>9090.91</v>
      </c>
      <c r="K1538" s="36">
        <v>4370.1000000000004</v>
      </c>
      <c r="L1538" s="36">
        <f t="shared" si="115"/>
        <v>-4720.8099999999995</v>
      </c>
      <c r="M1538" s="37">
        <f t="shared" si="116"/>
        <v>-0.51928904807109511</v>
      </c>
      <c r="N1538" s="17" t="str">
        <f t="shared" si="117"/>
        <v>Under Budget</v>
      </c>
      <c r="O1538" s="38">
        <f t="shared" si="118"/>
        <v>4370.1000000000004</v>
      </c>
      <c r="P1538" s="39">
        <f t="shared" si="119"/>
        <v>45717</v>
      </c>
    </row>
    <row r="1539" spans="1:16" ht="15.5" x14ac:dyDescent="0.35">
      <c r="A1539" s="17" t="s">
        <v>1587</v>
      </c>
      <c r="B1539" s="35">
        <v>45926</v>
      </c>
      <c r="C1539" s="17" t="s">
        <v>25</v>
      </c>
      <c r="D1539" s="17" t="s">
        <v>32</v>
      </c>
      <c r="E1539" s="17" t="s">
        <v>33</v>
      </c>
      <c r="F1539" s="17" t="s">
        <v>28</v>
      </c>
      <c r="G1539" s="17" t="s">
        <v>82</v>
      </c>
      <c r="H1539" s="17" t="s">
        <v>60</v>
      </c>
      <c r="I1539" s="17" t="s">
        <v>48</v>
      </c>
      <c r="J1539" s="36">
        <v>11904.76</v>
      </c>
      <c r="K1539" s="36">
        <v>4199.08</v>
      </c>
      <c r="L1539" s="36">
        <f t="shared" ref="L1539:L1602" si="120">K1539-J1539</f>
        <v>-7705.68</v>
      </c>
      <c r="M1539" s="37">
        <f t="shared" ref="M1539:M1602" si="121">IF(J1539=0,0,L1539/J1539)</f>
        <v>-0.6472772235643558</v>
      </c>
      <c r="N1539" s="17" t="str">
        <f t="shared" ref="N1539:N1602" si="122">IF(J1539=0,"No Budget",IF(K1539&gt;J1539,"Over Budget",IF(K1539&lt;J1539,"Under Budget","On Budget")))</f>
        <v>Under Budget</v>
      </c>
      <c r="O1539" s="38">
        <f t="shared" ref="O1539:O1602" si="123">IF(C1539="Revenue",K1539,-K1539)</f>
        <v>4199.08</v>
      </c>
      <c r="P1539" s="39">
        <f t="shared" ref="P1539:P1602" si="124">DATE(YEAR(B1539),MONTH(B1539),1)</f>
        <v>45901</v>
      </c>
    </row>
    <row r="1540" spans="1:16" ht="15.5" x14ac:dyDescent="0.35">
      <c r="A1540" s="17" t="s">
        <v>1588</v>
      </c>
      <c r="B1540" s="35">
        <v>46048</v>
      </c>
      <c r="C1540" s="17" t="s">
        <v>12</v>
      </c>
      <c r="D1540" s="17" t="s">
        <v>19</v>
      </c>
      <c r="E1540" s="17" t="s">
        <v>65</v>
      </c>
      <c r="F1540" s="17" t="s">
        <v>28</v>
      </c>
      <c r="G1540" s="17" t="s">
        <v>82</v>
      </c>
      <c r="H1540" s="17" t="s">
        <v>2591</v>
      </c>
      <c r="I1540" s="17" t="s">
        <v>48</v>
      </c>
      <c r="J1540" s="36">
        <v>7621.43</v>
      </c>
      <c r="K1540" s="36">
        <v>6003.26</v>
      </c>
      <c r="L1540" s="36">
        <f t="shared" si="120"/>
        <v>-1618.17</v>
      </c>
      <c r="M1540" s="37">
        <f t="shared" si="121"/>
        <v>-0.21231842318305094</v>
      </c>
      <c r="N1540" s="17" t="str">
        <f t="shared" si="122"/>
        <v>Under Budget</v>
      </c>
      <c r="O1540" s="38">
        <f t="shared" si="123"/>
        <v>-6003.26</v>
      </c>
      <c r="P1540" s="39">
        <f t="shared" si="124"/>
        <v>46023</v>
      </c>
    </row>
    <row r="1541" spans="1:16" ht="15.5" x14ac:dyDescent="0.35">
      <c r="A1541" s="17" t="s">
        <v>1589</v>
      </c>
      <c r="B1541" s="35">
        <v>45828</v>
      </c>
      <c r="C1541" s="17" t="s">
        <v>12</v>
      </c>
      <c r="D1541" s="17" t="s">
        <v>26</v>
      </c>
      <c r="E1541" s="17" t="s">
        <v>41</v>
      </c>
      <c r="F1541" s="17" t="s">
        <v>34</v>
      </c>
      <c r="G1541" s="17" t="s">
        <v>22</v>
      </c>
      <c r="H1541" s="17" t="s">
        <v>2593</v>
      </c>
      <c r="I1541" s="17" t="s">
        <v>30</v>
      </c>
      <c r="J1541" s="36">
        <v>8125</v>
      </c>
      <c r="K1541" s="36">
        <v>10515.95</v>
      </c>
      <c r="L1541" s="36">
        <f t="shared" si="120"/>
        <v>2390.9500000000007</v>
      </c>
      <c r="M1541" s="37">
        <f t="shared" si="121"/>
        <v>0.29427076923076934</v>
      </c>
      <c r="N1541" s="17" t="str">
        <f t="shared" si="122"/>
        <v>Over Budget</v>
      </c>
      <c r="O1541" s="38">
        <f t="shared" si="123"/>
        <v>-10515.95</v>
      </c>
      <c r="P1541" s="39">
        <f t="shared" si="124"/>
        <v>45809</v>
      </c>
    </row>
    <row r="1542" spans="1:16" ht="15.5" x14ac:dyDescent="0.35">
      <c r="A1542" s="17" t="s">
        <v>1590</v>
      </c>
      <c r="B1542" s="35">
        <v>45935</v>
      </c>
      <c r="C1542" s="17" t="s">
        <v>12</v>
      </c>
      <c r="D1542" s="17" t="s">
        <v>26</v>
      </c>
      <c r="E1542" s="17" t="s">
        <v>45</v>
      </c>
      <c r="F1542" s="17" t="s">
        <v>52</v>
      </c>
      <c r="G1542" s="17" t="s">
        <v>22</v>
      </c>
      <c r="H1542" s="17" t="s">
        <v>2590</v>
      </c>
      <c r="I1542" s="17" t="s">
        <v>23</v>
      </c>
      <c r="J1542" s="36">
        <v>7826.09</v>
      </c>
      <c r="K1542" s="36">
        <v>7629.23</v>
      </c>
      <c r="L1542" s="36">
        <f t="shared" si="120"/>
        <v>-196.86000000000058</v>
      </c>
      <c r="M1542" s="37">
        <f t="shared" si="121"/>
        <v>-2.515432355109647E-2</v>
      </c>
      <c r="N1542" s="17" t="str">
        <f t="shared" si="122"/>
        <v>Under Budget</v>
      </c>
      <c r="O1542" s="38">
        <f t="shared" si="123"/>
        <v>-7629.23</v>
      </c>
      <c r="P1542" s="39">
        <f t="shared" si="124"/>
        <v>45931</v>
      </c>
    </row>
    <row r="1543" spans="1:16" ht="15.5" x14ac:dyDescent="0.35">
      <c r="A1543" s="17" t="s">
        <v>1591</v>
      </c>
      <c r="B1543" s="35">
        <v>45932</v>
      </c>
      <c r="C1543" s="17" t="s">
        <v>12</v>
      </c>
      <c r="D1543" s="17" t="s">
        <v>2585</v>
      </c>
      <c r="E1543" s="17" t="s">
        <v>65</v>
      </c>
      <c r="F1543" s="17" t="s">
        <v>28</v>
      </c>
      <c r="G1543" s="17" t="s">
        <v>38</v>
      </c>
      <c r="H1543" s="17" t="s">
        <v>2598</v>
      </c>
      <c r="I1543" s="17" t="s">
        <v>48</v>
      </c>
      <c r="J1543" s="36">
        <v>3928.57</v>
      </c>
      <c r="K1543" s="36">
        <v>6307.46</v>
      </c>
      <c r="L1543" s="36">
        <f t="shared" si="120"/>
        <v>2378.89</v>
      </c>
      <c r="M1543" s="37">
        <f t="shared" si="121"/>
        <v>0.60553585655849329</v>
      </c>
      <c r="N1543" s="17" t="str">
        <f t="shared" si="122"/>
        <v>Over Budget</v>
      </c>
      <c r="O1543" s="38">
        <f t="shared" si="123"/>
        <v>-6307.46</v>
      </c>
      <c r="P1543" s="39">
        <f t="shared" si="124"/>
        <v>45931</v>
      </c>
    </row>
    <row r="1544" spans="1:16" ht="15.5" x14ac:dyDescent="0.35">
      <c r="A1544" s="17" t="s">
        <v>1592</v>
      </c>
      <c r="B1544" s="35">
        <v>45736</v>
      </c>
      <c r="C1544" s="17" t="s">
        <v>12</v>
      </c>
      <c r="D1544" s="17" t="s">
        <v>2585</v>
      </c>
      <c r="E1544" s="17" t="s">
        <v>41</v>
      </c>
      <c r="F1544" s="17" t="s">
        <v>15</v>
      </c>
      <c r="G1544" s="17" t="s">
        <v>38</v>
      </c>
      <c r="H1544" s="17" t="s">
        <v>2587</v>
      </c>
      <c r="I1544" s="17" t="s">
        <v>30</v>
      </c>
      <c r="J1544" s="36">
        <v>5000</v>
      </c>
      <c r="K1544" s="36">
        <v>6758.54</v>
      </c>
      <c r="L1544" s="36">
        <f t="shared" si="120"/>
        <v>1758.54</v>
      </c>
      <c r="M1544" s="37">
        <f t="shared" si="121"/>
        <v>0.35170799999999997</v>
      </c>
      <c r="N1544" s="17" t="str">
        <f t="shared" si="122"/>
        <v>Over Budget</v>
      </c>
      <c r="O1544" s="38">
        <f t="shared" si="123"/>
        <v>-6758.54</v>
      </c>
      <c r="P1544" s="39">
        <f t="shared" si="124"/>
        <v>45717</v>
      </c>
    </row>
    <row r="1545" spans="1:16" ht="15.5" x14ac:dyDescent="0.35">
      <c r="A1545" s="17" t="s">
        <v>1593</v>
      </c>
      <c r="B1545" s="35">
        <v>45974</v>
      </c>
      <c r="C1545" s="17" t="s">
        <v>12</v>
      </c>
      <c r="D1545" s="17" t="s">
        <v>36</v>
      </c>
      <c r="E1545" s="17" t="s">
        <v>45</v>
      </c>
      <c r="F1545" s="17" t="s">
        <v>52</v>
      </c>
      <c r="G1545" s="17" t="s">
        <v>82</v>
      </c>
      <c r="H1545" s="17" t="s">
        <v>2596</v>
      </c>
      <c r="I1545" s="17" t="s">
        <v>48</v>
      </c>
      <c r="J1545" s="36">
        <v>9947.3700000000008</v>
      </c>
      <c r="K1545" s="36">
        <v>16655.060000000001</v>
      </c>
      <c r="L1545" s="36">
        <f t="shared" si="120"/>
        <v>6707.6900000000005</v>
      </c>
      <c r="M1545" s="37">
        <f t="shared" si="121"/>
        <v>0.67431793529344941</v>
      </c>
      <c r="N1545" s="17" t="str">
        <f t="shared" si="122"/>
        <v>Over Budget</v>
      </c>
      <c r="O1545" s="38">
        <f t="shared" si="123"/>
        <v>-16655.060000000001</v>
      </c>
      <c r="P1545" s="39">
        <f t="shared" si="124"/>
        <v>45962</v>
      </c>
    </row>
    <row r="1546" spans="1:16" ht="15.5" x14ac:dyDescent="0.35">
      <c r="A1546" s="17" t="s">
        <v>1594</v>
      </c>
      <c r="B1546" s="35">
        <v>45753</v>
      </c>
      <c r="C1546" s="17" t="s">
        <v>12</v>
      </c>
      <c r="D1546" s="17" t="s">
        <v>2584</v>
      </c>
      <c r="E1546" s="17" t="s">
        <v>45</v>
      </c>
      <c r="F1546" s="17" t="s">
        <v>52</v>
      </c>
      <c r="G1546" s="17" t="s">
        <v>29</v>
      </c>
      <c r="H1546" s="17" t="s">
        <v>2590</v>
      </c>
      <c r="I1546" s="17" t="s">
        <v>30</v>
      </c>
      <c r="J1546" s="36">
        <v>13846.15</v>
      </c>
      <c r="K1546" s="36">
        <v>16941.93</v>
      </c>
      <c r="L1546" s="36">
        <f t="shared" si="120"/>
        <v>3095.7800000000007</v>
      </c>
      <c r="M1546" s="37">
        <f t="shared" si="121"/>
        <v>0.22358417321782595</v>
      </c>
      <c r="N1546" s="17" t="str">
        <f t="shared" si="122"/>
        <v>Over Budget</v>
      </c>
      <c r="O1546" s="38">
        <f t="shared" si="123"/>
        <v>-16941.93</v>
      </c>
      <c r="P1546" s="39">
        <f t="shared" si="124"/>
        <v>45748</v>
      </c>
    </row>
    <row r="1547" spans="1:16" ht="15.5" x14ac:dyDescent="0.35">
      <c r="A1547" s="17" t="s">
        <v>1595</v>
      </c>
      <c r="B1547" s="35">
        <v>45773</v>
      </c>
      <c r="C1547" s="17" t="s">
        <v>12</v>
      </c>
      <c r="D1547" s="17" t="s">
        <v>2585</v>
      </c>
      <c r="E1547" s="17" t="s">
        <v>45</v>
      </c>
      <c r="F1547" s="17" t="s">
        <v>15</v>
      </c>
      <c r="G1547" s="17" t="s">
        <v>29</v>
      </c>
      <c r="H1547" s="17" t="s">
        <v>2597</v>
      </c>
      <c r="I1547" s="17" t="s">
        <v>23</v>
      </c>
      <c r="J1547" s="36">
        <v>13846.15</v>
      </c>
      <c r="K1547" s="36">
        <v>17820.13</v>
      </c>
      <c r="L1547" s="36">
        <f t="shared" si="120"/>
        <v>3973.9800000000014</v>
      </c>
      <c r="M1547" s="37">
        <f t="shared" si="121"/>
        <v>0.28700974639159632</v>
      </c>
      <c r="N1547" s="17" t="str">
        <f t="shared" si="122"/>
        <v>Over Budget</v>
      </c>
      <c r="O1547" s="38">
        <f t="shared" si="123"/>
        <v>-17820.13</v>
      </c>
      <c r="P1547" s="39">
        <f t="shared" si="124"/>
        <v>45748</v>
      </c>
    </row>
    <row r="1548" spans="1:16" ht="15.5" x14ac:dyDescent="0.35">
      <c r="A1548" s="17" t="s">
        <v>1596</v>
      </c>
      <c r="B1548" s="35">
        <v>45772</v>
      </c>
      <c r="C1548" s="17" t="s">
        <v>25</v>
      </c>
      <c r="D1548" s="17" t="s">
        <v>32</v>
      </c>
      <c r="E1548" s="17" t="s">
        <v>27</v>
      </c>
      <c r="F1548" s="17" t="s">
        <v>52</v>
      </c>
      <c r="G1548" s="17" t="s">
        <v>38</v>
      </c>
      <c r="H1548" s="17" t="s">
        <v>2588</v>
      </c>
      <c r="I1548" s="17" t="s">
        <v>23</v>
      </c>
      <c r="J1548" s="36">
        <v>10000</v>
      </c>
      <c r="K1548" s="36">
        <v>1316.28</v>
      </c>
      <c r="L1548" s="36">
        <f t="shared" si="120"/>
        <v>-8683.7199999999993</v>
      </c>
      <c r="M1548" s="37">
        <f t="shared" si="121"/>
        <v>-0.86837199999999992</v>
      </c>
      <c r="N1548" s="17" t="str">
        <f t="shared" si="122"/>
        <v>Under Budget</v>
      </c>
      <c r="O1548" s="38">
        <f t="shared" si="123"/>
        <v>1316.28</v>
      </c>
      <c r="P1548" s="39">
        <f t="shared" si="124"/>
        <v>45748</v>
      </c>
    </row>
    <row r="1549" spans="1:16" ht="15.5" x14ac:dyDescent="0.35">
      <c r="A1549" s="17" t="s">
        <v>1597</v>
      </c>
      <c r="B1549" s="35">
        <v>45758</v>
      </c>
      <c r="C1549" s="17" t="s">
        <v>12</v>
      </c>
      <c r="D1549" s="17" t="s">
        <v>26</v>
      </c>
      <c r="E1549" s="17" t="s">
        <v>51</v>
      </c>
      <c r="F1549" s="17" t="s">
        <v>28</v>
      </c>
      <c r="G1549" s="17" t="s">
        <v>16</v>
      </c>
      <c r="H1549" s="17" t="s">
        <v>2587</v>
      </c>
      <c r="I1549" s="17" t="s">
        <v>48</v>
      </c>
      <c r="J1549" s="36">
        <v>3750</v>
      </c>
      <c r="K1549" s="36">
        <v>6374.43</v>
      </c>
      <c r="L1549" s="36">
        <f t="shared" si="120"/>
        <v>2624.4300000000003</v>
      </c>
      <c r="M1549" s="37">
        <f t="shared" si="121"/>
        <v>0.69984800000000003</v>
      </c>
      <c r="N1549" s="17" t="str">
        <f t="shared" si="122"/>
        <v>Over Budget</v>
      </c>
      <c r="O1549" s="38">
        <f t="shared" si="123"/>
        <v>-6374.43</v>
      </c>
      <c r="P1549" s="39">
        <f t="shared" si="124"/>
        <v>45748</v>
      </c>
    </row>
    <row r="1550" spans="1:16" ht="15.5" x14ac:dyDescent="0.35">
      <c r="A1550" s="17" t="s">
        <v>1598</v>
      </c>
      <c r="B1550" s="35">
        <v>45829</v>
      </c>
      <c r="C1550" s="17" t="s">
        <v>12</v>
      </c>
      <c r="D1550" s="17" t="s">
        <v>2585</v>
      </c>
      <c r="E1550" s="17" t="s">
        <v>45</v>
      </c>
      <c r="F1550" s="17" t="s">
        <v>21</v>
      </c>
      <c r="G1550" s="17" t="s">
        <v>38</v>
      </c>
      <c r="H1550" s="17" t="s">
        <v>2588</v>
      </c>
      <c r="I1550" s="17" t="s">
        <v>48</v>
      </c>
      <c r="J1550" s="36">
        <v>6428.57</v>
      </c>
      <c r="K1550" s="36">
        <v>13714.29</v>
      </c>
      <c r="L1550" s="36">
        <f t="shared" si="120"/>
        <v>7285.7200000000012</v>
      </c>
      <c r="M1550" s="37">
        <f t="shared" si="121"/>
        <v>1.1333344740743279</v>
      </c>
      <c r="N1550" s="17" t="str">
        <f t="shared" si="122"/>
        <v>Over Budget</v>
      </c>
      <c r="O1550" s="38">
        <f t="shared" si="123"/>
        <v>-13714.29</v>
      </c>
      <c r="P1550" s="39">
        <f t="shared" si="124"/>
        <v>45809</v>
      </c>
    </row>
    <row r="1551" spans="1:16" ht="15.5" x14ac:dyDescent="0.35">
      <c r="A1551" s="17" t="s">
        <v>1599</v>
      </c>
      <c r="B1551" s="35">
        <v>45825</v>
      </c>
      <c r="C1551" s="17" t="s">
        <v>25</v>
      </c>
      <c r="D1551" s="17" t="s">
        <v>32</v>
      </c>
      <c r="E1551" s="17" t="s">
        <v>33</v>
      </c>
      <c r="F1551" s="17" t="s">
        <v>28</v>
      </c>
      <c r="G1551" s="17" t="s">
        <v>38</v>
      </c>
      <c r="H1551" s="17" t="s">
        <v>2586</v>
      </c>
      <c r="I1551" s="17" t="s">
        <v>39</v>
      </c>
      <c r="J1551" s="36">
        <v>9615.3799999999992</v>
      </c>
      <c r="K1551" s="36">
        <v>5897.4</v>
      </c>
      <c r="L1551" s="36">
        <f t="shared" si="120"/>
        <v>-3717.9799999999996</v>
      </c>
      <c r="M1551" s="37">
        <f t="shared" si="121"/>
        <v>-0.38667010560165066</v>
      </c>
      <c r="N1551" s="17" t="str">
        <f t="shared" si="122"/>
        <v>Under Budget</v>
      </c>
      <c r="O1551" s="38">
        <f t="shared" si="123"/>
        <v>5897.4</v>
      </c>
      <c r="P1551" s="39">
        <f t="shared" si="124"/>
        <v>45809</v>
      </c>
    </row>
    <row r="1552" spans="1:16" ht="15.5" x14ac:dyDescent="0.35">
      <c r="A1552" s="17" t="s">
        <v>1600</v>
      </c>
      <c r="B1552" s="35">
        <v>46009</v>
      </c>
      <c r="C1552" s="17" t="s">
        <v>12</v>
      </c>
      <c r="D1552" s="17" t="s">
        <v>26</v>
      </c>
      <c r="E1552" s="17" t="s">
        <v>77</v>
      </c>
      <c r="F1552" s="17" t="s">
        <v>21</v>
      </c>
      <c r="G1552" s="17" t="s">
        <v>22</v>
      </c>
      <c r="H1552" s="17" t="s">
        <v>2591</v>
      </c>
      <c r="I1552" s="17" t="s">
        <v>23</v>
      </c>
      <c r="J1552" s="36">
        <v>3300</v>
      </c>
      <c r="K1552" s="36">
        <v>3752.73</v>
      </c>
      <c r="L1552" s="36">
        <f t="shared" si="120"/>
        <v>452.73</v>
      </c>
      <c r="M1552" s="37">
        <f t="shared" si="121"/>
        <v>0.13719090909090909</v>
      </c>
      <c r="N1552" s="17" t="str">
        <f t="shared" si="122"/>
        <v>Over Budget</v>
      </c>
      <c r="O1552" s="38">
        <f t="shared" si="123"/>
        <v>-3752.73</v>
      </c>
      <c r="P1552" s="39">
        <f t="shared" si="124"/>
        <v>45992</v>
      </c>
    </row>
    <row r="1553" spans="1:16" ht="15.5" x14ac:dyDescent="0.35">
      <c r="A1553" s="17" t="s">
        <v>1601</v>
      </c>
      <c r="B1553" s="35">
        <v>46178</v>
      </c>
      <c r="C1553" s="17" t="s">
        <v>12</v>
      </c>
      <c r="D1553" s="17" t="s">
        <v>19</v>
      </c>
      <c r="E1553" s="17" t="s">
        <v>41</v>
      </c>
      <c r="F1553" s="17" t="s">
        <v>15</v>
      </c>
      <c r="G1553" s="17" t="s">
        <v>43</v>
      </c>
      <c r="H1553" s="17" t="s">
        <v>2592</v>
      </c>
      <c r="I1553" s="17" t="s">
        <v>30</v>
      </c>
      <c r="J1553" s="36">
        <v>5416.67</v>
      </c>
      <c r="K1553" s="36">
        <v>11192.97</v>
      </c>
      <c r="L1553" s="36">
        <f t="shared" si="120"/>
        <v>5776.2999999999993</v>
      </c>
      <c r="M1553" s="37">
        <f t="shared" si="121"/>
        <v>1.066393189911883</v>
      </c>
      <c r="N1553" s="17" t="str">
        <f t="shared" si="122"/>
        <v>Over Budget</v>
      </c>
      <c r="O1553" s="38">
        <f t="shared" si="123"/>
        <v>-11192.97</v>
      </c>
      <c r="P1553" s="39">
        <f t="shared" si="124"/>
        <v>46174</v>
      </c>
    </row>
    <row r="1554" spans="1:16" ht="15.5" x14ac:dyDescent="0.35">
      <c r="A1554" s="17" t="s">
        <v>1602</v>
      </c>
      <c r="B1554" s="35">
        <v>45957</v>
      </c>
      <c r="C1554" s="17" t="s">
        <v>25</v>
      </c>
      <c r="D1554" s="17" t="s">
        <v>32</v>
      </c>
      <c r="E1554" s="17" t="s">
        <v>109</v>
      </c>
      <c r="F1554" s="17" t="s">
        <v>28</v>
      </c>
      <c r="G1554" s="17" t="s">
        <v>22</v>
      </c>
      <c r="H1554" s="17" t="s">
        <v>80</v>
      </c>
      <c r="I1554" s="17" t="s">
        <v>23</v>
      </c>
      <c r="J1554" s="36">
        <v>7692.31</v>
      </c>
      <c r="K1554" s="36">
        <v>5665.87</v>
      </c>
      <c r="L1554" s="36">
        <f t="shared" si="120"/>
        <v>-2026.4400000000005</v>
      </c>
      <c r="M1554" s="37">
        <f t="shared" si="121"/>
        <v>-0.26343712096886374</v>
      </c>
      <c r="N1554" s="17" t="str">
        <f t="shared" si="122"/>
        <v>Under Budget</v>
      </c>
      <c r="O1554" s="38">
        <f t="shared" si="123"/>
        <v>5665.87</v>
      </c>
      <c r="P1554" s="39">
        <f t="shared" si="124"/>
        <v>45931</v>
      </c>
    </row>
    <row r="1555" spans="1:16" ht="15.5" x14ac:dyDescent="0.35">
      <c r="A1555" s="17" t="s">
        <v>1603</v>
      </c>
      <c r="B1555" s="35">
        <v>46193</v>
      </c>
      <c r="C1555" s="17" t="s">
        <v>25</v>
      </c>
      <c r="D1555" s="17" t="s">
        <v>13</v>
      </c>
      <c r="E1555" s="17" t="s">
        <v>109</v>
      </c>
      <c r="F1555" s="17" t="s">
        <v>28</v>
      </c>
      <c r="G1555" s="17" t="s">
        <v>38</v>
      </c>
      <c r="H1555" s="17" t="s">
        <v>2598</v>
      </c>
      <c r="I1555" s="17" t="s">
        <v>30</v>
      </c>
      <c r="J1555" s="36">
        <v>4761.8999999999996</v>
      </c>
      <c r="K1555" s="36">
        <v>17961.3</v>
      </c>
      <c r="L1555" s="36">
        <f t="shared" si="120"/>
        <v>13199.4</v>
      </c>
      <c r="M1555" s="37">
        <f t="shared" si="121"/>
        <v>2.7718767718767721</v>
      </c>
      <c r="N1555" s="17" t="str">
        <f t="shared" si="122"/>
        <v>Over Budget</v>
      </c>
      <c r="O1555" s="38">
        <f t="shared" si="123"/>
        <v>17961.3</v>
      </c>
      <c r="P1555" s="39">
        <f t="shared" si="124"/>
        <v>46174</v>
      </c>
    </row>
    <row r="1556" spans="1:16" ht="15.5" x14ac:dyDescent="0.35">
      <c r="A1556" s="17" t="s">
        <v>1604</v>
      </c>
      <c r="B1556" s="35">
        <v>45712</v>
      </c>
      <c r="C1556" s="17" t="s">
        <v>12</v>
      </c>
      <c r="D1556" s="17" t="s">
        <v>2584</v>
      </c>
      <c r="E1556" s="17" t="s">
        <v>41</v>
      </c>
      <c r="F1556" s="17" t="s">
        <v>52</v>
      </c>
      <c r="G1556" s="17" t="s">
        <v>22</v>
      </c>
      <c r="H1556" s="17" t="s">
        <v>2587</v>
      </c>
      <c r="I1556" s="17" t="s">
        <v>48</v>
      </c>
      <c r="J1556" s="36">
        <v>10508.33</v>
      </c>
      <c r="K1556" s="36">
        <v>3418.18</v>
      </c>
      <c r="L1556" s="36">
        <f t="shared" si="120"/>
        <v>-7090.15</v>
      </c>
      <c r="M1556" s="37">
        <f t="shared" si="121"/>
        <v>-0.67471710538211116</v>
      </c>
      <c r="N1556" s="17" t="str">
        <f t="shared" si="122"/>
        <v>Under Budget</v>
      </c>
      <c r="O1556" s="38">
        <f t="shared" si="123"/>
        <v>-3418.18</v>
      </c>
      <c r="P1556" s="39">
        <f t="shared" si="124"/>
        <v>45689</v>
      </c>
    </row>
    <row r="1557" spans="1:16" ht="15.5" x14ac:dyDescent="0.35">
      <c r="A1557" s="17" t="s">
        <v>1605</v>
      </c>
      <c r="B1557" s="35">
        <v>46086</v>
      </c>
      <c r="C1557" s="17" t="s">
        <v>12</v>
      </c>
      <c r="D1557" s="17" t="s">
        <v>26</v>
      </c>
      <c r="E1557" s="17" t="s">
        <v>37</v>
      </c>
      <c r="F1557" s="17" t="s">
        <v>52</v>
      </c>
      <c r="G1557" s="17" t="s">
        <v>43</v>
      </c>
      <c r="H1557" s="17" t="s">
        <v>2596</v>
      </c>
      <c r="I1557" s="17" t="s">
        <v>39</v>
      </c>
      <c r="J1557" s="36">
        <v>4000</v>
      </c>
      <c r="K1557" s="36">
        <v>1723.04</v>
      </c>
      <c r="L1557" s="36">
        <f t="shared" si="120"/>
        <v>-2276.96</v>
      </c>
      <c r="M1557" s="37">
        <f t="shared" si="121"/>
        <v>-0.56923999999999997</v>
      </c>
      <c r="N1557" s="17" t="str">
        <f t="shared" si="122"/>
        <v>Under Budget</v>
      </c>
      <c r="O1557" s="38">
        <f t="shared" si="123"/>
        <v>-1723.04</v>
      </c>
      <c r="P1557" s="39">
        <f t="shared" si="124"/>
        <v>46082</v>
      </c>
    </row>
    <row r="1558" spans="1:16" ht="15.5" x14ac:dyDescent="0.35">
      <c r="A1558" s="17" t="s">
        <v>1606</v>
      </c>
      <c r="B1558" s="35">
        <v>45946</v>
      </c>
      <c r="C1558" s="17" t="s">
        <v>12</v>
      </c>
      <c r="D1558" s="17" t="s">
        <v>19</v>
      </c>
      <c r="E1558" s="17" t="s">
        <v>65</v>
      </c>
      <c r="F1558" s="17" t="s">
        <v>34</v>
      </c>
      <c r="G1558" s="17" t="s">
        <v>22</v>
      </c>
      <c r="H1558" s="17" t="s">
        <v>2596</v>
      </c>
      <c r="I1558" s="17" t="s">
        <v>30</v>
      </c>
      <c r="J1558" s="36">
        <v>3928.57</v>
      </c>
      <c r="K1558" s="36">
        <v>6311.67</v>
      </c>
      <c r="L1558" s="36">
        <f t="shared" si="120"/>
        <v>2383.1</v>
      </c>
      <c r="M1558" s="37">
        <f t="shared" si="121"/>
        <v>0.60660749331181574</v>
      </c>
      <c r="N1558" s="17" t="str">
        <f t="shared" si="122"/>
        <v>Over Budget</v>
      </c>
      <c r="O1558" s="38">
        <f t="shared" si="123"/>
        <v>-6311.67</v>
      </c>
      <c r="P1558" s="39">
        <f t="shared" si="124"/>
        <v>45931</v>
      </c>
    </row>
    <row r="1559" spans="1:16" ht="15.5" x14ac:dyDescent="0.35">
      <c r="A1559" s="17" t="s">
        <v>1607</v>
      </c>
      <c r="B1559" s="35">
        <v>45744</v>
      </c>
      <c r="C1559" s="17" t="s">
        <v>12</v>
      </c>
      <c r="D1559" s="17" t="s">
        <v>36</v>
      </c>
      <c r="E1559" s="17" t="s">
        <v>51</v>
      </c>
      <c r="F1559" s="17" t="s">
        <v>28</v>
      </c>
      <c r="G1559" s="17" t="s">
        <v>38</v>
      </c>
      <c r="H1559" s="17" t="s">
        <v>2598</v>
      </c>
      <c r="I1559" s="17" t="s">
        <v>23</v>
      </c>
      <c r="J1559" s="36">
        <v>3000</v>
      </c>
      <c r="K1559" s="36">
        <v>6560.82</v>
      </c>
      <c r="L1559" s="36">
        <f t="shared" si="120"/>
        <v>3560.8199999999997</v>
      </c>
      <c r="M1559" s="37">
        <f t="shared" si="121"/>
        <v>1.1869399999999999</v>
      </c>
      <c r="N1559" s="17" t="str">
        <f t="shared" si="122"/>
        <v>Over Budget</v>
      </c>
      <c r="O1559" s="38">
        <f t="shared" si="123"/>
        <v>-6560.82</v>
      </c>
      <c r="P1559" s="39">
        <f t="shared" si="124"/>
        <v>45717</v>
      </c>
    </row>
    <row r="1560" spans="1:16" ht="15.5" x14ac:dyDescent="0.35">
      <c r="A1560" s="17" t="s">
        <v>1608</v>
      </c>
      <c r="B1560" s="35">
        <v>46005</v>
      </c>
      <c r="C1560" s="17" t="s">
        <v>12</v>
      </c>
      <c r="D1560" s="17" t="s">
        <v>36</v>
      </c>
      <c r="E1560" s="17" t="s">
        <v>65</v>
      </c>
      <c r="F1560" s="17" t="s">
        <v>52</v>
      </c>
      <c r="G1560" s="17" t="s">
        <v>43</v>
      </c>
      <c r="H1560" s="17" t="s">
        <v>2596</v>
      </c>
      <c r="I1560" s="17" t="s">
        <v>23</v>
      </c>
      <c r="J1560" s="36">
        <v>4125</v>
      </c>
      <c r="K1560" s="36">
        <v>2450.94</v>
      </c>
      <c r="L1560" s="36">
        <f t="shared" si="120"/>
        <v>-1674.06</v>
      </c>
      <c r="M1560" s="37">
        <f t="shared" si="121"/>
        <v>-0.40583272727272723</v>
      </c>
      <c r="N1560" s="17" t="str">
        <f t="shared" si="122"/>
        <v>Under Budget</v>
      </c>
      <c r="O1560" s="38">
        <f t="shared" si="123"/>
        <v>-2450.94</v>
      </c>
      <c r="P1560" s="39">
        <f t="shared" si="124"/>
        <v>45992</v>
      </c>
    </row>
    <row r="1561" spans="1:16" ht="15.5" x14ac:dyDescent="0.35">
      <c r="A1561" s="17" t="s">
        <v>1609</v>
      </c>
      <c r="B1561" s="35">
        <v>46043</v>
      </c>
      <c r="C1561" s="17" t="s">
        <v>25</v>
      </c>
      <c r="D1561" s="17" t="s">
        <v>26</v>
      </c>
      <c r="E1561" s="17" t="s">
        <v>109</v>
      </c>
      <c r="F1561" s="17" t="s">
        <v>34</v>
      </c>
      <c r="G1561" s="17" t="s">
        <v>29</v>
      </c>
      <c r="H1561" s="17" t="s">
        <v>2598</v>
      </c>
      <c r="I1561" s="17" t="s">
        <v>48</v>
      </c>
      <c r="J1561" s="36">
        <v>6062.5</v>
      </c>
      <c r="K1561" s="36">
        <v>11936.08</v>
      </c>
      <c r="L1561" s="36">
        <f t="shared" si="120"/>
        <v>5873.58</v>
      </c>
      <c r="M1561" s="37">
        <f t="shared" si="121"/>
        <v>0.96883793814432984</v>
      </c>
      <c r="N1561" s="17" t="str">
        <f t="shared" si="122"/>
        <v>Over Budget</v>
      </c>
      <c r="O1561" s="38">
        <f t="shared" si="123"/>
        <v>11936.08</v>
      </c>
      <c r="P1561" s="39">
        <f t="shared" si="124"/>
        <v>46023</v>
      </c>
    </row>
    <row r="1562" spans="1:16" ht="15.5" x14ac:dyDescent="0.35">
      <c r="A1562" s="17" t="s">
        <v>1610</v>
      </c>
      <c r="B1562" s="35">
        <v>45918</v>
      </c>
      <c r="C1562" s="17" t="s">
        <v>12</v>
      </c>
      <c r="D1562" s="17" t="s">
        <v>19</v>
      </c>
      <c r="E1562" s="17" t="s">
        <v>45</v>
      </c>
      <c r="F1562" s="17" t="s">
        <v>34</v>
      </c>
      <c r="G1562" s="17" t="s">
        <v>38</v>
      </c>
      <c r="H1562" s="17" t="s">
        <v>2596</v>
      </c>
      <c r="I1562" s="17" t="s">
        <v>48</v>
      </c>
      <c r="J1562" s="36">
        <v>7500</v>
      </c>
      <c r="K1562" s="36">
        <v>10851.48</v>
      </c>
      <c r="L1562" s="36">
        <f t="shared" si="120"/>
        <v>3351.4799999999996</v>
      </c>
      <c r="M1562" s="37">
        <f t="shared" si="121"/>
        <v>0.44686399999999993</v>
      </c>
      <c r="N1562" s="17" t="str">
        <f t="shared" si="122"/>
        <v>Over Budget</v>
      </c>
      <c r="O1562" s="38">
        <f t="shared" si="123"/>
        <v>-10851.48</v>
      </c>
      <c r="P1562" s="39">
        <f t="shared" si="124"/>
        <v>45901</v>
      </c>
    </row>
    <row r="1563" spans="1:16" ht="15.5" x14ac:dyDescent="0.35">
      <c r="A1563" s="17" t="s">
        <v>1611</v>
      </c>
      <c r="B1563" s="35">
        <v>46132</v>
      </c>
      <c r="C1563" s="17" t="s">
        <v>25</v>
      </c>
      <c r="D1563" s="17" t="s">
        <v>32</v>
      </c>
      <c r="E1563" s="17" t="s">
        <v>33</v>
      </c>
      <c r="F1563" s="17" t="s">
        <v>21</v>
      </c>
      <c r="G1563" s="17" t="s">
        <v>43</v>
      </c>
      <c r="H1563" s="17" t="s">
        <v>80</v>
      </c>
      <c r="I1563" s="17" t="s">
        <v>30</v>
      </c>
      <c r="J1563" s="36">
        <v>8333.33</v>
      </c>
      <c r="K1563" s="36">
        <v>12393.54</v>
      </c>
      <c r="L1563" s="36">
        <f t="shared" si="120"/>
        <v>4060.2100000000009</v>
      </c>
      <c r="M1563" s="37">
        <f t="shared" si="121"/>
        <v>0.48722539489015809</v>
      </c>
      <c r="N1563" s="17" t="str">
        <f t="shared" si="122"/>
        <v>Over Budget</v>
      </c>
      <c r="O1563" s="38">
        <f t="shared" si="123"/>
        <v>12393.54</v>
      </c>
      <c r="P1563" s="39">
        <f t="shared" si="124"/>
        <v>46113</v>
      </c>
    </row>
    <row r="1564" spans="1:16" ht="15.5" x14ac:dyDescent="0.35">
      <c r="A1564" s="17" t="s">
        <v>1612</v>
      </c>
      <c r="B1564" s="35">
        <v>45692</v>
      </c>
      <c r="C1564" s="17" t="s">
        <v>12</v>
      </c>
      <c r="D1564" s="17" t="s">
        <v>26</v>
      </c>
      <c r="E1564" s="17" t="s">
        <v>45</v>
      </c>
      <c r="F1564" s="17" t="s">
        <v>52</v>
      </c>
      <c r="G1564" s="17" t="s">
        <v>38</v>
      </c>
      <c r="H1564" s="17" t="s">
        <v>2590</v>
      </c>
      <c r="I1564" s="17" t="s">
        <v>30</v>
      </c>
      <c r="J1564" s="36">
        <v>11640</v>
      </c>
      <c r="K1564" s="36">
        <v>13461.09</v>
      </c>
      <c r="L1564" s="36">
        <f t="shared" si="120"/>
        <v>1821.0900000000001</v>
      </c>
      <c r="M1564" s="37">
        <f t="shared" si="121"/>
        <v>0.15645103092783508</v>
      </c>
      <c r="N1564" s="17" t="str">
        <f t="shared" si="122"/>
        <v>Over Budget</v>
      </c>
      <c r="O1564" s="38">
        <f t="shared" si="123"/>
        <v>-13461.09</v>
      </c>
      <c r="P1564" s="39">
        <f t="shared" si="124"/>
        <v>45689</v>
      </c>
    </row>
    <row r="1565" spans="1:16" ht="15.5" x14ac:dyDescent="0.35">
      <c r="A1565" s="17" t="s">
        <v>1613</v>
      </c>
      <c r="B1565" s="35">
        <v>45723</v>
      </c>
      <c r="C1565" s="17" t="s">
        <v>25</v>
      </c>
      <c r="D1565" s="17" t="s">
        <v>36</v>
      </c>
      <c r="E1565" s="17" t="s">
        <v>109</v>
      </c>
      <c r="F1565" s="17" t="s">
        <v>34</v>
      </c>
      <c r="G1565" s="17" t="s">
        <v>38</v>
      </c>
      <c r="H1565" s="17" t="s">
        <v>2588</v>
      </c>
      <c r="I1565" s="17" t="s">
        <v>23</v>
      </c>
      <c r="J1565" s="36">
        <v>9090.91</v>
      </c>
      <c r="K1565" s="36">
        <v>15454.13</v>
      </c>
      <c r="L1565" s="36">
        <f t="shared" si="120"/>
        <v>6363.2199999999993</v>
      </c>
      <c r="M1565" s="37">
        <f t="shared" si="121"/>
        <v>0.69995413000458695</v>
      </c>
      <c r="N1565" s="17" t="str">
        <f t="shared" si="122"/>
        <v>Over Budget</v>
      </c>
      <c r="O1565" s="38">
        <f t="shared" si="123"/>
        <v>15454.13</v>
      </c>
      <c r="P1565" s="39">
        <f t="shared" si="124"/>
        <v>45717</v>
      </c>
    </row>
    <row r="1566" spans="1:16" ht="15.5" x14ac:dyDescent="0.35">
      <c r="A1566" s="17" t="s">
        <v>1614</v>
      </c>
      <c r="B1566" s="35">
        <v>45920</v>
      </c>
      <c r="C1566" s="17" t="s">
        <v>12</v>
      </c>
      <c r="D1566" s="17" t="s">
        <v>13</v>
      </c>
      <c r="E1566" s="17" t="s">
        <v>47</v>
      </c>
      <c r="F1566" s="17" t="s">
        <v>28</v>
      </c>
      <c r="G1566" s="17" t="s">
        <v>38</v>
      </c>
      <c r="H1566" s="17" t="s">
        <v>2598</v>
      </c>
      <c r="I1566" s="17" t="s">
        <v>23</v>
      </c>
      <c r="J1566" s="36">
        <v>3500</v>
      </c>
      <c r="K1566" s="36">
        <v>2613.0500000000002</v>
      </c>
      <c r="L1566" s="36">
        <f t="shared" si="120"/>
        <v>-886.94999999999982</v>
      </c>
      <c r="M1566" s="37">
        <f t="shared" si="121"/>
        <v>-0.25341428571428565</v>
      </c>
      <c r="N1566" s="17" t="str">
        <f t="shared" si="122"/>
        <v>Under Budget</v>
      </c>
      <c r="O1566" s="38">
        <f t="shared" si="123"/>
        <v>-2613.0500000000002</v>
      </c>
      <c r="P1566" s="39">
        <f t="shared" si="124"/>
        <v>45901</v>
      </c>
    </row>
    <row r="1567" spans="1:16" ht="15.5" x14ac:dyDescent="0.35">
      <c r="A1567" s="17" t="s">
        <v>1615</v>
      </c>
      <c r="B1567" s="35">
        <v>46189</v>
      </c>
      <c r="C1567" s="17" t="s">
        <v>12</v>
      </c>
      <c r="D1567" s="17" t="s">
        <v>26</v>
      </c>
      <c r="E1567" s="17" t="s">
        <v>74</v>
      </c>
      <c r="F1567" s="17" t="s">
        <v>52</v>
      </c>
      <c r="G1567" s="17" t="s">
        <v>43</v>
      </c>
      <c r="H1567" s="17" t="s">
        <v>2590</v>
      </c>
      <c r="I1567" s="17" t="s">
        <v>23</v>
      </c>
      <c r="J1567" s="36">
        <v>3076.92</v>
      </c>
      <c r="K1567" s="36">
        <v>4046.6</v>
      </c>
      <c r="L1567" s="36">
        <f t="shared" si="120"/>
        <v>969.67999999999984</v>
      </c>
      <c r="M1567" s="37">
        <f t="shared" si="121"/>
        <v>0.31514631514631508</v>
      </c>
      <c r="N1567" s="17" t="str">
        <f t="shared" si="122"/>
        <v>Over Budget</v>
      </c>
      <c r="O1567" s="38">
        <f t="shared" si="123"/>
        <v>-4046.6</v>
      </c>
      <c r="P1567" s="39">
        <f t="shared" si="124"/>
        <v>46174</v>
      </c>
    </row>
    <row r="1568" spans="1:16" ht="15.5" x14ac:dyDescent="0.35">
      <c r="A1568" s="17" t="s">
        <v>1616</v>
      </c>
      <c r="B1568" s="35">
        <v>46062</v>
      </c>
      <c r="C1568" s="17" t="s">
        <v>25</v>
      </c>
      <c r="D1568" s="17" t="s">
        <v>36</v>
      </c>
      <c r="E1568" s="17" t="s">
        <v>33</v>
      </c>
      <c r="F1568" s="17" t="s">
        <v>34</v>
      </c>
      <c r="G1568" s="17" t="s">
        <v>38</v>
      </c>
      <c r="H1568" s="17" t="s">
        <v>2592</v>
      </c>
      <c r="I1568" s="17" t="s">
        <v>30</v>
      </c>
      <c r="J1568" s="36">
        <v>12125</v>
      </c>
      <c r="K1568" s="36">
        <v>9635.1200000000008</v>
      </c>
      <c r="L1568" s="36">
        <f t="shared" si="120"/>
        <v>-2489.8799999999992</v>
      </c>
      <c r="M1568" s="37">
        <f t="shared" si="121"/>
        <v>-0.20535092783505149</v>
      </c>
      <c r="N1568" s="17" t="str">
        <f t="shared" si="122"/>
        <v>Under Budget</v>
      </c>
      <c r="O1568" s="38">
        <f t="shared" si="123"/>
        <v>9635.1200000000008</v>
      </c>
      <c r="P1568" s="39">
        <f t="shared" si="124"/>
        <v>46054</v>
      </c>
    </row>
    <row r="1569" spans="1:16" ht="15.5" x14ac:dyDescent="0.35">
      <c r="A1569" s="17" t="s">
        <v>1617</v>
      </c>
      <c r="B1569" s="35">
        <v>45786</v>
      </c>
      <c r="C1569" s="17" t="s">
        <v>12</v>
      </c>
      <c r="D1569" s="17" t="s">
        <v>13</v>
      </c>
      <c r="E1569" s="17" t="s">
        <v>14</v>
      </c>
      <c r="F1569" s="17" t="s">
        <v>34</v>
      </c>
      <c r="G1569" s="17" t="s">
        <v>38</v>
      </c>
      <c r="H1569" s="17" t="s">
        <v>2589</v>
      </c>
      <c r="I1569" s="17" t="s">
        <v>39</v>
      </c>
      <c r="J1569" s="36">
        <v>2909.09</v>
      </c>
      <c r="K1569" s="36">
        <v>2361.02</v>
      </c>
      <c r="L1569" s="36">
        <f t="shared" si="120"/>
        <v>-548.07000000000016</v>
      </c>
      <c r="M1569" s="37">
        <f t="shared" si="121"/>
        <v>-0.18839912137472548</v>
      </c>
      <c r="N1569" s="17" t="str">
        <f t="shared" si="122"/>
        <v>Under Budget</v>
      </c>
      <c r="O1569" s="38">
        <f t="shared" si="123"/>
        <v>-2361.02</v>
      </c>
      <c r="P1569" s="39">
        <f t="shared" si="124"/>
        <v>45778</v>
      </c>
    </row>
    <row r="1570" spans="1:16" ht="15.5" x14ac:dyDescent="0.35">
      <c r="A1570" s="17" t="s">
        <v>1618</v>
      </c>
      <c r="B1570" s="35">
        <v>45838</v>
      </c>
      <c r="C1570" s="17" t="s">
        <v>12</v>
      </c>
      <c r="D1570" s="17" t="s">
        <v>36</v>
      </c>
      <c r="E1570" s="17" t="s">
        <v>14</v>
      </c>
      <c r="F1570" s="17" t="s">
        <v>28</v>
      </c>
      <c r="G1570" s="17" t="s">
        <v>22</v>
      </c>
      <c r="H1570" s="17" t="s">
        <v>2590</v>
      </c>
      <c r="I1570" s="17" t="s">
        <v>48</v>
      </c>
      <c r="J1570" s="36">
        <v>4571.43</v>
      </c>
      <c r="K1570" s="36">
        <v>708.52</v>
      </c>
      <c r="L1570" s="36">
        <f t="shared" si="120"/>
        <v>-3862.9100000000003</v>
      </c>
      <c r="M1570" s="37">
        <f t="shared" si="121"/>
        <v>-0.84501129843396927</v>
      </c>
      <c r="N1570" s="17" t="str">
        <f t="shared" si="122"/>
        <v>Under Budget</v>
      </c>
      <c r="O1570" s="38">
        <f t="shared" si="123"/>
        <v>-708.52</v>
      </c>
      <c r="P1570" s="39">
        <f t="shared" si="124"/>
        <v>45809</v>
      </c>
    </row>
    <row r="1571" spans="1:16" ht="15.5" x14ac:dyDescent="0.35">
      <c r="A1571" s="17" t="s">
        <v>1619</v>
      </c>
      <c r="B1571" s="35">
        <v>46188</v>
      </c>
      <c r="C1571" s="17" t="s">
        <v>12</v>
      </c>
      <c r="D1571" s="17" t="s">
        <v>2584</v>
      </c>
      <c r="E1571" s="17" t="s">
        <v>74</v>
      </c>
      <c r="F1571" s="17" t="s">
        <v>28</v>
      </c>
      <c r="G1571" s="17" t="s">
        <v>43</v>
      </c>
      <c r="H1571" s="17" t="s">
        <v>2592</v>
      </c>
      <c r="I1571" s="17" t="s">
        <v>23</v>
      </c>
      <c r="J1571" s="36">
        <v>3076.92</v>
      </c>
      <c r="K1571" s="36">
        <v>632.59</v>
      </c>
      <c r="L1571" s="36">
        <f t="shared" si="120"/>
        <v>-2444.33</v>
      </c>
      <c r="M1571" s="37">
        <f t="shared" si="121"/>
        <v>-0.79440804440804436</v>
      </c>
      <c r="N1571" s="17" t="str">
        <f t="shared" si="122"/>
        <v>Under Budget</v>
      </c>
      <c r="O1571" s="38">
        <f t="shared" si="123"/>
        <v>-632.59</v>
      </c>
      <c r="P1571" s="39">
        <f t="shared" si="124"/>
        <v>46174</v>
      </c>
    </row>
    <row r="1572" spans="1:16" ht="15.5" x14ac:dyDescent="0.35">
      <c r="A1572" s="17" t="s">
        <v>1620</v>
      </c>
      <c r="B1572" s="35">
        <v>45934</v>
      </c>
      <c r="C1572" s="17" t="s">
        <v>25</v>
      </c>
      <c r="D1572" s="17" t="s">
        <v>19</v>
      </c>
      <c r="E1572" s="17" t="s">
        <v>27</v>
      </c>
      <c r="F1572" s="17" t="s">
        <v>52</v>
      </c>
      <c r="G1572" s="17" t="s">
        <v>22</v>
      </c>
      <c r="H1572" s="17" t="s">
        <v>2589</v>
      </c>
      <c r="I1572" s="17" t="s">
        <v>48</v>
      </c>
      <c r="J1572" s="36">
        <v>4705.88</v>
      </c>
      <c r="K1572" s="36">
        <v>2867.98</v>
      </c>
      <c r="L1572" s="36">
        <f t="shared" si="120"/>
        <v>-1837.9</v>
      </c>
      <c r="M1572" s="37">
        <f t="shared" si="121"/>
        <v>-0.39055394527697262</v>
      </c>
      <c r="N1572" s="17" t="str">
        <f t="shared" si="122"/>
        <v>Under Budget</v>
      </c>
      <c r="O1572" s="38">
        <f t="shared" si="123"/>
        <v>2867.98</v>
      </c>
      <c r="P1572" s="39">
        <f t="shared" si="124"/>
        <v>45931</v>
      </c>
    </row>
    <row r="1573" spans="1:16" ht="15.5" x14ac:dyDescent="0.35">
      <c r="A1573" s="17" t="s">
        <v>1621</v>
      </c>
      <c r="B1573" s="35">
        <v>45867</v>
      </c>
      <c r="C1573" s="17" t="s">
        <v>12</v>
      </c>
      <c r="D1573" s="17" t="s">
        <v>19</v>
      </c>
      <c r="E1573" s="17" t="s">
        <v>41</v>
      </c>
      <c r="F1573" s="17" t="s">
        <v>52</v>
      </c>
      <c r="G1573" s="17" t="s">
        <v>43</v>
      </c>
      <c r="H1573" s="17" t="s">
        <v>60</v>
      </c>
      <c r="I1573" s="17" t="s">
        <v>48</v>
      </c>
      <c r="J1573" s="36">
        <v>5909.09</v>
      </c>
      <c r="K1573" s="36">
        <v>8476.08</v>
      </c>
      <c r="L1573" s="36">
        <f t="shared" si="120"/>
        <v>2566.9899999999998</v>
      </c>
      <c r="M1573" s="37">
        <f t="shared" si="121"/>
        <v>0.43441375914057828</v>
      </c>
      <c r="N1573" s="17" t="str">
        <f t="shared" si="122"/>
        <v>Over Budget</v>
      </c>
      <c r="O1573" s="38">
        <f t="shared" si="123"/>
        <v>-8476.08</v>
      </c>
      <c r="P1573" s="39">
        <f t="shared" si="124"/>
        <v>45839</v>
      </c>
    </row>
    <row r="1574" spans="1:16" ht="15.5" x14ac:dyDescent="0.35">
      <c r="A1574" s="17" t="s">
        <v>1622</v>
      </c>
      <c r="B1574" s="35">
        <v>46045</v>
      </c>
      <c r="C1574" s="17" t="s">
        <v>12</v>
      </c>
      <c r="D1574" s="17" t="s">
        <v>2584</v>
      </c>
      <c r="E1574" s="17" t="s">
        <v>65</v>
      </c>
      <c r="F1574" s="17" t="s">
        <v>52</v>
      </c>
      <c r="G1574" s="17" t="s">
        <v>43</v>
      </c>
      <c r="H1574" s="17" t="s">
        <v>2590</v>
      </c>
      <c r="I1574" s="17" t="s">
        <v>17</v>
      </c>
      <c r="J1574" s="36">
        <v>7621.43</v>
      </c>
      <c r="K1574" s="36">
        <v>1690.84</v>
      </c>
      <c r="L1574" s="36">
        <f t="shared" si="120"/>
        <v>-5930.59</v>
      </c>
      <c r="M1574" s="37">
        <f t="shared" si="121"/>
        <v>-0.77814662077851526</v>
      </c>
      <c r="N1574" s="17" t="str">
        <f t="shared" si="122"/>
        <v>Under Budget</v>
      </c>
      <c r="O1574" s="38">
        <f t="shared" si="123"/>
        <v>-1690.84</v>
      </c>
      <c r="P1574" s="39">
        <f t="shared" si="124"/>
        <v>46023</v>
      </c>
    </row>
    <row r="1575" spans="1:16" ht="15.5" x14ac:dyDescent="0.35">
      <c r="A1575" s="17" t="s">
        <v>1623</v>
      </c>
      <c r="B1575" s="35">
        <v>45876</v>
      </c>
      <c r="C1575" s="17" t="s">
        <v>25</v>
      </c>
      <c r="D1575" s="17" t="s">
        <v>32</v>
      </c>
      <c r="E1575" s="17" t="s">
        <v>33</v>
      </c>
      <c r="F1575" s="17" t="s">
        <v>21</v>
      </c>
      <c r="G1575" s="17" t="s">
        <v>43</v>
      </c>
      <c r="H1575" s="17" t="s">
        <v>2592</v>
      </c>
      <c r="I1575" s="17" t="s">
        <v>30</v>
      </c>
      <c r="J1575" s="36">
        <v>10416.67</v>
      </c>
      <c r="K1575" s="36">
        <v>12805.03</v>
      </c>
      <c r="L1575" s="36">
        <f t="shared" si="120"/>
        <v>2388.3600000000006</v>
      </c>
      <c r="M1575" s="37">
        <f t="shared" si="121"/>
        <v>0.22928248662960432</v>
      </c>
      <c r="N1575" s="17" t="str">
        <f t="shared" si="122"/>
        <v>Over Budget</v>
      </c>
      <c r="O1575" s="38">
        <f t="shared" si="123"/>
        <v>12805.03</v>
      </c>
      <c r="P1575" s="39">
        <f t="shared" si="124"/>
        <v>45870</v>
      </c>
    </row>
    <row r="1576" spans="1:16" ht="15.5" x14ac:dyDescent="0.35">
      <c r="A1576" s="17" t="s">
        <v>1624</v>
      </c>
      <c r="B1576" s="35">
        <v>45834</v>
      </c>
      <c r="C1576" s="17" t="s">
        <v>12</v>
      </c>
      <c r="D1576" s="17" t="s">
        <v>13</v>
      </c>
      <c r="E1576" s="17" t="s">
        <v>77</v>
      </c>
      <c r="F1576" s="17" t="s">
        <v>28</v>
      </c>
      <c r="G1576" s="17" t="s">
        <v>43</v>
      </c>
      <c r="H1576" s="17" t="s">
        <v>2586</v>
      </c>
      <c r="I1576" s="17" t="s">
        <v>48</v>
      </c>
      <c r="J1576" s="36">
        <v>3666.67</v>
      </c>
      <c r="K1576" s="36">
        <v>3836.15</v>
      </c>
      <c r="L1576" s="36">
        <f t="shared" si="120"/>
        <v>169.48000000000002</v>
      </c>
      <c r="M1576" s="37">
        <f t="shared" si="121"/>
        <v>4.6221776162021673E-2</v>
      </c>
      <c r="N1576" s="17" t="str">
        <f t="shared" si="122"/>
        <v>Over Budget</v>
      </c>
      <c r="O1576" s="38">
        <f t="shared" si="123"/>
        <v>-3836.15</v>
      </c>
      <c r="P1576" s="39">
        <f t="shared" si="124"/>
        <v>45809</v>
      </c>
    </row>
    <row r="1577" spans="1:16" ht="15.5" x14ac:dyDescent="0.35">
      <c r="A1577" s="17" t="s">
        <v>1625</v>
      </c>
      <c r="B1577" s="35">
        <v>45828</v>
      </c>
      <c r="C1577" s="17" t="s">
        <v>12</v>
      </c>
      <c r="D1577" s="17" t="s">
        <v>36</v>
      </c>
      <c r="E1577" s="17" t="s">
        <v>74</v>
      </c>
      <c r="F1577" s="17" t="s">
        <v>21</v>
      </c>
      <c r="G1577" s="17" t="s">
        <v>43</v>
      </c>
      <c r="H1577" s="17" t="s">
        <v>2586</v>
      </c>
      <c r="I1577" s="17" t="s">
        <v>30</v>
      </c>
      <c r="J1577" s="36">
        <v>6666.67</v>
      </c>
      <c r="K1577" s="36">
        <v>1343.97</v>
      </c>
      <c r="L1577" s="36">
        <f t="shared" si="120"/>
        <v>-5322.7</v>
      </c>
      <c r="M1577" s="37">
        <f t="shared" si="121"/>
        <v>-0.79840460079769959</v>
      </c>
      <c r="N1577" s="17" t="str">
        <f t="shared" si="122"/>
        <v>Under Budget</v>
      </c>
      <c r="O1577" s="38">
        <f t="shared" si="123"/>
        <v>-1343.97</v>
      </c>
      <c r="P1577" s="39">
        <f t="shared" si="124"/>
        <v>45809</v>
      </c>
    </row>
    <row r="1578" spans="1:16" ht="15.5" x14ac:dyDescent="0.35">
      <c r="A1578" s="17" t="s">
        <v>1626</v>
      </c>
      <c r="B1578" s="35">
        <v>45743</v>
      </c>
      <c r="C1578" s="17" t="s">
        <v>12</v>
      </c>
      <c r="D1578" s="17" t="s">
        <v>36</v>
      </c>
      <c r="E1578" s="17" t="s">
        <v>41</v>
      </c>
      <c r="F1578" s="17" t="s">
        <v>34</v>
      </c>
      <c r="G1578" s="17" t="s">
        <v>38</v>
      </c>
      <c r="H1578" s="17" t="s">
        <v>2589</v>
      </c>
      <c r="I1578" s="17" t="s">
        <v>30</v>
      </c>
      <c r="J1578" s="36">
        <v>5000</v>
      </c>
      <c r="K1578" s="36">
        <v>3701.7</v>
      </c>
      <c r="L1578" s="36">
        <f t="shared" si="120"/>
        <v>-1298.3000000000002</v>
      </c>
      <c r="M1578" s="37">
        <f t="shared" si="121"/>
        <v>-0.25966000000000006</v>
      </c>
      <c r="N1578" s="17" t="str">
        <f t="shared" si="122"/>
        <v>Under Budget</v>
      </c>
      <c r="O1578" s="38">
        <f t="shared" si="123"/>
        <v>-3701.7</v>
      </c>
      <c r="P1578" s="39">
        <f t="shared" si="124"/>
        <v>45717</v>
      </c>
    </row>
    <row r="1579" spans="1:16" ht="15.5" x14ac:dyDescent="0.35">
      <c r="A1579" s="17" t="s">
        <v>1627</v>
      </c>
      <c r="B1579" s="35">
        <v>45718</v>
      </c>
      <c r="C1579" s="17" t="s">
        <v>12</v>
      </c>
      <c r="D1579" s="17" t="s">
        <v>19</v>
      </c>
      <c r="E1579" s="17" t="s">
        <v>65</v>
      </c>
      <c r="F1579" s="17" t="s">
        <v>21</v>
      </c>
      <c r="G1579" s="17" t="s">
        <v>16</v>
      </c>
      <c r="H1579" s="17" t="s">
        <v>2588</v>
      </c>
      <c r="I1579" s="17" t="s">
        <v>39</v>
      </c>
      <c r="J1579" s="36">
        <v>3928.57</v>
      </c>
      <c r="K1579" s="36">
        <v>6582.85</v>
      </c>
      <c r="L1579" s="36">
        <f t="shared" si="120"/>
        <v>2654.28</v>
      </c>
      <c r="M1579" s="37">
        <f t="shared" si="121"/>
        <v>0.67563515477641989</v>
      </c>
      <c r="N1579" s="17" t="str">
        <f t="shared" si="122"/>
        <v>Over Budget</v>
      </c>
      <c r="O1579" s="38">
        <f t="shared" si="123"/>
        <v>-6582.85</v>
      </c>
      <c r="P1579" s="39">
        <f t="shared" si="124"/>
        <v>45717</v>
      </c>
    </row>
    <row r="1580" spans="1:16" ht="15.5" x14ac:dyDescent="0.35">
      <c r="A1580" s="17" t="s">
        <v>1628</v>
      </c>
      <c r="B1580" s="35">
        <v>45823</v>
      </c>
      <c r="C1580" s="17" t="s">
        <v>12</v>
      </c>
      <c r="D1580" s="17" t="s">
        <v>26</v>
      </c>
      <c r="E1580" s="17" t="s">
        <v>47</v>
      </c>
      <c r="F1580" s="17" t="s">
        <v>21</v>
      </c>
      <c r="G1580" s="17" t="s">
        <v>38</v>
      </c>
      <c r="H1580" s="17" t="s">
        <v>60</v>
      </c>
      <c r="I1580" s="17" t="s">
        <v>17</v>
      </c>
      <c r="J1580" s="36">
        <v>4375</v>
      </c>
      <c r="K1580" s="36">
        <v>1480.51</v>
      </c>
      <c r="L1580" s="36">
        <f t="shared" si="120"/>
        <v>-2894.49</v>
      </c>
      <c r="M1580" s="37">
        <f t="shared" si="121"/>
        <v>-0.66159771428571423</v>
      </c>
      <c r="N1580" s="17" t="str">
        <f t="shared" si="122"/>
        <v>Under Budget</v>
      </c>
      <c r="O1580" s="38">
        <f t="shared" si="123"/>
        <v>-1480.51</v>
      </c>
      <c r="P1580" s="39">
        <f t="shared" si="124"/>
        <v>45809</v>
      </c>
    </row>
    <row r="1581" spans="1:16" ht="15.5" x14ac:dyDescent="0.35">
      <c r="A1581" s="17" t="s">
        <v>1629</v>
      </c>
      <c r="B1581" s="35">
        <v>46088</v>
      </c>
      <c r="C1581" s="17" t="s">
        <v>12</v>
      </c>
      <c r="D1581" s="17" t="s">
        <v>13</v>
      </c>
      <c r="E1581" s="17" t="s">
        <v>45</v>
      </c>
      <c r="F1581" s="17" t="s">
        <v>21</v>
      </c>
      <c r="G1581" s="17" t="s">
        <v>22</v>
      </c>
      <c r="H1581" s="17" t="s">
        <v>60</v>
      </c>
      <c r="I1581" s="17" t="s">
        <v>48</v>
      </c>
      <c r="J1581" s="36">
        <v>7200</v>
      </c>
      <c r="K1581" s="36">
        <v>963.8</v>
      </c>
      <c r="L1581" s="36">
        <f t="shared" si="120"/>
        <v>-6236.2</v>
      </c>
      <c r="M1581" s="37">
        <f t="shared" si="121"/>
        <v>-0.8661388888888889</v>
      </c>
      <c r="N1581" s="17" t="str">
        <f t="shared" si="122"/>
        <v>Under Budget</v>
      </c>
      <c r="O1581" s="38">
        <f t="shared" si="123"/>
        <v>-963.8</v>
      </c>
      <c r="P1581" s="39">
        <f t="shared" si="124"/>
        <v>46082</v>
      </c>
    </row>
    <row r="1582" spans="1:16" ht="15.5" x14ac:dyDescent="0.35">
      <c r="A1582" s="17" t="s">
        <v>1630</v>
      </c>
      <c r="B1582" s="35">
        <v>46010</v>
      </c>
      <c r="C1582" s="17" t="s">
        <v>12</v>
      </c>
      <c r="D1582" s="17" t="s">
        <v>26</v>
      </c>
      <c r="E1582" s="17" t="s">
        <v>65</v>
      </c>
      <c r="F1582" s="17" t="s">
        <v>15</v>
      </c>
      <c r="G1582" s="17" t="s">
        <v>38</v>
      </c>
      <c r="H1582" s="17" t="s">
        <v>2588</v>
      </c>
      <c r="I1582" s="17" t="s">
        <v>48</v>
      </c>
      <c r="J1582" s="36">
        <v>4125</v>
      </c>
      <c r="K1582" s="36">
        <v>3913.09</v>
      </c>
      <c r="L1582" s="36">
        <f t="shared" si="120"/>
        <v>-211.90999999999985</v>
      </c>
      <c r="M1582" s="37">
        <f t="shared" si="121"/>
        <v>-5.1372121212121175E-2</v>
      </c>
      <c r="N1582" s="17" t="str">
        <f t="shared" si="122"/>
        <v>Under Budget</v>
      </c>
      <c r="O1582" s="38">
        <f t="shared" si="123"/>
        <v>-3913.09</v>
      </c>
      <c r="P1582" s="39">
        <f t="shared" si="124"/>
        <v>45992</v>
      </c>
    </row>
    <row r="1583" spans="1:16" ht="15.5" x14ac:dyDescent="0.35">
      <c r="A1583" s="17" t="s">
        <v>1631</v>
      </c>
      <c r="B1583" s="35">
        <v>45685</v>
      </c>
      <c r="C1583" s="17" t="s">
        <v>12</v>
      </c>
      <c r="D1583" s="17" t="s">
        <v>19</v>
      </c>
      <c r="E1583" s="17" t="s">
        <v>45</v>
      </c>
      <c r="F1583" s="17" t="s">
        <v>34</v>
      </c>
      <c r="G1583" s="17" t="s">
        <v>38</v>
      </c>
      <c r="H1583" s="17" t="s">
        <v>2593</v>
      </c>
      <c r="I1583" s="17" t="s">
        <v>48</v>
      </c>
      <c r="J1583" s="36">
        <v>7591.3</v>
      </c>
      <c r="K1583" s="36">
        <v>2579.64</v>
      </c>
      <c r="L1583" s="36">
        <f t="shared" si="120"/>
        <v>-5011.66</v>
      </c>
      <c r="M1583" s="37">
        <f t="shared" si="121"/>
        <v>-0.66018468510004868</v>
      </c>
      <c r="N1583" s="17" t="str">
        <f t="shared" si="122"/>
        <v>Under Budget</v>
      </c>
      <c r="O1583" s="38">
        <f t="shared" si="123"/>
        <v>-2579.64</v>
      </c>
      <c r="P1583" s="39">
        <f t="shared" si="124"/>
        <v>45658</v>
      </c>
    </row>
    <row r="1584" spans="1:16" ht="15.5" x14ac:dyDescent="0.35">
      <c r="A1584" s="17" t="s">
        <v>1632</v>
      </c>
      <c r="B1584" s="35">
        <v>45751</v>
      </c>
      <c r="C1584" s="17" t="s">
        <v>12</v>
      </c>
      <c r="D1584" s="17" t="s">
        <v>26</v>
      </c>
      <c r="E1584" s="17" t="s">
        <v>74</v>
      </c>
      <c r="F1584" s="17" t="s">
        <v>28</v>
      </c>
      <c r="G1584" s="17" t="s">
        <v>22</v>
      </c>
      <c r="H1584" s="17" t="s">
        <v>2593</v>
      </c>
      <c r="I1584" s="17" t="s">
        <v>39</v>
      </c>
      <c r="J1584" s="36">
        <v>5714.29</v>
      </c>
      <c r="K1584" s="36">
        <v>5725.95</v>
      </c>
      <c r="L1584" s="36">
        <f t="shared" si="120"/>
        <v>11.659999999999854</v>
      </c>
      <c r="M1584" s="37">
        <f t="shared" si="121"/>
        <v>2.0404984696261222E-3</v>
      </c>
      <c r="N1584" s="17" t="str">
        <f t="shared" si="122"/>
        <v>Over Budget</v>
      </c>
      <c r="O1584" s="38">
        <f t="shared" si="123"/>
        <v>-5725.95</v>
      </c>
      <c r="P1584" s="39">
        <f t="shared" si="124"/>
        <v>45748</v>
      </c>
    </row>
    <row r="1585" spans="1:16" ht="15.5" x14ac:dyDescent="0.35">
      <c r="A1585" s="17" t="s">
        <v>1633</v>
      </c>
      <c r="B1585" s="35">
        <v>45723</v>
      </c>
      <c r="C1585" s="17" t="s">
        <v>12</v>
      </c>
      <c r="D1585" s="17" t="s">
        <v>13</v>
      </c>
      <c r="E1585" s="17" t="s">
        <v>45</v>
      </c>
      <c r="F1585" s="17" t="s">
        <v>15</v>
      </c>
      <c r="G1585" s="17" t="s">
        <v>38</v>
      </c>
      <c r="H1585" s="17" t="s">
        <v>2593</v>
      </c>
      <c r="I1585" s="17" t="s">
        <v>30</v>
      </c>
      <c r="J1585" s="36">
        <v>6000</v>
      </c>
      <c r="K1585" s="36">
        <v>7965.8</v>
      </c>
      <c r="L1585" s="36">
        <f t="shared" si="120"/>
        <v>1965.8000000000002</v>
      </c>
      <c r="M1585" s="37">
        <f t="shared" si="121"/>
        <v>0.32763333333333339</v>
      </c>
      <c r="N1585" s="17" t="str">
        <f t="shared" si="122"/>
        <v>Over Budget</v>
      </c>
      <c r="O1585" s="38">
        <f t="shared" si="123"/>
        <v>-7965.8</v>
      </c>
      <c r="P1585" s="39">
        <f t="shared" si="124"/>
        <v>45717</v>
      </c>
    </row>
    <row r="1586" spans="1:16" ht="15.5" x14ac:dyDescent="0.35">
      <c r="A1586" s="17" t="s">
        <v>1634</v>
      </c>
      <c r="B1586" s="35">
        <v>45846</v>
      </c>
      <c r="C1586" s="17" t="s">
        <v>12</v>
      </c>
      <c r="D1586" s="17" t="s">
        <v>36</v>
      </c>
      <c r="E1586" s="17" t="s">
        <v>65</v>
      </c>
      <c r="F1586" s="17" t="s">
        <v>34</v>
      </c>
      <c r="G1586" s="17" t="s">
        <v>38</v>
      </c>
      <c r="H1586" s="17" t="s">
        <v>2593</v>
      </c>
      <c r="I1586" s="17" t="s">
        <v>39</v>
      </c>
      <c r="J1586" s="36">
        <v>3437.5</v>
      </c>
      <c r="K1586" s="36">
        <v>1117.25</v>
      </c>
      <c r="L1586" s="36">
        <f t="shared" si="120"/>
        <v>-2320.25</v>
      </c>
      <c r="M1586" s="37">
        <f t="shared" si="121"/>
        <v>-0.67498181818181813</v>
      </c>
      <c r="N1586" s="17" t="str">
        <f t="shared" si="122"/>
        <v>Under Budget</v>
      </c>
      <c r="O1586" s="38">
        <f t="shared" si="123"/>
        <v>-1117.25</v>
      </c>
      <c r="P1586" s="39">
        <f t="shared" si="124"/>
        <v>45839</v>
      </c>
    </row>
    <row r="1587" spans="1:16" ht="15.5" x14ac:dyDescent="0.35">
      <c r="A1587" s="17" t="s">
        <v>1635</v>
      </c>
      <c r="B1587" s="35">
        <v>46022</v>
      </c>
      <c r="C1587" s="17" t="s">
        <v>25</v>
      </c>
      <c r="D1587" s="17" t="s">
        <v>32</v>
      </c>
      <c r="E1587" s="17" t="s">
        <v>33</v>
      </c>
      <c r="F1587" s="17" t="s">
        <v>34</v>
      </c>
      <c r="G1587" s="17" t="s">
        <v>16</v>
      </c>
      <c r="H1587" s="17" t="s">
        <v>60</v>
      </c>
      <c r="I1587" s="17" t="s">
        <v>23</v>
      </c>
      <c r="J1587" s="36">
        <v>15441.18</v>
      </c>
      <c r="K1587" s="36">
        <v>3335.32</v>
      </c>
      <c r="L1587" s="36">
        <f t="shared" si="120"/>
        <v>-12105.86</v>
      </c>
      <c r="M1587" s="37">
        <f t="shared" si="121"/>
        <v>-0.78399837318132426</v>
      </c>
      <c r="N1587" s="17" t="str">
        <f t="shared" si="122"/>
        <v>Under Budget</v>
      </c>
      <c r="O1587" s="38">
        <f t="shared" si="123"/>
        <v>3335.32</v>
      </c>
      <c r="P1587" s="39">
        <f t="shared" si="124"/>
        <v>45992</v>
      </c>
    </row>
    <row r="1588" spans="1:16" ht="15.5" x14ac:dyDescent="0.35">
      <c r="A1588" s="17" t="s">
        <v>1636</v>
      </c>
      <c r="B1588" s="35">
        <v>45730</v>
      </c>
      <c r="C1588" s="17" t="s">
        <v>12</v>
      </c>
      <c r="D1588" s="17" t="s">
        <v>2585</v>
      </c>
      <c r="E1588" s="17" t="s">
        <v>65</v>
      </c>
      <c r="F1588" s="17" t="s">
        <v>28</v>
      </c>
      <c r="G1588" s="17" t="s">
        <v>22</v>
      </c>
      <c r="H1588" s="17" t="s">
        <v>2593</v>
      </c>
      <c r="I1588" s="17" t="s">
        <v>30</v>
      </c>
      <c r="J1588" s="36">
        <v>3928.57</v>
      </c>
      <c r="K1588" s="36">
        <v>8423.94</v>
      </c>
      <c r="L1588" s="36">
        <f t="shared" si="120"/>
        <v>4495.3700000000008</v>
      </c>
      <c r="M1588" s="37">
        <f t="shared" si="121"/>
        <v>1.144276416100515</v>
      </c>
      <c r="N1588" s="17" t="str">
        <f t="shared" si="122"/>
        <v>Over Budget</v>
      </c>
      <c r="O1588" s="38">
        <f t="shared" si="123"/>
        <v>-8423.94</v>
      </c>
      <c r="P1588" s="39">
        <f t="shared" si="124"/>
        <v>45717</v>
      </c>
    </row>
    <row r="1589" spans="1:16" ht="15.5" x14ac:dyDescent="0.35">
      <c r="A1589" s="17" t="s">
        <v>1637</v>
      </c>
      <c r="B1589" s="35">
        <v>45782</v>
      </c>
      <c r="C1589" s="17" t="s">
        <v>12</v>
      </c>
      <c r="D1589" s="17" t="s">
        <v>2585</v>
      </c>
      <c r="E1589" s="17" t="s">
        <v>51</v>
      </c>
      <c r="F1589" s="17" t="s">
        <v>21</v>
      </c>
      <c r="G1589" s="17" t="s">
        <v>43</v>
      </c>
      <c r="H1589" s="17" t="s">
        <v>2591</v>
      </c>
      <c r="I1589" s="17" t="s">
        <v>39</v>
      </c>
      <c r="J1589" s="36">
        <v>2307.69</v>
      </c>
      <c r="K1589" s="36">
        <v>4520.47</v>
      </c>
      <c r="L1589" s="36">
        <f t="shared" si="120"/>
        <v>2212.7800000000002</v>
      </c>
      <c r="M1589" s="37">
        <f t="shared" si="121"/>
        <v>0.95887229220562564</v>
      </c>
      <c r="N1589" s="17" t="str">
        <f t="shared" si="122"/>
        <v>Over Budget</v>
      </c>
      <c r="O1589" s="38">
        <f t="shared" si="123"/>
        <v>-4520.47</v>
      </c>
      <c r="P1589" s="39">
        <f t="shared" si="124"/>
        <v>45778</v>
      </c>
    </row>
    <row r="1590" spans="1:16" ht="15.5" x14ac:dyDescent="0.35">
      <c r="A1590" s="17" t="s">
        <v>1638</v>
      </c>
      <c r="B1590" s="35">
        <v>45887</v>
      </c>
      <c r="C1590" s="17" t="s">
        <v>12</v>
      </c>
      <c r="D1590" s="17" t="s">
        <v>36</v>
      </c>
      <c r="E1590" s="17" t="s">
        <v>45</v>
      </c>
      <c r="F1590" s="17" t="s">
        <v>52</v>
      </c>
      <c r="G1590" s="17" t="s">
        <v>43</v>
      </c>
      <c r="H1590" s="17" t="s">
        <v>2594</v>
      </c>
      <c r="I1590" s="17" t="s">
        <v>23</v>
      </c>
      <c r="J1590" s="36">
        <v>8181.82</v>
      </c>
      <c r="K1590" s="36">
        <v>6736.79</v>
      </c>
      <c r="L1590" s="36">
        <f t="shared" si="120"/>
        <v>-1445.0299999999997</v>
      </c>
      <c r="M1590" s="37">
        <f t="shared" si="121"/>
        <v>-0.17661473853005807</v>
      </c>
      <c r="N1590" s="17" t="str">
        <f t="shared" si="122"/>
        <v>Under Budget</v>
      </c>
      <c r="O1590" s="38">
        <f t="shared" si="123"/>
        <v>-6736.79</v>
      </c>
      <c r="P1590" s="39">
        <f t="shared" si="124"/>
        <v>45870</v>
      </c>
    </row>
    <row r="1591" spans="1:16" ht="15.5" x14ac:dyDescent="0.35">
      <c r="A1591" s="17" t="s">
        <v>1639</v>
      </c>
      <c r="B1591" s="35">
        <v>46134</v>
      </c>
      <c r="C1591" s="17" t="s">
        <v>12</v>
      </c>
      <c r="D1591" s="17" t="s">
        <v>26</v>
      </c>
      <c r="E1591" s="17" t="s">
        <v>45</v>
      </c>
      <c r="F1591" s="17" t="s">
        <v>21</v>
      </c>
      <c r="G1591" s="17" t="s">
        <v>38</v>
      </c>
      <c r="H1591" s="17" t="s">
        <v>2592</v>
      </c>
      <c r="I1591" s="17" t="s">
        <v>23</v>
      </c>
      <c r="J1591" s="36">
        <v>8571.43</v>
      </c>
      <c r="K1591" s="36">
        <v>9773.7000000000007</v>
      </c>
      <c r="L1591" s="36">
        <f t="shared" si="120"/>
        <v>1202.2700000000004</v>
      </c>
      <c r="M1591" s="37">
        <f t="shared" si="121"/>
        <v>0.14026480995586504</v>
      </c>
      <c r="N1591" s="17" t="str">
        <f t="shared" si="122"/>
        <v>Over Budget</v>
      </c>
      <c r="O1591" s="38">
        <f t="shared" si="123"/>
        <v>-9773.7000000000007</v>
      </c>
      <c r="P1591" s="39">
        <f t="shared" si="124"/>
        <v>46113</v>
      </c>
    </row>
    <row r="1592" spans="1:16" ht="15.5" x14ac:dyDescent="0.35">
      <c r="A1592" s="17" t="s">
        <v>1640</v>
      </c>
      <c r="B1592" s="35">
        <v>46105</v>
      </c>
      <c r="C1592" s="17" t="s">
        <v>25</v>
      </c>
      <c r="D1592" s="17" t="s">
        <v>19</v>
      </c>
      <c r="E1592" s="17" t="s">
        <v>33</v>
      </c>
      <c r="F1592" s="17" t="s">
        <v>52</v>
      </c>
      <c r="G1592" s="17" t="s">
        <v>82</v>
      </c>
      <c r="H1592" s="17" t="s">
        <v>2589</v>
      </c>
      <c r="I1592" s="17" t="s">
        <v>39</v>
      </c>
      <c r="J1592" s="36">
        <v>11363.64</v>
      </c>
      <c r="K1592" s="36">
        <v>2771.68</v>
      </c>
      <c r="L1592" s="36">
        <f t="shared" si="120"/>
        <v>-8591.9599999999991</v>
      </c>
      <c r="M1592" s="37">
        <f t="shared" si="121"/>
        <v>-0.75609223805048376</v>
      </c>
      <c r="N1592" s="17" t="str">
        <f t="shared" si="122"/>
        <v>Under Budget</v>
      </c>
      <c r="O1592" s="38">
        <f t="shared" si="123"/>
        <v>2771.68</v>
      </c>
      <c r="P1592" s="39">
        <f t="shared" si="124"/>
        <v>46082</v>
      </c>
    </row>
    <row r="1593" spans="1:16" ht="15.5" x14ac:dyDescent="0.35">
      <c r="A1593" s="17" t="s">
        <v>1641</v>
      </c>
      <c r="B1593" s="35">
        <v>45866</v>
      </c>
      <c r="C1593" s="17" t="s">
        <v>12</v>
      </c>
      <c r="D1593" s="17" t="s">
        <v>36</v>
      </c>
      <c r="E1593" s="17" t="s">
        <v>74</v>
      </c>
      <c r="F1593" s="17" t="s">
        <v>15</v>
      </c>
      <c r="G1593" s="17" t="s">
        <v>16</v>
      </c>
      <c r="H1593" s="17" t="s">
        <v>2590</v>
      </c>
      <c r="I1593" s="17" t="s">
        <v>30</v>
      </c>
      <c r="J1593" s="36">
        <v>3333.33</v>
      </c>
      <c r="K1593" s="36">
        <v>1575.71</v>
      </c>
      <c r="L1593" s="36">
        <f t="shared" si="120"/>
        <v>-1757.62</v>
      </c>
      <c r="M1593" s="37">
        <f t="shared" si="121"/>
        <v>-0.52728652728652725</v>
      </c>
      <c r="N1593" s="17" t="str">
        <f t="shared" si="122"/>
        <v>Under Budget</v>
      </c>
      <c r="O1593" s="38">
        <f t="shared" si="123"/>
        <v>-1575.71</v>
      </c>
      <c r="P1593" s="39">
        <f t="shared" si="124"/>
        <v>45839</v>
      </c>
    </row>
    <row r="1594" spans="1:16" ht="15.5" x14ac:dyDescent="0.35">
      <c r="A1594" s="17" t="s">
        <v>1642</v>
      </c>
      <c r="B1594" s="35">
        <v>46019</v>
      </c>
      <c r="C1594" s="17" t="s">
        <v>12</v>
      </c>
      <c r="D1594" s="17" t="s">
        <v>13</v>
      </c>
      <c r="E1594" s="17" t="s">
        <v>65</v>
      </c>
      <c r="F1594" s="17" t="s">
        <v>52</v>
      </c>
      <c r="G1594" s="17" t="s">
        <v>38</v>
      </c>
      <c r="H1594" s="17" t="s">
        <v>2589</v>
      </c>
      <c r="I1594" s="17" t="s">
        <v>39</v>
      </c>
      <c r="J1594" s="36">
        <v>4125</v>
      </c>
      <c r="K1594" s="36">
        <v>7979.86</v>
      </c>
      <c r="L1594" s="36">
        <f t="shared" si="120"/>
        <v>3854.8599999999997</v>
      </c>
      <c r="M1594" s="37">
        <f t="shared" si="121"/>
        <v>0.93451151515151509</v>
      </c>
      <c r="N1594" s="17" t="str">
        <f t="shared" si="122"/>
        <v>Over Budget</v>
      </c>
      <c r="O1594" s="38">
        <f t="shared" si="123"/>
        <v>-7979.86</v>
      </c>
      <c r="P1594" s="39">
        <f t="shared" si="124"/>
        <v>45992</v>
      </c>
    </row>
    <row r="1595" spans="1:16" ht="15.5" x14ac:dyDescent="0.35">
      <c r="A1595" s="17" t="s">
        <v>1643</v>
      </c>
      <c r="B1595" s="35">
        <v>46126</v>
      </c>
      <c r="C1595" s="17" t="s">
        <v>25</v>
      </c>
      <c r="D1595" s="17" t="s">
        <v>2583</v>
      </c>
      <c r="E1595" s="17" t="s">
        <v>27</v>
      </c>
      <c r="F1595" s="17" t="s">
        <v>28</v>
      </c>
      <c r="G1595" s="17" t="s">
        <v>82</v>
      </c>
      <c r="H1595" s="17" t="s">
        <v>2596</v>
      </c>
      <c r="I1595" s="17" t="s">
        <v>23</v>
      </c>
      <c r="J1595" s="36">
        <v>20000</v>
      </c>
      <c r="K1595" s="36">
        <v>3309.19</v>
      </c>
      <c r="L1595" s="36">
        <f t="shared" si="120"/>
        <v>-16690.810000000001</v>
      </c>
      <c r="M1595" s="37">
        <f t="shared" si="121"/>
        <v>-0.83454050000000002</v>
      </c>
      <c r="N1595" s="17" t="str">
        <f t="shared" si="122"/>
        <v>Under Budget</v>
      </c>
      <c r="O1595" s="38">
        <f t="shared" si="123"/>
        <v>3309.19</v>
      </c>
      <c r="P1595" s="39">
        <f t="shared" si="124"/>
        <v>46113</v>
      </c>
    </row>
    <row r="1596" spans="1:16" ht="15.5" x14ac:dyDescent="0.35">
      <c r="A1596" s="17" t="s">
        <v>1644</v>
      </c>
      <c r="B1596" s="35">
        <v>45974</v>
      </c>
      <c r="C1596" s="17" t="s">
        <v>25</v>
      </c>
      <c r="D1596" s="17" t="s">
        <v>2585</v>
      </c>
      <c r="E1596" s="17" t="s">
        <v>27</v>
      </c>
      <c r="F1596" s="17" t="s">
        <v>28</v>
      </c>
      <c r="G1596" s="17" t="s">
        <v>38</v>
      </c>
      <c r="H1596" s="17" t="s">
        <v>2588</v>
      </c>
      <c r="I1596" s="17" t="s">
        <v>48</v>
      </c>
      <c r="J1596" s="36">
        <v>8400</v>
      </c>
      <c r="K1596" s="36">
        <v>1947.17</v>
      </c>
      <c r="L1596" s="36">
        <f t="shared" si="120"/>
        <v>-6452.83</v>
      </c>
      <c r="M1596" s="37">
        <f t="shared" si="121"/>
        <v>-0.76819404761904764</v>
      </c>
      <c r="N1596" s="17" t="str">
        <f t="shared" si="122"/>
        <v>Under Budget</v>
      </c>
      <c r="O1596" s="38">
        <f t="shared" si="123"/>
        <v>1947.17</v>
      </c>
      <c r="P1596" s="39">
        <f t="shared" si="124"/>
        <v>45962</v>
      </c>
    </row>
    <row r="1597" spans="1:16" ht="15.5" x14ac:dyDescent="0.35">
      <c r="A1597" s="17" t="s">
        <v>1645</v>
      </c>
      <c r="B1597" s="35">
        <v>45900</v>
      </c>
      <c r="C1597" s="17" t="s">
        <v>12</v>
      </c>
      <c r="D1597" s="17" t="s">
        <v>13</v>
      </c>
      <c r="E1597" s="17" t="s">
        <v>20</v>
      </c>
      <c r="F1597" s="17" t="s">
        <v>52</v>
      </c>
      <c r="G1597" s="17" t="s">
        <v>38</v>
      </c>
      <c r="H1597" s="17" t="s">
        <v>2596</v>
      </c>
      <c r="I1597" s="17" t="s">
        <v>48</v>
      </c>
      <c r="J1597" s="36">
        <v>3000</v>
      </c>
      <c r="K1597" s="36">
        <v>851.26</v>
      </c>
      <c r="L1597" s="36">
        <f t="shared" si="120"/>
        <v>-2148.7399999999998</v>
      </c>
      <c r="M1597" s="37">
        <f t="shared" si="121"/>
        <v>-0.71624666666666659</v>
      </c>
      <c r="N1597" s="17" t="str">
        <f t="shared" si="122"/>
        <v>Under Budget</v>
      </c>
      <c r="O1597" s="38">
        <f t="shared" si="123"/>
        <v>-851.26</v>
      </c>
      <c r="P1597" s="39">
        <f t="shared" si="124"/>
        <v>45870</v>
      </c>
    </row>
    <row r="1598" spans="1:16" ht="15.5" x14ac:dyDescent="0.35">
      <c r="A1598" s="17" t="s">
        <v>1646</v>
      </c>
      <c r="B1598" s="35">
        <v>45815</v>
      </c>
      <c r="C1598" s="17" t="s">
        <v>25</v>
      </c>
      <c r="D1598" s="17" t="s">
        <v>32</v>
      </c>
      <c r="E1598" s="17" t="s">
        <v>109</v>
      </c>
      <c r="F1598" s="17" t="s">
        <v>52</v>
      </c>
      <c r="G1598" s="17" t="s">
        <v>22</v>
      </c>
      <c r="H1598" s="17" t="s">
        <v>2592</v>
      </c>
      <c r="I1598" s="17" t="s">
        <v>23</v>
      </c>
      <c r="J1598" s="36">
        <v>6250</v>
      </c>
      <c r="K1598" s="36">
        <v>12669.73</v>
      </c>
      <c r="L1598" s="36">
        <f t="shared" si="120"/>
        <v>6419.73</v>
      </c>
      <c r="M1598" s="37">
        <f t="shared" si="121"/>
        <v>1.0271568</v>
      </c>
      <c r="N1598" s="17" t="str">
        <f t="shared" si="122"/>
        <v>Over Budget</v>
      </c>
      <c r="O1598" s="38">
        <f t="shared" si="123"/>
        <v>12669.73</v>
      </c>
      <c r="P1598" s="39">
        <f t="shared" si="124"/>
        <v>45809</v>
      </c>
    </row>
    <row r="1599" spans="1:16" ht="15.5" x14ac:dyDescent="0.35">
      <c r="A1599" s="17" t="s">
        <v>1647</v>
      </c>
      <c r="B1599" s="35">
        <v>46139</v>
      </c>
      <c r="C1599" s="17" t="s">
        <v>25</v>
      </c>
      <c r="D1599" s="17" t="s">
        <v>2585</v>
      </c>
      <c r="E1599" s="17" t="s">
        <v>33</v>
      </c>
      <c r="F1599" s="17" t="s">
        <v>21</v>
      </c>
      <c r="G1599" s="17" t="s">
        <v>22</v>
      </c>
      <c r="H1599" s="17" t="s">
        <v>2589</v>
      </c>
      <c r="I1599" s="17" t="s">
        <v>48</v>
      </c>
      <c r="J1599" s="36">
        <v>8333.33</v>
      </c>
      <c r="K1599" s="36">
        <v>2865.41</v>
      </c>
      <c r="L1599" s="36">
        <f t="shared" si="120"/>
        <v>-5467.92</v>
      </c>
      <c r="M1599" s="37">
        <f t="shared" si="121"/>
        <v>-0.65615066246026499</v>
      </c>
      <c r="N1599" s="17" t="str">
        <f t="shared" si="122"/>
        <v>Under Budget</v>
      </c>
      <c r="O1599" s="38">
        <f t="shared" si="123"/>
        <v>2865.41</v>
      </c>
      <c r="P1599" s="39">
        <f t="shared" si="124"/>
        <v>46113</v>
      </c>
    </row>
    <row r="1600" spans="1:16" ht="15.5" x14ac:dyDescent="0.35">
      <c r="A1600" s="17" t="s">
        <v>1648</v>
      </c>
      <c r="B1600" s="35">
        <v>46200</v>
      </c>
      <c r="C1600" s="17" t="s">
        <v>25</v>
      </c>
      <c r="D1600" s="17" t="s">
        <v>2585</v>
      </c>
      <c r="E1600" s="17" t="s">
        <v>109</v>
      </c>
      <c r="F1600" s="17" t="s">
        <v>52</v>
      </c>
      <c r="G1600" s="17" t="s">
        <v>43</v>
      </c>
      <c r="H1600" s="17" t="s">
        <v>2588</v>
      </c>
      <c r="I1600" s="17" t="s">
        <v>23</v>
      </c>
      <c r="J1600" s="36">
        <v>4761.8999999999996</v>
      </c>
      <c r="K1600" s="36">
        <v>14118.92</v>
      </c>
      <c r="L1600" s="36">
        <f t="shared" si="120"/>
        <v>9357.02</v>
      </c>
      <c r="M1600" s="37">
        <f t="shared" si="121"/>
        <v>1.9649761649761652</v>
      </c>
      <c r="N1600" s="17" t="str">
        <f t="shared" si="122"/>
        <v>Over Budget</v>
      </c>
      <c r="O1600" s="38">
        <f t="shared" si="123"/>
        <v>14118.92</v>
      </c>
      <c r="P1600" s="39">
        <f t="shared" si="124"/>
        <v>46174</v>
      </c>
    </row>
    <row r="1601" spans="1:16" ht="15.5" x14ac:dyDescent="0.35">
      <c r="A1601" s="17" t="s">
        <v>1649</v>
      </c>
      <c r="B1601" s="35">
        <v>45763</v>
      </c>
      <c r="C1601" s="17" t="s">
        <v>25</v>
      </c>
      <c r="D1601" s="17" t="s">
        <v>26</v>
      </c>
      <c r="E1601" s="17" t="s">
        <v>33</v>
      </c>
      <c r="F1601" s="17" t="s">
        <v>52</v>
      </c>
      <c r="G1601" s="17" t="s">
        <v>22</v>
      </c>
      <c r="H1601" s="17" t="s">
        <v>2595</v>
      </c>
      <c r="I1601" s="17" t="s">
        <v>39</v>
      </c>
      <c r="J1601" s="36">
        <v>11363.64</v>
      </c>
      <c r="K1601" s="36">
        <v>21909.29</v>
      </c>
      <c r="L1601" s="36">
        <f t="shared" si="120"/>
        <v>10545.650000000001</v>
      </c>
      <c r="M1601" s="37">
        <f t="shared" si="121"/>
        <v>0.92801690303459117</v>
      </c>
      <c r="N1601" s="17" t="str">
        <f t="shared" si="122"/>
        <v>Over Budget</v>
      </c>
      <c r="O1601" s="38">
        <f t="shared" si="123"/>
        <v>21909.29</v>
      </c>
      <c r="P1601" s="39">
        <f t="shared" si="124"/>
        <v>45748</v>
      </c>
    </row>
    <row r="1602" spans="1:16" ht="15.5" x14ac:dyDescent="0.35">
      <c r="A1602" s="17" t="s">
        <v>1650</v>
      </c>
      <c r="B1602" s="35">
        <v>45802</v>
      </c>
      <c r="C1602" s="17" t="s">
        <v>12</v>
      </c>
      <c r="D1602" s="17" t="s">
        <v>36</v>
      </c>
      <c r="E1602" s="17" t="s">
        <v>45</v>
      </c>
      <c r="F1602" s="17" t="s">
        <v>52</v>
      </c>
      <c r="G1602" s="17" t="s">
        <v>29</v>
      </c>
      <c r="H1602" s="17" t="s">
        <v>80</v>
      </c>
      <c r="I1602" s="17" t="s">
        <v>30</v>
      </c>
      <c r="J1602" s="36">
        <v>7200</v>
      </c>
      <c r="K1602" s="36">
        <v>11735.14</v>
      </c>
      <c r="L1602" s="36">
        <f t="shared" si="120"/>
        <v>4535.1399999999994</v>
      </c>
      <c r="M1602" s="37">
        <f t="shared" si="121"/>
        <v>0.62988055555555544</v>
      </c>
      <c r="N1602" s="17" t="str">
        <f t="shared" si="122"/>
        <v>Over Budget</v>
      </c>
      <c r="O1602" s="38">
        <f t="shared" si="123"/>
        <v>-11735.14</v>
      </c>
      <c r="P1602" s="39">
        <f t="shared" si="124"/>
        <v>45778</v>
      </c>
    </row>
    <row r="1603" spans="1:16" ht="15.5" x14ac:dyDescent="0.35">
      <c r="A1603" s="17" t="s">
        <v>1651</v>
      </c>
      <c r="B1603" s="35">
        <v>45949</v>
      </c>
      <c r="C1603" s="17" t="s">
        <v>25</v>
      </c>
      <c r="D1603" s="17" t="s">
        <v>26</v>
      </c>
      <c r="E1603" s="17" t="s">
        <v>109</v>
      </c>
      <c r="F1603" s="17" t="s">
        <v>52</v>
      </c>
      <c r="G1603" s="17" t="s">
        <v>38</v>
      </c>
      <c r="H1603" s="17" t="s">
        <v>60</v>
      </c>
      <c r="I1603" s="17" t="s">
        <v>48</v>
      </c>
      <c r="J1603" s="36">
        <v>7692.31</v>
      </c>
      <c r="K1603" s="36">
        <v>1123.07</v>
      </c>
      <c r="L1603" s="36">
        <f t="shared" ref="L1603:L1666" si="125">K1603-J1603</f>
        <v>-6569.2400000000007</v>
      </c>
      <c r="M1603" s="37">
        <f t="shared" ref="M1603:M1666" si="126">IF(J1603=0,0,L1603/J1603)</f>
        <v>-0.85400094379971692</v>
      </c>
      <c r="N1603" s="17" t="str">
        <f t="shared" ref="N1603:N1666" si="127">IF(J1603=0,"No Budget",IF(K1603&gt;J1603,"Over Budget",IF(K1603&lt;J1603,"Under Budget","On Budget")))</f>
        <v>Under Budget</v>
      </c>
      <c r="O1603" s="38">
        <f t="shared" ref="O1603:O1666" si="128">IF(C1603="Revenue",K1603,-K1603)</f>
        <v>1123.07</v>
      </c>
      <c r="P1603" s="39">
        <f t="shared" ref="P1603:P1666" si="129">DATE(YEAR(B1603),MONTH(B1603),1)</f>
        <v>45931</v>
      </c>
    </row>
    <row r="1604" spans="1:16" ht="15.5" x14ac:dyDescent="0.35">
      <c r="A1604" s="17" t="s">
        <v>1652</v>
      </c>
      <c r="B1604" s="35">
        <v>46145</v>
      </c>
      <c r="C1604" s="17" t="s">
        <v>12</v>
      </c>
      <c r="D1604" s="17" t="s">
        <v>2585</v>
      </c>
      <c r="E1604" s="17" t="s">
        <v>65</v>
      </c>
      <c r="F1604" s="17" t="s">
        <v>52</v>
      </c>
      <c r="G1604" s="17" t="s">
        <v>38</v>
      </c>
      <c r="H1604" s="17" t="s">
        <v>60</v>
      </c>
      <c r="I1604" s="17" t="s">
        <v>39</v>
      </c>
      <c r="J1604" s="36">
        <v>7857.14</v>
      </c>
      <c r="K1604" s="36">
        <v>1972.72</v>
      </c>
      <c r="L1604" s="36">
        <f t="shared" si="125"/>
        <v>-5884.42</v>
      </c>
      <c r="M1604" s="37">
        <f t="shared" si="126"/>
        <v>-0.74892645415507419</v>
      </c>
      <c r="N1604" s="17" t="str">
        <f t="shared" si="127"/>
        <v>Under Budget</v>
      </c>
      <c r="O1604" s="38">
        <f t="shared" si="128"/>
        <v>-1972.72</v>
      </c>
      <c r="P1604" s="39">
        <f t="shared" si="129"/>
        <v>46143</v>
      </c>
    </row>
    <row r="1605" spans="1:16" ht="15.5" x14ac:dyDescent="0.35">
      <c r="A1605" s="17" t="s">
        <v>1653</v>
      </c>
      <c r="B1605" s="35">
        <v>45944</v>
      </c>
      <c r="C1605" s="17" t="s">
        <v>12</v>
      </c>
      <c r="D1605" s="17" t="s">
        <v>36</v>
      </c>
      <c r="E1605" s="17" t="s">
        <v>14</v>
      </c>
      <c r="F1605" s="17" t="s">
        <v>52</v>
      </c>
      <c r="G1605" s="17" t="s">
        <v>38</v>
      </c>
      <c r="H1605" s="17" t="s">
        <v>2592</v>
      </c>
      <c r="I1605" s="17" t="s">
        <v>48</v>
      </c>
      <c r="J1605" s="36">
        <v>2666.67</v>
      </c>
      <c r="K1605" s="36">
        <v>5239.83</v>
      </c>
      <c r="L1605" s="36">
        <f t="shared" si="125"/>
        <v>2573.16</v>
      </c>
      <c r="M1605" s="37">
        <f t="shared" si="126"/>
        <v>0.96493379383275768</v>
      </c>
      <c r="N1605" s="17" t="str">
        <f t="shared" si="127"/>
        <v>Over Budget</v>
      </c>
      <c r="O1605" s="38">
        <f t="shared" si="128"/>
        <v>-5239.83</v>
      </c>
      <c r="P1605" s="39">
        <f t="shared" si="129"/>
        <v>45931</v>
      </c>
    </row>
    <row r="1606" spans="1:16" ht="15.5" x14ac:dyDescent="0.35">
      <c r="A1606" s="17" t="s">
        <v>1654</v>
      </c>
      <c r="B1606" s="35">
        <v>45734</v>
      </c>
      <c r="C1606" s="17" t="s">
        <v>25</v>
      </c>
      <c r="D1606" s="17" t="s">
        <v>32</v>
      </c>
      <c r="E1606" s="17" t="s">
        <v>33</v>
      </c>
      <c r="F1606" s="17" t="s">
        <v>28</v>
      </c>
      <c r="G1606" s="17" t="s">
        <v>22</v>
      </c>
      <c r="H1606" s="17" t="s">
        <v>2597</v>
      </c>
      <c r="I1606" s="17" t="s">
        <v>30</v>
      </c>
      <c r="J1606" s="36">
        <v>8064.52</v>
      </c>
      <c r="K1606" s="36">
        <v>23378.77</v>
      </c>
      <c r="L1606" s="36">
        <f t="shared" si="125"/>
        <v>15314.25</v>
      </c>
      <c r="M1606" s="37">
        <f t="shared" si="126"/>
        <v>1.8989660884962773</v>
      </c>
      <c r="N1606" s="17" t="str">
        <f t="shared" si="127"/>
        <v>Over Budget</v>
      </c>
      <c r="O1606" s="38">
        <f t="shared" si="128"/>
        <v>23378.77</v>
      </c>
      <c r="P1606" s="39">
        <f t="shared" si="129"/>
        <v>45717</v>
      </c>
    </row>
    <row r="1607" spans="1:16" ht="15.5" x14ac:dyDescent="0.35">
      <c r="A1607" s="17" t="s">
        <v>1655</v>
      </c>
      <c r="B1607" s="35">
        <v>46169</v>
      </c>
      <c r="C1607" s="17" t="s">
        <v>12</v>
      </c>
      <c r="D1607" s="17" t="s">
        <v>26</v>
      </c>
      <c r="E1607" s="17" t="s">
        <v>74</v>
      </c>
      <c r="F1607" s="17" t="s">
        <v>34</v>
      </c>
      <c r="G1607" s="17" t="s">
        <v>22</v>
      </c>
      <c r="H1607" s="17" t="s">
        <v>2588</v>
      </c>
      <c r="I1607" s="17" t="s">
        <v>30</v>
      </c>
      <c r="J1607" s="36">
        <v>5714.29</v>
      </c>
      <c r="K1607" s="36">
        <v>1200.08</v>
      </c>
      <c r="L1607" s="36">
        <f t="shared" si="125"/>
        <v>-4514.21</v>
      </c>
      <c r="M1607" s="37">
        <f t="shared" si="126"/>
        <v>-0.78998615751038193</v>
      </c>
      <c r="N1607" s="17" t="str">
        <f t="shared" si="127"/>
        <v>Under Budget</v>
      </c>
      <c r="O1607" s="38">
        <f t="shared" si="128"/>
        <v>-1200.08</v>
      </c>
      <c r="P1607" s="39">
        <f t="shared" si="129"/>
        <v>46143</v>
      </c>
    </row>
    <row r="1608" spans="1:16" ht="15.5" x14ac:dyDescent="0.35">
      <c r="A1608" s="17" t="s">
        <v>1656</v>
      </c>
      <c r="B1608" s="35">
        <v>45934</v>
      </c>
      <c r="C1608" s="17" t="s">
        <v>12</v>
      </c>
      <c r="D1608" s="17" t="s">
        <v>19</v>
      </c>
      <c r="E1608" s="17" t="s">
        <v>41</v>
      </c>
      <c r="F1608" s="17" t="s">
        <v>52</v>
      </c>
      <c r="G1608" s="17" t="s">
        <v>29</v>
      </c>
      <c r="H1608" s="17" t="s">
        <v>2597</v>
      </c>
      <c r="I1608" s="17" t="s">
        <v>39</v>
      </c>
      <c r="J1608" s="36">
        <v>9285.7099999999991</v>
      </c>
      <c r="K1608" s="36">
        <v>3884.75</v>
      </c>
      <c r="L1608" s="36">
        <f t="shared" si="125"/>
        <v>-5400.9599999999991</v>
      </c>
      <c r="M1608" s="37">
        <f t="shared" si="126"/>
        <v>-0.58164211460405291</v>
      </c>
      <c r="N1608" s="17" t="str">
        <f t="shared" si="127"/>
        <v>Under Budget</v>
      </c>
      <c r="O1608" s="38">
        <f t="shared" si="128"/>
        <v>-3884.75</v>
      </c>
      <c r="P1608" s="39">
        <f t="shared" si="129"/>
        <v>45931</v>
      </c>
    </row>
    <row r="1609" spans="1:16" ht="15.5" x14ac:dyDescent="0.35">
      <c r="A1609" s="17" t="s">
        <v>1657</v>
      </c>
      <c r="B1609" s="35">
        <v>45790</v>
      </c>
      <c r="C1609" s="17" t="s">
        <v>25</v>
      </c>
      <c r="D1609" s="17" t="s">
        <v>36</v>
      </c>
      <c r="E1609" s="17" t="s">
        <v>27</v>
      </c>
      <c r="F1609" s="17" t="s">
        <v>15</v>
      </c>
      <c r="G1609" s="17" t="s">
        <v>38</v>
      </c>
      <c r="H1609" s="17" t="s">
        <v>2597</v>
      </c>
      <c r="I1609" s="17" t="s">
        <v>23</v>
      </c>
      <c r="J1609" s="36">
        <v>10000</v>
      </c>
      <c r="K1609" s="36">
        <v>4566.78</v>
      </c>
      <c r="L1609" s="36">
        <f t="shared" si="125"/>
        <v>-5433.22</v>
      </c>
      <c r="M1609" s="37">
        <f t="shared" si="126"/>
        <v>-0.54332199999999997</v>
      </c>
      <c r="N1609" s="17" t="str">
        <f t="shared" si="127"/>
        <v>Under Budget</v>
      </c>
      <c r="O1609" s="38">
        <f t="shared" si="128"/>
        <v>4566.78</v>
      </c>
      <c r="P1609" s="39">
        <f t="shared" si="129"/>
        <v>45778</v>
      </c>
    </row>
    <row r="1610" spans="1:16" ht="15.5" x14ac:dyDescent="0.35">
      <c r="A1610" s="17" t="s">
        <v>1658</v>
      </c>
      <c r="B1610" s="35">
        <v>45727</v>
      </c>
      <c r="C1610" s="17" t="s">
        <v>12</v>
      </c>
      <c r="D1610" s="17" t="s">
        <v>13</v>
      </c>
      <c r="E1610" s="17" t="s">
        <v>65</v>
      </c>
      <c r="F1610" s="17" t="s">
        <v>52</v>
      </c>
      <c r="G1610" s="17" t="s">
        <v>82</v>
      </c>
      <c r="H1610" s="17" t="s">
        <v>2592</v>
      </c>
      <c r="I1610" s="17" t="s">
        <v>23</v>
      </c>
      <c r="J1610" s="36">
        <v>3928.57</v>
      </c>
      <c r="K1610" s="36">
        <v>1625.7</v>
      </c>
      <c r="L1610" s="36">
        <f t="shared" si="125"/>
        <v>-2302.87</v>
      </c>
      <c r="M1610" s="37">
        <f t="shared" si="126"/>
        <v>-0.58618530406738323</v>
      </c>
      <c r="N1610" s="17" t="str">
        <f t="shared" si="127"/>
        <v>Under Budget</v>
      </c>
      <c r="O1610" s="38">
        <f t="shared" si="128"/>
        <v>-1625.7</v>
      </c>
      <c r="P1610" s="39">
        <f t="shared" si="129"/>
        <v>45717</v>
      </c>
    </row>
    <row r="1611" spans="1:16" ht="15.5" x14ac:dyDescent="0.35">
      <c r="A1611" s="17" t="s">
        <v>1659</v>
      </c>
      <c r="B1611" s="35">
        <v>46060</v>
      </c>
      <c r="C1611" s="17" t="s">
        <v>12</v>
      </c>
      <c r="D1611" s="17" t="s">
        <v>26</v>
      </c>
      <c r="E1611" s="17" t="s">
        <v>20</v>
      </c>
      <c r="F1611" s="17" t="s">
        <v>52</v>
      </c>
      <c r="G1611" s="17" t="s">
        <v>43</v>
      </c>
      <c r="H1611" s="17" t="s">
        <v>2597</v>
      </c>
      <c r="I1611" s="17" t="s">
        <v>48</v>
      </c>
      <c r="J1611" s="36">
        <v>2182.5</v>
      </c>
      <c r="K1611" s="36">
        <v>1449.75</v>
      </c>
      <c r="L1611" s="36">
        <f t="shared" si="125"/>
        <v>-732.75</v>
      </c>
      <c r="M1611" s="37">
        <f t="shared" si="126"/>
        <v>-0.33573883161512025</v>
      </c>
      <c r="N1611" s="17" t="str">
        <f t="shared" si="127"/>
        <v>Under Budget</v>
      </c>
      <c r="O1611" s="38">
        <f t="shared" si="128"/>
        <v>-1449.75</v>
      </c>
      <c r="P1611" s="39">
        <f t="shared" si="129"/>
        <v>46054</v>
      </c>
    </row>
    <row r="1612" spans="1:16" ht="15.5" x14ac:dyDescent="0.35">
      <c r="A1612" s="17" t="s">
        <v>1660</v>
      </c>
      <c r="B1612" s="35">
        <v>45921</v>
      </c>
      <c r="C1612" s="17" t="s">
        <v>12</v>
      </c>
      <c r="D1612" s="17" t="s">
        <v>19</v>
      </c>
      <c r="E1612" s="17" t="s">
        <v>65</v>
      </c>
      <c r="F1612" s="17" t="s">
        <v>21</v>
      </c>
      <c r="G1612" s="17" t="s">
        <v>38</v>
      </c>
      <c r="H1612" s="17" t="s">
        <v>2587</v>
      </c>
      <c r="I1612" s="17" t="s">
        <v>23</v>
      </c>
      <c r="J1612" s="36">
        <v>6111.11</v>
      </c>
      <c r="K1612" s="36">
        <v>8295.61</v>
      </c>
      <c r="L1612" s="36">
        <f t="shared" si="125"/>
        <v>2184.5000000000009</v>
      </c>
      <c r="M1612" s="37">
        <f t="shared" si="126"/>
        <v>0.35746370135703676</v>
      </c>
      <c r="N1612" s="17" t="str">
        <f t="shared" si="127"/>
        <v>Over Budget</v>
      </c>
      <c r="O1612" s="38">
        <f t="shared" si="128"/>
        <v>-8295.61</v>
      </c>
      <c r="P1612" s="39">
        <f t="shared" si="129"/>
        <v>45901</v>
      </c>
    </row>
    <row r="1613" spans="1:16" ht="15.5" x14ac:dyDescent="0.35">
      <c r="A1613" s="17" t="s">
        <v>1661</v>
      </c>
      <c r="B1613" s="35">
        <v>46198</v>
      </c>
      <c r="C1613" s="17" t="s">
        <v>12</v>
      </c>
      <c r="D1613" s="17" t="s">
        <v>19</v>
      </c>
      <c r="E1613" s="17" t="s">
        <v>41</v>
      </c>
      <c r="F1613" s="17" t="s">
        <v>52</v>
      </c>
      <c r="G1613" s="17" t="s">
        <v>43</v>
      </c>
      <c r="H1613" s="17" t="s">
        <v>80</v>
      </c>
      <c r="I1613" s="17" t="s">
        <v>39</v>
      </c>
      <c r="J1613" s="36">
        <v>5416.67</v>
      </c>
      <c r="K1613" s="36">
        <v>5138.0200000000004</v>
      </c>
      <c r="L1613" s="36">
        <f t="shared" si="125"/>
        <v>-278.64999999999964</v>
      </c>
      <c r="M1613" s="37">
        <f t="shared" si="126"/>
        <v>-5.1443045265818228E-2</v>
      </c>
      <c r="N1613" s="17" t="str">
        <f t="shared" si="127"/>
        <v>Under Budget</v>
      </c>
      <c r="O1613" s="38">
        <f t="shared" si="128"/>
        <v>-5138.0200000000004</v>
      </c>
      <c r="P1613" s="39">
        <f t="shared" si="129"/>
        <v>46174</v>
      </c>
    </row>
    <row r="1614" spans="1:16" ht="15.5" x14ac:dyDescent="0.35">
      <c r="A1614" s="17" t="s">
        <v>1662</v>
      </c>
      <c r="B1614" s="35">
        <v>45901</v>
      </c>
      <c r="C1614" s="17" t="s">
        <v>12</v>
      </c>
      <c r="D1614" s="17" t="s">
        <v>26</v>
      </c>
      <c r="E1614" s="17" t="s">
        <v>51</v>
      </c>
      <c r="F1614" s="17" t="s">
        <v>21</v>
      </c>
      <c r="G1614" s="17" t="s">
        <v>16</v>
      </c>
      <c r="H1614" s="17" t="s">
        <v>2589</v>
      </c>
      <c r="I1614" s="17" t="s">
        <v>30</v>
      </c>
      <c r="J1614" s="36">
        <v>5000</v>
      </c>
      <c r="K1614" s="36">
        <v>2317.38</v>
      </c>
      <c r="L1614" s="36">
        <f t="shared" si="125"/>
        <v>-2682.62</v>
      </c>
      <c r="M1614" s="37">
        <f t="shared" si="126"/>
        <v>-0.536524</v>
      </c>
      <c r="N1614" s="17" t="str">
        <f t="shared" si="127"/>
        <v>Under Budget</v>
      </c>
      <c r="O1614" s="38">
        <f t="shared" si="128"/>
        <v>-2317.38</v>
      </c>
      <c r="P1614" s="39">
        <f t="shared" si="129"/>
        <v>45901</v>
      </c>
    </row>
    <row r="1615" spans="1:16" ht="15.5" x14ac:dyDescent="0.35">
      <c r="A1615" s="17" t="s">
        <v>1663</v>
      </c>
      <c r="B1615" s="35">
        <v>46085</v>
      </c>
      <c r="C1615" s="17" t="s">
        <v>12</v>
      </c>
      <c r="D1615" s="17" t="s">
        <v>13</v>
      </c>
      <c r="E1615" s="17" t="s">
        <v>51</v>
      </c>
      <c r="F1615" s="17" t="s">
        <v>52</v>
      </c>
      <c r="G1615" s="17" t="s">
        <v>22</v>
      </c>
      <c r="H1615" s="17" t="s">
        <v>2593</v>
      </c>
      <c r="I1615" s="17" t="s">
        <v>23</v>
      </c>
      <c r="J1615" s="36">
        <v>6000</v>
      </c>
      <c r="K1615" s="36">
        <v>2847.9</v>
      </c>
      <c r="L1615" s="36">
        <f t="shared" si="125"/>
        <v>-3152.1</v>
      </c>
      <c r="M1615" s="37">
        <f t="shared" si="126"/>
        <v>-0.52534999999999998</v>
      </c>
      <c r="N1615" s="17" t="str">
        <f t="shared" si="127"/>
        <v>Under Budget</v>
      </c>
      <c r="O1615" s="38">
        <f t="shared" si="128"/>
        <v>-2847.9</v>
      </c>
      <c r="P1615" s="39">
        <f t="shared" si="129"/>
        <v>46082</v>
      </c>
    </row>
    <row r="1616" spans="1:16" ht="15.5" x14ac:dyDescent="0.35">
      <c r="A1616" s="17" t="s">
        <v>1664</v>
      </c>
      <c r="B1616" s="35">
        <v>46195</v>
      </c>
      <c r="C1616" s="17" t="s">
        <v>12</v>
      </c>
      <c r="D1616" s="17" t="s">
        <v>19</v>
      </c>
      <c r="E1616" s="17" t="s">
        <v>45</v>
      </c>
      <c r="F1616" s="17" t="s">
        <v>21</v>
      </c>
      <c r="G1616" s="17" t="s">
        <v>38</v>
      </c>
      <c r="H1616" s="17" t="s">
        <v>2589</v>
      </c>
      <c r="I1616" s="17" t="s">
        <v>39</v>
      </c>
      <c r="J1616" s="36">
        <v>8571.43</v>
      </c>
      <c r="K1616" s="36">
        <v>9465.48</v>
      </c>
      <c r="L1616" s="36">
        <f t="shared" si="125"/>
        <v>894.04999999999927</v>
      </c>
      <c r="M1616" s="37">
        <f t="shared" si="126"/>
        <v>0.10430581594903059</v>
      </c>
      <c r="N1616" s="17" t="str">
        <f t="shared" si="127"/>
        <v>Over Budget</v>
      </c>
      <c r="O1616" s="38">
        <f t="shared" si="128"/>
        <v>-9465.48</v>
      </c>
      <c r="P1616" s="39">
        <f t="shared" si="129"/>
        <v>46174</v>
      </c>
    </row>
    <row r="1617" spans="1:16" ht="15.5" x14ac:dyDescent="0.35">
      <c r="A1617" s="17" t="s">
        <v>1665</v>
      </c>
      <c r="B1617" s="35">
        <v>46184</v>
      </c>
      <c r="C1617" s="17" t="s">
        <v>12</v>
      </c>
      <c r="D1617" s="17" t="s">
        <v>26</v>
      </c>
      <c r="E1617" s="17" t="s">
        <v>45</v>
      </c>
      <c r="F1617" s="17" t="s">
        <v>52</v>
      </c>
      <c r="G1617" s="17" t="s">
        <v>43</v>
      </c>
      <c r="H1617" s="17" t="s">
        <v>2588</v>
      </c>
      <c r="I1617" s="17" t="s">
        <v>23</v>
      </c>
      <c r="J1617" s="36">
        <v>8571.43</v>
      </c>
      <c r="K1617" s="36">
        <v>17122.189999999999</v>
      </c>
      <c r="L1617" s="36">
        <f t="shared" si="125"/>
        <v>8550.7599999999984</v>
      </c>
      <c r="M1617" s="37">
        <f t="shared" si="126"/>
        <v>0.99758850040191638</v>
      </c>
      <c r="N1617" s="17" t="str">
        <f t="shared" si="127"/>
        <v>Over Budget</v>
      </c>
      <c r="O1617" s="38">
        <f t="shared" si="128"/>
        <v>-17122.189999999999</v>
      </c>
      <c r="P1617" s="39">
        <f t="shared" si="129"/>
        <v>46174</v>
      </c>
    </row>
    <row r="1618" spans="1:16" ht="15.5" x14ac:dyDescent="0.35">
      <c r="A1618" s="17" t="s">
        <v>1666</v>
      </c>
      <c r="B1618" s="35">
        <v>46187</v>
      </c>
      <c r="C1618" s="17" t="s">
        <v>12</v>
      </c>
      <c r="D1618" s="17" t="s">
        <v>2585</v>
      </c>
      <c r="E1618" s="17" t="s">
        <v>47</v>
      </c>
      <c r="F1618" s="17" t="s">
        <v>21</v>
      </c>
      <c r="G1618" s="17" t="s">
        <v>29</v>
      </c>
      <c r="H1618" s="17" t="s">
        <v>2587</v>
      </c>
      <c r="I1618" s="17" t="s">
        <v>23</v>
      </c>
      <c r="J1618" s="36">
        <v>5000</v>
      </c>
      <c r="K1618" s="36">
        <v>2420.9</v>
      </c>
      <c r="L1618" s="36">
        <f t="shared" si="125"/>
        <v>-2579.1</v>
      </c>
      <c r="M1618" s="37">
        <f t="shared" si="126"/>
        <v>-0.51581999999999995</v>
      </c>
      <c r="N1618" s="17" t="str">
        <f t="shared" si="127"/>
        <v>Under Budget</v>
      </c>
      <c r="O1618" s="38">
        <f t="shared" si="128"/>
        <v>-2420.9</v>
      </c>
      <c r="P1618" s="39">
        <f t="shared" si="129"/>
        <v>46174</v>
      </c>
    </row>
    <row r="1619" spans="1:16" ht="15.5" x14ac:dyDescent="0.35">
      <c r="A1619" s="17" t="s">
        <v>1667</v>
      </c>
      <c r="B1619" s="35">
        <v>45847</v>
      </c>
      <c r="C1619" s="17" t="s">
        <v>25</v>
      </c>
      <c r="D1619" s="17" t="s">
        <v>32</v>
      </c>
      <c r="E1619" s="17" t="s">
        <v>27</v>
      </c>
      <c r="F1619" s="17" t="s">
        <v>28</v>
      </c>
      <c r="G1619" s="17" t="s">
        <v>43</v>
      </c>
      <c r="H1619" s="17" t="s">
        <v>2589</v>
      </c>
      <c r="I1619" s="17" t="s">
        <v>30</v>
      </c>
      <c r="J1619" s="36">
        <v>13333.33</v>
      </c>
      <c r="K1619" s="36">
        <v>5446.22</v>
      </c>
      <c r="L1619" s="36">
        <f t="shared" si="125"/>
        <v>-7887.11</v>
      </c>
      <c r="M1619" s="37">
        <f t="shared" si="126"/>
        <v>-0.59153339788334947</v>
      </c>
      <c r="N1619" s="17" t="str">
        <f t="shared" si="127"/>
        <v>Under Budget</v>
      </c>
      <c r="O1619" s="38">
        <f t="shared" si="128"/>
        <v>5446.22</v>
      </c>
      <c r="P1619" s="39">
        <f t="shared" si="129"/>
        <v>45839</v>
      </c>
    </row>
    <row r="1620" spans="1:16" ht="15.5" x14ac:dyDescent="0.35">
      <c r="A1620" s="17" t="s">
        <v>1668</v>
      </c>
      <c r="B1620" s="35">
        <v>45805</v>
      </c>
      <c r="C1620" s="17" t="s">
        <v>12</v>
      </c>
      <c r="D1620" s="17" t="s">
        <v>2584</v>
      </c>
      <c r="E1620" s="17" t="s">
        <v>65</v>
      </c>
      <c r="F1620" s="17" t="s">
        <v>21</v>
      </c>
      <c r="G1620" s="17" t="s">
        <v>38</v>
      </c>
      <c r="H1620" s="17" t="s">
        <v>2595</v>
      </c>
      <c r="I1620" s="17" t="s">
        <v>23</v>
      </c>
      <c r="J1620" s="36">
        <v>5500</v>
      </c>
      <c r="K1620" s="36">
        <v>2582.9899999999998</v>
      </c>
      <c r="L1620" s="36">
        <f t="shared" si="125"/>
        <v>-2917.01</v>
      </c>
      <c r="M1620" s="37">
        <f t="shared" si="126"/>
        <v>-0.53036545454545458</v>
      </c>
      <c r="N1620" s="17" t="str">
        <f t="shared" si="127"/>
        <v>Under Budget</v>
      </c>
      <c r="O1620" s="38">
        <f t="shared" si="128"/>
        <v>-2582.9899999999998</v>
      </c>
      <c r="P1620" s="39">
        <f t="shared" si="129"/>
        <v>45778</v>
      </c>
    </row>
    <row r="1621" spans="1:16" ht="15.5" x14ac:dyDescent="0.35">
      <c r="A1621" s="17" t="s">
        <v>1669</v>
      </c>
      <c r="B1621" s="35">
        <v>45955</v>
      </c>
      <c r="C1621" s="17" t="s">
        <v>12</v>
      </c>
      <c r="D1621" s="17" t="s">
        <v>26</v>
      </c>
      <c r="E1621" s="17" t="s">
        <v>74</v>
      </c>
      <c r="F1621" s="17" t="s">
        <v>28</v>
      </c>
      <c r="G1621" s="17" t="s">
        <v>29</v>
      </c>
      <c r="H1621" s="17" t="s">
        <v>2598</v>
      </c>
      <c r="I1621" s="17" t="s">
        <v>30</v>
      </c>
      <c r="J1621" s="36">
        <v>3333.33</v>
      </c>
      <c r="K1621" s="36">
        <v>1696.66</v>
      </c>
      <c r="L1621" s="36">
        <f t="shared" si="125"/>
        <v>-1636.6699999999998</v>
      </c>
      <c r="M1621" s="37">
        <f t="shared" si="126"/>
        <v>-0.49100149100149099</v>
      </c>
      <c r="N1621" s="17" t="str">
        <f t="shared" si="127"/>
        <v>Under Budget</v>
      </c>
      <c r="O1621" s="38">
        <f t="shared" si="128"/>
        <v>-1696.66</v>
      </c>
      <c r="P1621" s="39">
        <f t="shared" si="129"/>
        <v>45931</v>
      </c>
    </row>
    <row r="1622" spans="1:16" ht="15.5" x14ac:dyDescent="0.35">
      <c r="A1622" s="17" t="s">
        <v>1670</v>
      </c>
      <c r="B1622" s="35">
        <v>45726</v>
      </c>
      <c r="C1622" s="17" t="s">
        <v>12</v>
      </c>
      <c r="D1622" s="17" t="s">
        <v>19</v>
      </c>
      <c r="E1622" s="17" t="s">
        <v>51</v>
      </c>
      <c r="F1622" s="17" t="s">
        <v>21</v>
      </c>
      <c r="G1622" s="17" t="s">
        <v>22</v>
      </c>
      <c r="H1622" s="17" t="s">
        <v>2593</v>
      </c>
      <c r="I1622" s="17" t="s">
        <v>23</v>
      </c>
      <c r="J1622" s="36">
        <v>3000</v>
      </c>
      <c r="K1622" s="36">
        <v>4166.34</v>
      </c>
      <c r="L1622" s="36">
        <f t="shared" si="125"/>
        <v>1166.3400000000001</v>
      </c>
      <c r="M1622" s="37">
        <f t="shared" si="126"/>
        <v>0.38878000000000007</v>
      </c>
      <c r="N1622" s="17" t="str">
        <f t="shared" si="127"/>
        <v>Over Budget</v>
      </c>
      <c r="O1622" s="38">
        <f t="shared" si="128"/>
        <v>-4166.34</v>
      </c>
      <c r="P1622" s="39">
        <f t="shared" si="129"/>
        <v>45717</v>
      </c>
    </row>
    <row r="1623" spans="1:16" ht="15.5" x14ac:dyDescent="0.35">
      <c r="A1623" s="17" t="s">
        <v>1671</v>
      </c>
      <c r="B1623" s="35">
        <v>45852</v>
      </c>
      <c r="C1623" s="17" t="s">
        <v>12</v>
      </c>
      <c r="D1623" s="17" t="s">
        <v>26</v>
      </c>
      <c r="E1623" s="17" t="s">
        <v>45</v>
      </c>
      <c r="F1623" s="17" t="s">
        <v>21</v>
      </c>
      <c r="G1623" s="17" t="s">
        <v>38</v>
      </c>
      <c r="H1623" s="17" t="s">
        <v>2597</v>
      </c>
      <c r="I1623" s="17" t="s">
        <v>23</v>
      </c>
      <c r="J1623" s="36">
        <v>6923.08</v>
      </c>
      <c r="K1623" s="36">
        <v>15056.72</v>
      </c>
      <c r="L1623" s="36">
        <f t="shared" si="125"/>
        <v>8133.6399999999994</v>
      </c>
      <c r="M1623" s="37">
        <f t="shared" si="126"/>
        <v>1.1748585889517382</v>
      </c>
      <c r="N1623" s="17" t="str">
        <f t="shared" si="127"/>
        <v>Over Budget</v>
      </c>
      <c r="O1623" s="38">
        <f t="shared" si="128"/>
        <v>-15056.72</v>
      </c>
      <c r="P1623" s="39">
        <f t="shared" si="129"/>
        <v>45839</v>
      </c>
    </row>
    <row r="1624" spans="1:16" ht="15.5" x14ac:dyDescent="0.35">
      <c r="A1624" s="17" t="s">
        <v>1672</v>
      </c>
      <c r="B1624" s="35">
        <v>46133</v>
      </c>
      <c r="C1624" s="17" t="s">
        <v>12</v>
      </c>
      <c r="D1624" s="17" t="s">
        <v>19</v>
      </c>
      <c r="E1624" s="17" t="s">
        <v>45</v>
      </c>
      <c r="F1624" s="17" t="s">
        <v>52</v>
      </c>
      <c r="G1624" s="17" t="s">
        <v>16</v>
      </c>
      <c r="H1624" s="17" t="s">
        <v>2591</v>
      </c>
      <c r="I1624" s="17" t="s">
        <v>39</v>
      </c>
      <c r="J1624" s="36">
        <v>8571.43</v>
      </c>
      <c r="K1624" s="36">
        <v>4523.7299999999996</v>
      </c>
      <c r="L1624" s="36">
        <f t="shared" si="125"/>
        <v>-4047.7000000000007</v>
      </c>
      <c r="M1624" s="37">
        <f t="shared" si="126"/>
        <v>-0.47223158796140208</v>
      </c>
      <c r="N1624" s="17" t="str">
        <f t="shared" si="127"/>
        <v>Under Budget</v>
      </c>
      <c r="O1624" s="38">
        <f t="shared" si="128"/>
        <v>-4523.7299999999996</v>
      </c>
      <c r="P1624" s="39">
        <f t="shared" si="129"/>
        <v>46113</v>
      </c>
    </row>
    <row r="1625" spans="1:16" ht="15.5" x14ac:dyDescent="0.35">
      <c r="A1625" s="17" t="s">
        <v>1673</v>
      </c>
      <c r="B1625" s="35">
        <v>46201</v>
      </c>
      <c r="C1625" s="17" t="s">
        <v>12</v>
      </c>
      <c r="D1625" s="17" t="s">
        <v>32</v>
      </c>
      <c r="E1625" s="17" t="s">
        <v>74</v>
      </c>
      <c r="F1625" s="17" t="s">
        <v>52</v>
      </c>
      <c r="G1625" s="17" t="s">
        <v>22</v>
      </c>
      <c r="H1625" s="17" t="s">
        <v>2594</v>
      </c>
      <c r="I1625" s="17" t="s">
        <v>48</v>
      </c>
      <c r="J1625" s="36">
        <v>3076.92</v>
      </c>
      <c r="K1625" s="36">
        <v>3821.92</v>
      </c>
      <c r="L1625" s="36">
        <f t="shared" si="125"/>
        <v>745</v>
      </c>
      <c r="M1625" s="37">
        <f t="shared" si="126"/>
        <v>0.24212524212524211</v>
      </c>
      <c r="N1625" s="17" t="str">
        <f t="shared" si="127"/>
        <v>Over Budget</v>
      </c>
      <c r="O1625" s="38">
        <f t="shared" si="128"/>
        <v>-3821.92</v>
      </c>
      <c r="P1625" s="39">
        <f t="shared" si="129"/>
        <v>46174</v>
      </c>
    </row>
    <row r="1626" spans="1:16" ht="15.5" x14ac:dyDescent="0.35">
      <c r="A1626" s="17" t="s">
        <v>1674</v>
      </c>
      <c r="B1626" s="35">
        <v>45906</v>
      </c>
      <c r="C1626" s="17" t="s">
        <v>25</v>
      </c>
      <c r="D1626" s="17" t="s">
        <v>32</v>
      </c>
      <c r="E1626" s="17" t="s">
        <v>27</v>
      </c>
      <c r="F1626" s="17" t="s">
        <v>28</v>
      </c>
      <c r="G1626" s="17" t="s">
        <v>16</v>
      </c>
      <c r="H1626" s="17" t="s">
        <v>2594</v>
      </c>
      <c r="I1626" s="17" t="s">
        <v>39</v>
      </c>
      <c r="J1626" s="36">
        <v>10000</v>
      </c>
      <c r="K1626" s="36">
        <v>7108.85</v>
      </c>
      <c r="L1626" s="36">
        <f t="shared" si="125"/>
        <v>-2891.1499999999996</v>
      </c>
      <c r="M1626" s="37">
        <f t="shared" si="126"/>
        <v>-0.28911499999999996</v>
      </c>
      <c r="N1626" s="17" t="str">
        <f t="shared" si="127"/>
        <v>Under Budget</v>
      </c>
      <c r="O1626" s="38">
        <f t="shared" si="128"/>
        <v>7108.85</v>
      </c>
      <c r="P1626" s="39">
        <f t="shared" si="129"/>
        <v>45901</v>
      </c>
    </row>
    <row r="1627" spans="1:16" ht="15.5" x14ac:dyDescent="0.35">
      <c r="A1627" s="17" t="s">
        <v>1675</v>
      </c>
      <c r="B1627" s="35">
        <v>45786</v>
      </c>
      <c r="C1627" s="17" t="s">
        <v>12</v>
      </c>
      <c r="D1627" s="17" t="s">
        <v>2584</v>
      </c>
      <c r="E1627" s="17" t="s">
        <v>51</v>
      </c>
      <c r="F1627" s="17" t="s">
        <v>34</v>
      </c>
      <c r="G1627" s="17" t="s">
        <v>22</v>
      </c>
      <c r="H1627" s="17" t="s">
        <v>2594</v>
      </c>
      <c r="I1627" s="17" t="s">
        <v>48</v>
      </c>
      <c r="J1627" s="36">
        <v>2307.69</v>
      </c>
      <c r="K1627" s="36">
        <v>3690.65</v>
      </c>
      <c r="L1627" s="36">
        <f t="shared" si="125"/>
        <v>1382.96</v>
      </c>
      <c r="M1627" s="37">
        <f t="shared" si="126"/>
        <v>0.59928326594993264</v>
      </c>
      <c r="N1627" s="17" t="str">
        <f t="shared" si="127"/>
        <v>Over Budget</v>
      </c>
      <c r="O1627" s="38">
        <f t="shared" si="128"/>
        <v>-3690.65</v>
      </c>
      <c r="P1627" s="39">
        <f t="shared" si="129"/>
        <v>45778</v>
      </c>
    </row>
    <row r="1628" spans="1:16" ht="15.5" x14ac:dyDescent="0.35">
      <c r="A1628" s="17" t="s">
        <v>1676</v>
      </c>
      <c r="B1628" s="35">
        <v>45824</v>
      </c>
      <c r="C1628" s="17" t="s">
        <v>12</v>
      </c>
      <c r="D1628" s="17" t="s">
        <v>2585</v>
      </c>
      <c r="E1628" s="17" t="s">
        <v>37</v>
      </c>
      <c r="F1628" s="17" t="s">
        <v>52</v>
      </c>
      <c r="G1628" s="17" t="s">
        <v>38</v>
      </c>
      <c r="H1628" s="17" t="s">
        <v>2586</v>
      </c>
      <c r="I1628" s="17" t="s">
        <v>23</v>
      </c>
      <c r="J1628" s="36">
        <v>7000</v>
      </c>
      <c r="K1628" s="36">
        <v>3455.02</v>
      </c>
      <c r="L1628" s="36">
        <f t="shared" si="125"/>
        <v>-3544.98</v>
      </c>
      <c r="M1628" s="37">
        <f t="shared" si="126"/>
        <v>-0.50642571428571426</v>
      </c>
      <c r="N1628" s="17" t="str">
        <f t="shared" si="127"/>
        <v>Under Budget</v>
      </c>
      <c r="O1628" s="38">
        <f t="shared" si="128"/>
        <v>-3455.02</v>
      </c>
      <c r="P1628" s="39">
        <f t="shared" si="129"/>
        <v>45809</v>
      </c>
    </row>
    <row r="1629" spans="1:16" ht="15.5" x14ac:dyDescent="0.35">
      <c r="A1629" s="17" t="s">
        <v>1677</v>
      </c>
      <c r="B1629" s="35">
        <v>46132</v>
      </c>
      <c r="C1629" s="17" t="s">
        <v>12</v>
      </c>
      <c r="D1629" s="17" t="s">
        <v>26</v>
      </c>
      <c r="E1629" s="17" t="s">
        <v>20</v>
      </c>
      <c r="F1629" s="17" t="s">
        <v>28</v>
      </c>
      <c r="G1629" s="17" t="s">
        <v>43</v>
      </c>
      <c r="H1629" s="17" t="s">
        <v>2591</v>
      </c>
      <c r="I1629" s="17" t="s">
        <v>23</v>
      </c>
      <c r="J1629" s="36">
        <v>2250</v>
      </c>
      <c r="K1629" s="36">
        <v>1609.49</v>
      </c>
      <c r="L1629" s="36">
        <f t="shared" si="125"/>
        <v>-640.51</v>
      </c>
      <c r="M1629" s="37">
        <f t="shared" si="126"/>
        <v>-0.2846711111111111</v>
      </c>
      <c r="N1629" s="17" t="str">
        <f t="shared" si="127"/>
        <v>Under Budget</v>
      </c>
      <c r="O1629" s="38">
        <f t="shared" si="128"/>
        <v>-1609.49</v>
      </c>
      <c r="P1629" s="39">
        <f t="shared" si="129"/>
        <v>46113</v>
      </c>
    </row>
    <row r="1630" spans="1:16" ht="15.5" x14ac:dyDescent="0.35">
      <c r="A1630" s="17" t="s">
        <v>1678</v>
      </c>
      <c r="B1630" s="35">
        <v>45951</v>
      </c>
      <c r="C1630" s="17" t="s">
        <v>25</v>
      </c>
      <c r="D1630" s="17" t="s">
        <v>32</v>
      </c>
      <c r="E1630" s="17" t="s">
        <v>33</v>
      </c>
      <c r="F1630" s="17" t="s">
        <v>28</v>
      </c>
      <c r="G1630" s="17" t="s">
        <v>38</v>
      </c>
      <c r="H1630" s="17" t="s">
        <v>2587</v>
      </c>
      <c r="I1630" s="17" t="s">
        <v>48</v>
      </c>
      <c r="J1630" s="36">
        <v>8928.57</v>
      </c>
      <c r="K1630" s="36">
        <v>6416.62</v>
      </c>
      <c r="L1630" s="36">
        <f t="shared" si="125"/>
        <v>-2511.9499999999998</v>
      </c>
      <c r="M1630" s="37">
        <f t="shared" si="126"/>
        <v>-0.28133844501415117</v>
      </c>
      <c r="N1630" s="17" t="str">
        <f t="shared" si="127"/>
        <v>Under Budget</v>
      </c>
      <c r="O1630" s="38">
        <f t="shared" si="128"/>
        <v>6416.62</v>
      </c>
      <c r="P1630" s="39">
        <f t="shared" si="129"/>
        <v>45931</v>
      </c>
    </row>
    <row r="1631" spans="1:16" ht="15.5" x14ac:dyDescent="0.35">
      <c r="A1631" s="17" t="s">
        <v>1679</v>
      </c>
      <c r="B1631" s="35">
        <v>46050</v>
      </c>
      <c r="C1631" s="17" t="s">
        <v>25</v>
      </c>
      <c r="D1631" s="17" t="s">
        <v>26</v>
      </c>
      <c r="E1631" s="17" t="s">
        <v>33</v>
      </c>
      <c r="F1631" s="17" t="s">
        <v>34</v>
      </c>
      <c r="G1631" s="17" t="s">
        <v>38</v>
      </c>
      <c r="H1631" s="17" t="s">
        <v>2587</v>
      </c>
      <c r="I1631" s="17" t="s">
        <v>30</v>
      </c>
      <c r="J1631" s="36">
        <v>11547.62</v>
      </c>
      <c r="K1631" s="36">
        <v>23309.58</v>
      </c>
      <c r="L1631" s="36">
        <f t="shared" si="125"/>
        <v>11761.960000000001</v>
      </c>
      <c r="M1631" s="37">
        <f t="shared" si="126"/>
        <v>1.0185614005310186</v>
      </c>
      <c r="N1631" s="17" t="str">
        <f t="shared" si="127"/>
        <v>Over Budget</v>
      </c>
      <c r="O1631" s="38">
        <f t="shared" si="128"/>
        <v>23309.58</v>
      </c>
      <c r="P1631" s="39">
        <f t="shared" si="129"/>
        <v>46023</v>
      </c>
    </row>
    <row r="1632" spans="1:16" ht="15.5" x14ac:dyDescent="0.35">
      <c r="A1632" s="17" t="s">
        <v>1680</v>
      </c>
      <c r="B1632" s="35">
        <v>45863</v>
      </c>
      <c r="C1632" s="17" t="s">
        <v>12</v>
      </c>
      <c r="D1632" s="17" t="s">
        <v>13</v>
      </c>
      <c r="E1632" s="17" t="s">
        <v>45</v>
      </c>
      <c r="F1632" s="17" t="s">
        <v>21</v>
      </c>
      <c r="G1632" s="17" t="s">
        <v>43</v>
      </c>
      <c r="H1632" s="17" t="s">
        <v>60</v>
      </c>
      <c r="I1632" s="17" t="s">
        <v>39</v>
      </c>
      <c r="J1632" s="36">
        <v>6923.08</v>
      </c>
      <c r="K1632" s="36">
        <v>17337.25</v>
      </c>
      <c r="L1632" s="36">
        <f t="shared" si="125"/>
        <v>10414.17</v>
      </c>
      <c r="M1632" s="37">
        <f t="shared" si="126"/>
        <v>1.5042683314362972</v>
      </c>
      <c r="N1632" s="17" t="str">
        <f t="shared" si="127"/>
        <v>Over Budget</v>
      </c>
      <c r="O1632" s="38">
        <f t="shared" si="128"/>
        <v>-17337.25</v>
      </c>
      <c r="P1632" s="39">
        <f t="shared" si="129"/>
        <v>45839</v>
      </c>
    </row>
    <row r="1633" spans="1:16" ht="15.5" x14ac:dyDescent="0.35">
      <c r="A1633" s="17" t="s">
        <v>1681</v>
      </c>
      <c r="B1633" s="35">
        <v>46028</v>
      </c>
      <c r="C1633" s="17" t="s">
        <v>25</v>
      </c>
      <c r="D1633" s="17" t="s">
        <v>13</v>
      </c>
      <c r="E1633" s="17" t="s">
        <v>33</v>
      </c>
      <c r="F1633" s="17" t="s">
        <v>28</v>
      </c>
      <c r="G1633" s="17" t="s">
        <v>38</v>
      </c>
      <c r="H1633" s="17" t="s">
        <v>60</v>
      </c>
      <c r="I1633" s="17" t="s">
        <v>23</v>
      </c>
      <c r="J1633" s="36">
        <v>11547.62</v>
      </c>
      <c r="K1633" s="36">
        <v>3969.78</v>
      </c>
      <c r="L1633" s="36">
        <f t="shared" si="125"/>
        <v>-7577.84</v>
      </c>
      <c r="M1633" s="37">
        <f t="shared" si="126"/>
        <v>-0.6562252654659575</v>
      </c>
      <c r="N1633" s="17" t="str">
        <f t="shared" si="127"/>
        <v>Under Budget</v>
      </c>
      <c r="O1633" s="38">
        <f t="shared" si="128"/>
        <v>3969.78</v>
      </c>
      <c r="P1633" s="39">
        <f t="shared" si="129"/>
        <v>46023</v>
      </c>
    </row>
    <row r="1634" spans="1:16" ht="15.5" x14ac:dyDescent="0.35">
      <c r="A1634" s="17" t="s">
        <v>1682</v>
      </c>
      <c r="B1634" s="35">
        <v>46094</v>
      </c>
      <c r="C1634" s="17" t="s">
        <v>12</v>
      </c>
      <c r="D1634" s="17" t="s">
        <v>2585</v>
      </c>
      <c r="E1634" s="17" t="s">
        <v>20</v>
      </c>
      <c r="F1634" s="17" t="s">
        <v>15</v>
      </c>
      <c r="G1634" s="17" t="s">
        <v>22</v>
      </c>
      <c r="H1634" s="17" t="s">
        <v>2597</v>
      </c>
      <c r="I1634" s="17" t="s">
        <v>30</v>
      </c>
      <c r="J1634" s="36">
        <v>2571.4299999999998</v>
      </c>
      <c r="K1634" s="36">
        <v>582.89</v>
      </c>
      <c r="L1634" s="36">
        <f t="shared" si="125"/>
        <v>-1988.54</v>
      </c>
      <c r="M1634" s="37">
        <f t="shared" si="126"/>
        <v>-0.7733206814885103</v>
      </c>
      <c r="N1634" s="17" t="str">
        <f t="shared" si="127"/>
        <v>Under Budget</v>
      </c>
      <c r="O1634" s="38">
        <f t="shared" si="128"/>
        <v>-582.89</v>
      </c>
      <c r="P1634" s="39">
        <f t="shared" si="129"/>
        <v>46082</v>
      </c>
    </row>
    <row r="1635" spans="1:16" ht="15.5" x14ac:dyDescent="0.35">
      <c r="A1635" s="17" t="s">
        <v>1683</v>
      </c>
      <c r="B1635" s="35">
        <v>46174</v>
      </c>
      <c r="C1635" s="17" t="s">
        <v>25</v>
      </c>
      <c r="D1635" s="17" t="s">
        <v>13</v>
      </c>
      <c r="E1635" s="17" t="s">
        <v>27</v>
      </c>
      <c r="F1635" s="17" t="s">
        <v>34</v>
      </c>
      <c r="G1635" s="17" t="s">
        <v>43</v>
      </c>
      <c r="H1635" s="17" t="s">
        <v>2594</v>
      </c>
      <c r="I1635" s="17" t="s">
        <v>23</v>
      </c>
      <c r="J1635" s="36">
        <v>7272.73</v>
      </c>
      <c r="K1635" s="36">
        <v>563.76</v>
      </c>
      <c r="L1635" s="36">
        <f t="shared" si="125"/>
        <v>-6708.9699999999993</v>
      </c>
      <c r="M1635" s="37">
        <f t="shared" si="126"/>
        <v>-0.92248302906886404</v>
      </c>
      <c r="N1635" s="17" t="str">
        <f t="shared" si="127"/>
        <v>Under Budget</v>
      </c>
      <c r="O1635" s="38">
        <f t="shared" si="128"/>
        <v>563.76</v>
      </c>
      <c r="P1635" s="39">
        <f t="shared" si="129"/>
        <v>46174</v>
      </c>
    </row>
    <row r="1636" spans="1:16" ht="15.5" x14ac:dyDescent="0.35">
      <c r="A1636" s="17" t="s">
        <v>1684</v>
      </c>
      <c r="B1636" s="35">
        <v>46061</v>
      </c>
      <c r="C1636" s="17" t="s">
        <v>25</v>
      </c>
      <c r="D1636" s="17" t="s">
        <v>13</v>
      </c>
      <c r="E1636" s="17" t="s">
        <v>33</v>
      </c>
      <c r="F1636" s="17" t="s">
        <v>21</v>
      </c>
      <c r="G1636" s="17" t="s">
        <v>43</v>
      </c>
      <c r="H1636" s="17" t="s">
        <v>2588</v>
      </c>
      <c r="I1636" s="17" t="s">
        <v>30</v>
      </c>
      <c r="J1636" s="36">
        <v>12125</v>
      </c>
      <c r="K1636" s="36">
        <v>12495.7</v>
      </c>
      <c r="L1636" s="36">
        <f t="shared" si="125"/>
        <v>370.70000000000073</v>
      </c>
      <c r="M1636" s="37">
        <f t="shared" si="126"/>
        <v>3.057319587628872E-2</v>
      </c>
      <c r="N1636" s="17" t="str">
        <f t="shared" si="127"/>
        <v>Over Budget</v>
      </c>
      <c r="O1636" s="38">
        <f t="shared" si="128"/>
        <v>12495.7</v>
      </c>
      <c r="P1636" s="39">
        <f t="shared" si="129"/>
        <v>46054</v>
      </c>
    </row>
    <row r="1637" spans="1:16" ht="15.5" x14ac:dyDescent="0.35">
      <c r="A1637" s="17" t="s">
        <v>1685</v>
      </c>
      <c r="B1637" s="35">
        <v>46164</v>
      </c>
      <c r="C1637" s="17" t="s">
        <v>12</v>
      </c>
      <c r="D1637" s="17" t="s">
        <v>2585</v>
      </c>
      <c r="E1637" s="17" t="s">
        <v>65</v>
      </c>
      <c r="F1637" s="17" t="s">
        <v>21</v>
      </c>
      <c r="G1637" s="17" t="s">
        <v>38</v>
      </c>
      <c r="H1637" s="17" t="s">
        <v>2590</v>
      </c>
      <c r="I1637" s="17" t="s">
        <v>23</v>
      </c>
      <c r="J1637" s="36">
        <v>7857.14</v>
      </c>
      <c r="K1637" s="36">
        <v>4529.18</v>
      </c>
      <c r="L1637" s="36">
        <f t="shared" si="125"/>
        <v>-3327.96</v>
      </c>
      <c r="M1637" s="37">
        <f t="shared" si="126"/>
        <v>-0.4235586994758907</v>
      </c>
      <c r="N1637" s="17" t="str">
        <f t="shared" si="127"/>
        <v>Under Budget</v>
      </c>
      <c r="O1637" s="38">
        <f t="shared" si="128"/>
        <v>-4529.18</v>
      </c>
      <c r="P1637" s="39">
        <f t="shared" si="129"/>
        <v>46143</v>
      </c>
    </row>
    <row r="1638" spans="1:16" ht="15.5" x14ac:dyDescent="0.35">
      <c r="A1638" s="17" t="s">
        <v>1686</v>
      </c>
      <c r="B1638" s="35">
        <v>46075</v>
      </c>
      <c r="C1638" s="17" t="s">
        <v>12</v>
      </c>
      <c r="D1638" s="17" t="s">
        <v>13</v>
      </c>
      <c r="E1638" s="17" t="s">
        <v>65</v>
      </c>
      <c r="F1638" s="17" t="s">
        <v>21</v>
      </c>
      <c r="G1638" s="17" t="s">
        <v>38</v>
      </c>
      <c r="H1638" s="17" t="s">
        <v>2596</v>
      </c>
      <c r="I1638" s="17" t="s">
        <v>39</v>
      </c>
      <c r="J1638" s="36">
        <v>4850</v>
      </c>
      <c r="K1638" s="36">
        <v>4583.91</v>
      </c>
      <c r="L1638" s="36">
        <f t="shared" si="125"/>
        <v>-266.09000000000015</v>
      </c>
      <c r="M1638" s="37">
        <f t="shared" si="126"/>
        <v>-5.4863917525773229E-2</v>
      </c>
      <c r="N1638" s="17" t="str">
        <f t="shared" si="127"/>
        <v>Under Budget</v>
      </c>
      <c r="O1638" s="38">
        <f t="shared" si="128"/>
        <v>-4583.91</v>
      </c>
      <c r="P1638" s="39">
        <f t="shared" si="129"/>
        <v>46054</v>
      </c>
    </row>
    <row r="1639" spans="1:16" ht="15.5" x14ac:dyDescent="0.35">
      <c r="A1639" s="17" t="s">
        <v>1687</v>
      </c>
      <c r="B1639" s="35">
        <v>45734</v>
      </c>
      <c r="C1639" s="17" t="s">
        <v>25</v>
      </c>
      <c r="D1639" s="17" t="s">
        <v>32</v>
      </c>
      <c r="E1639" s="17" t="s">
        <v>27</v>
      </c>
      <c r="F1639" s="17" t="s">
        <v>52</v>
      </c>
      <c r="G1639" s="17" t="s">
        <v>38</v>
      </c>
      <c r="H1639" s="17" t="s">
        <v>2597</v>
      </c>
      <c r="I1639" s="17" t="s">
        <v>17</v>
      </c>
      <c r="J1639" s="36">
        <v>11428.57</v>
      </c>
      <c r="K1639" s="36">
        <v>377.33</v>
      </c>
      <c r="L1639" s="36">
        <f t="shared" si="125"/>
        <v>-11051.24</v>
      </c>
      <c r="M1639" s="37">
        <f t="shared" si="126"/>
        <v>-0.96698362087295264</v>
      </c>
      <c r="N1639" s="17" t="str">
        <f t="shared" si="127"/>
        <v>Under Budget</v>
      </c>
      <c r="O1639" s="38">
        <f t="shared" si="128"/>
        <v>377.33</v>
      </c>
      <c r="P1639" s="39">
        <f t="shared" si="129"/>
        <v>45717</v>
      </c>
    </row>
    <row r="1640" spans="1:16" ht="15.5" x14ac:dyDescent="0.35">
      <c r="A1640" s="17" t="s">
        <v>1688</v>
      </c>
      <c r="B1640" s="35">
        <v>45738</v>
      </c>
      <c r="C1640" s="17" t="s">
        <v>12</v>
      </c>
      <c r="D1640" s="17" t="s">
        <v>26</v>
      </c>
      <c r="E1640" s="17" t="s">
        <v>14</v>
      </c>
      <c r="F1640" s="17" t="s">
        <v>52</v>
      </c>
      <c r="G1640" s="17" t="s">
        <v>38</v>
      </c>
      <c r="H1640" s="17" t="s">
        <v>2594</v>
      </c>
      <c r="I1640" s="17" t="s">
        <v>23</v>
      </c>
      <c r="J1640" s="36">
        <v>4571.43</v>
      </c>
      <c r="K1640" s="36">
        <v>5632.57</v>
      </c>
      <c r="L1640" s="36">
        <f t="shared" si="125"/>
        <v>1061.1399999999994</v>
      </c>
      <c r="M1640" s="37">
        <f t="shared" si="126"/>
        <v>0.23212430246115534</v>
      </c>
      <c r="N1640" s="17" t="str">
        <f t="shared" si="127"/>
        <v>Over Budget</v>
      </c>
      <c r="O1640" s="38">
        <f t="shared" si="128"/>
        <v>-5632.57</v>
      </c>
      <c r="P1640" s="39">
        <f t="shared" si="129"/>
        <v>45717</v>
      </c>
    </row>
    <row r="1641" spans="1:16" ht="15.5" x14ac:dyDescent="0.35">
      <c r="A1641" s="17" t="s">
        <v>1689</v>
      </c>
      <c r="B1641" s="35">
        <v>46203</v>
      </c>
      <c r="C1641" s="17" t="s">
        <v>25</v>
      </c>
      <c r="D1641" s="17" t="s">
        <v>13</v>
      </c>
      <c r="E1641" s="17" t="s">
        <v>33</v>
      </c>
      <c r="F1641" s="17" t="s">
        <v>15</v>
      </c>
      <c r="G1641" s="17" t="s">
        <v>22</v>
      </c>
      <c r="H1641" s="17" t="s">
        <v>2597</v>
      </c>
      <c r="I1641" s="17" t="s">
        <v>39</v>
      </c>
      <c r="J1641" s="36">
        <v>10000</v>
      </c>
      <c r="K1641" s="36">
        <v>13774.46</v>
      </c>
      <c r="L1641" s="36">
        <f t="shared" si="125"/>
        <v>3774.4599999999991</v>
      </c>
      <c r="M1641" s="37">
        <f t="shared" si="126"/>
        <v>0.37744599999999989</v>
      </c>
      <c r="N1641" s="17" t="str">
        <f t="shared" si="127"/>
        <v>Over Budget</v>
      </c>
      <c r="O1641" s="38">
        <f t="shared" si="128"/>
        <v>13774.46</v>
      </c>
      <c r="P1641" s="39">
        <f t="shared" si="129"/>
        <v>46174</v>
      </c>
    </row>
    <row r="1642" spans="1:16" ht="15.5" x14ac:dyDescent="0.35">
      <c r="A1642" s="17" t="s">
        <v>1690</v>
      </c>
      <c r="B1642" s="35">
        <v>46059</v>
      </c>
      <c r="C1642" s="17" t="s">
        <v>12</v>
      </c>
      <c r="D1642" s="17" t="s">
        <v>19</v>
      </c>
      <c r="E1642" s="17" t="s">
        <v>20</v>
      </c>
      <c r="F1642" s="17" t="s">
        <v>52</v>
      </c>
      <c r="G1642" s="17" t="s">
        <v>43</v>
      </c>
      <c r="H1642" s="17" t="s">
        <v>2593</v>
      </c>
      <c r="I1642" s="17" t="s">
        <v>39</v>
      </c>
      <c r="J1642" s="36">
        <v>2182.5</v>
      </c>
      <c r="K1642" s="36">
        <v>1684.36</v>
      </c>
      <c r="L1642" s="36">
        <f t="shared" si="125"/>
        <v>-498.1400000000001</v>
      </c>
      <c r="M1642" s="37">
        <f t="shared" si="126"/>
        <v>-0.22824284077892329</v>
      </c>
      <c r="N1642" s="17" t="str">
        <f t="shared" si="127"/>
        <v>Under Budget</v>
      </c>
      <c r="O1642" s="38">
        <f t="shared" si="128"/>
        <v>-1684.36</v>
      </c>
      <c r="P1642" s="39">
        <f t="shared" si="129"/>
        <v>46054</v>
      </c>
    </row>
    <row r="1643" spans="1:16" ht="15.5" x14ac:dyDescent="0.35">
      <c r="A1643" s="17" t="s">
        <v>1691</v>
      </c>
      <c r="B1643" s="35">
        <v>45726</v>
      </c>
      <c r="C1643" s="17" t="s">
        <v>25</v>
      </c>
      <c r="D1643" s="17" t="s">
        <v>2585</v>
      </c>
      <c r="E1643" s="17" t="s">
        <v>109</v>
      </c>
      <c r="F1643" s="17" t="s">
        <v>34</v>
      </c>
      <c r="G1643" s="17" t="s">
        <v>38</v>
      </c>
      <c r="H1643" s="17" t="s">
        <v>2588</v>
      </c>
      <c r="I1643" s="17" t="s">
        <v>30</v>
      </c>
      <c r="J1643" s="36">
        <v>9090.91</v>
      </c>
      <c r="K1643" s="36">
        <v>6541.46</v>
      </c>
      <c r="L1643" s="36">
        <f t="shared" si="125"/>
        <v>-2549.4499999999998</v>
      </c>
      <c r="M1643" s="37">
        <f t="shared" si="126"/>
        <v>-0.28043947195605279</v>
      </c>
      <c r="N1643" s="17" t="str">
        <f t="shared" si="127"/>
        <v>Under Budget</v>
      </c>
      <c r="O1643" s="38">
        <f t="shared" si="128"/>
        <v>6541.46</v>
      </c>
      <c r="P1643" s="39">
        <f t="shared" si="129"/>
        <v>45717</v>
      </c>
    </row>
    <row r="1644" spans="1:16" ht="15.5" x14ac:dyDescent="0.35">
      <c r="A1644" s="17" t="s">
        <v>1692</v>
      </c>
      <c r="B1644" s="35">
        <v>45684</v>
      </c>
      <c r="C1644" s="17" t="s">
        <v>25</v>
      </c>
      <c r="D1644" s="17" t="s">
        <v>13</v>
      </c>
      <c r="E1644" s="17" t="s">
        <v>33</v>
      </c>
      <c r="F1644" s="17" t="s">
        <v>52</v>
      </c>
      <c r="G1644" s="17" t="s">
        <v>38</v>
      </c>
      <c r="H1644" s="17" t="s">
        <v>2587</v>
      </c>
      <c r="I1644" s="17" t="s">
        <v>17</v>
      </c>
      <c r="J1644" s="36">
        <v>11022.73</v>
      </c>
      <c r="K1644" s="36">
        <v>17636.14</v>
      </c>
      <c r="L1644" s="36">
        <f t="shared" si="125"/>
        <v>6613.41</v>
      </c>
      <c r="M1644" s="37">
        <f t="shared" si="126"/>
        <v>0.59997931546903538</v>
      </c>
      <c r="N1644" s="17" t="str">
        <f t="shared" si="127"/>
        <v>Over Budget</v>
      </c>
      <c r="O1644" s="38">
        <f t="shared" si="128"/>
        <v>17636.14</v>
      </c>
      <c r="P1644" s="39">
        <f t="shared" si="129"/>
        <v>45658</v>
      </c>
    </row>
    <row r="1645" spans="1:16" ht="15.5" x14ac:dyDescent="0.35">
      <c r="A1645" s="17" t="s">
        <v>1693</v>
      </c>
      <c r="B1645" s="35">
        <v>46119</v>
      </c>
      <c r="C1645" s="17" t="s">
        <v>25</v>
      </c>
      <c r="D1645" s="17" t="s">
        <v>32</v>
      </c>
      <c r="E1645" s="17" t="s">
        <v>169</v>
      </c>
      <c r="F1645" s="17" t="s">
        <v>52</v>
      </c>
      <c r="G1645" s="17" t="s">
        <v>43</v>
      </c>
      <c r="H1645" s="17" t="s">
        <v>2590</v>
      </c>
      <c r="I1645" s="17" t="s">
        <v>17</v>
      </c>
      <c r="J1645" s="36">
        <v>3333.33</v>
      </c>
      <c r="K1645" s="36">
        <v>2601.29</v>
      </c>
      <c r="L1645" s="36">
        <f t="shared" si="125"/>
        <v>-732.04</v>
      </c>
      <c r="M1645" s="37">
        <f t="shared" si="126"/>
        <v>-0.21961221961221961</v>
      </c>
      <c r="N1645" s="17" t="str">
        <f t="shared" si="127"/>
        <v>Under Budget</v>
      </c>
      <c r="O1645" s="38">
        <f t="shared" si="128"/>
        <v>2601.29</v>
      </c>
      <c r="P1645" s="39">
        <f t="shared" si="129"/>
        <v>46113</v>
      </c>
    </row>
    <row r="1646" spans="1:16" ht="15.5" x14ac:dyDescent="0.35">
      <c r="A1646" s="17" t="s">
        <v>1694</v>
      </c>
      <c r="B1646" s="35">
        <v>45900</v>
      </c>
      <c r="C1646" s="17" t="s">
        <v>12</v>
      </c>
      <c r="D1646" s="17" t="s">
        <v>19</v>
      </c>
      <c r="E1646" s="17" t="s">
        <v>14</v>
      </c>
      <c r="F1646" s="17" t="s">
        <v>28</v>
      </c>
      <c r="G1646" s="17" t="s">
        <v>82</v>
      </c>
      <c r="H1646" s="17" t="s">
        <v>2594</v>
      </c>
      <c r="I1646" s="17" t="s">
        <v>23</v>
      </c>
      <c r="J1646" s="36">
        <v>2285.71</v>
      </c>
      <c r="K1646" s="36">
        <v>2992.05</v>
      </c>
      <c r="L1646" s="36">
        <f t="shared" si="125"/>
        <v>706.34000000000015</v>
      </c>
      <c r="M1646" s="37">
        <f t="shared" si="126"/>
        <v>0.30902432942061775</v>
      </c>
      <c r="N1646" s="17" t="str">
        <f t="shared" si="127"/>
        <v>Over Budget</v>
      </c>
      <c r="O1646" s="38">
        <f t="shared" si="128"/>
        <v>-2992.05</v>
      </c>
      <c r="P1646" s="39">
        <f t="shared" si="129"/>
        <v>45870</v>
      </c>
    </row>
    <row r="1647" spans="1:16" ht="15.5" x14ac:dyDescent="0.35">
      <c r="A1647" s="17" t="s">
        <v>1695</v>
      </c>
      <c r="B1647" s="35">
        <v>45689</v>
      </c>
      <c r="C1647" s="17" t="s">
        <v>25</v>
      </c>
      <c r="D1647" s="17" t="s">
        <v>32</v>
      </c>
      <c r="E1647" s="17" t="s">
        <v>27</v>
      </c>
      <c r="F1647" s="17" t="s">
        <v>34</v>
      </c>
      <c r="G1647" s="17" t="s">
        <v>38</v>
      </c>
      <c r="H1647" s="17" t="s">
        <v>2597</v>
      </c>
      <c r="I1647" s="17" t="s">
        <v>48</v>
      </c>
      <c r="J1647" s="36">
        <v>4850</v>
      </c>
      <c r="K1647" s="36">
        <v>2353.71</v>
      </c>
      <c r="L1647" s="36">
        <f t="shared" si="125"/>
        <v>-2496.29</v>
      </c>
      <c r="M1647" s="37">
        <f t="shared" si="126"/>
        <v>-0.51469896907216495</v>
      </c>
      <c r="N1647" s="17" t="str">
        <f t="shared" si="127"/>
        <v>Under Budget</v>
      </c>
      <c r="O1647" s="38">
        <f t="shared" si="128"/>
        <v>2353.71</v>
      </c>
      <c r="P1647" s="39">
        <f t="shared" si="129"/>
        <v>45689</v>
      </c>
    </row>
    <row r="1648" spans="1:16" ht="15.5" x14ac:dyDescent="0.35">
      <c r="A1648" s="17" t="s">
        <v>1696</v>
      </c>
      <c r="B1648" s="35">
        <v>45701</v>
      </c>
      <c r="C1648" s="17" t="s">
        <v>25</v>
      </c>
      <c r="D1648" s="17" t="s">
        <v>32</v>
      </c>
      <c r="E1648" s="17" t="s">
        <v>169</v>
      </c>
      <c r="F1648" s="17" t="s">
        <v>34</v>
      </c>
      <c r="G1648" s="17" t="s">
        <v>38</v>
      </c>
      <c r="H1648" s="17" t="s">
        <v>2595</v>
      </c>
      <c r="I1648" s="17" t="s">
        <v>23</v>
      </c>
      <c r="J1648" s="36">
        <v>3233.33</v>
      </c>
      <c r="K1648" s="36">
        <v>4264.6899999999996</v>
      </c>
      <c r="L1648" s="36">
        <f t="shared" si="125"/>
        <v>1031.3599999999997</v>
      </c>
      <c r="M1648" s="37">
        <f t="shared" si="126"/>
        <v>0.31897764843056531</v>
      </c>
      <c r="N1648" s="17" t="str">
        <f t="shared" si="127"/>
        <v>Over Budget</v>
      </c>
      <c r="O1648" s="38">
        <f t="shared" si="128"/>
        <v>4264.6899999999996</v>
      </c>
      <c r="P1648" s="39">
        <f t="shared" si="129"/>
        <v>45689</v>
      </c>
    </row>
    <row r="1649" spans="1:16" ht="15.5" x14ac:dyDescent="0.35">
      <c r="A1649" s="17" t="s">
        <v>1697</v>
      </c>
      <c r="B1649" s="35">
        <v>45688</v>
      </c>
      <c r="C1649" s="17" t="s">
        <v>25</v>
      </c>
      <c r="D1649" s="17" t="s">
        <v>19</v>
      </c>
      <c r="E1649" s="17" t="s">
        <v>33</v>
      </c>
      <c r="F1649" s="17" t="s">
        <v>15</v>
      </c>
      <c r="G1649" s="17" t="s">
        <v>38</v>
      </c>
      <c r="H1649" s="17" t="s">
        <v>2595</v>
      </c>
      <c r="I1649" s="17" t="s">
        <v>23</v>
      </c>
      <c r="J1649" s="36">
        <v>11022.73</v>
      </c>
      <c r="K1649" s="36">
        <v>11799.14</v>
      </c>
      <c r="L1649" s="36">
        <f t="shared" si="125"/>
        <v>776.40999999999985</v>
      </c>
      <c r="M1649" s="37">
        <f t="shared" si="126"/>
        <v>7.0437178448533158E-2</v>
      </c>
      <c r="N1649" s="17" t="str">
        <f t="shared" si="127"/>
        <v>Over Budget</v>
      </c>
      <c r="O1649" s="38">
        <f t="shared" si="128"/>
        <v>11799.14</v>
      </c>
      <c r="P1649" s="39">
        <f t="shared" si="129"/>
        <v>45658</v>
      </c>
    </row>
    <row r="1650" spans="1:16" ht="15.5" x14ac:dyDescent="0.35">
      <c r="A1650" s="17" t="s">
        <v>1698</v>
      </c>
      <c r="B1650" s="35">
        <v>45717</v>
      </c>
      <c r="C1650" s="17" t="s">
        <v>25</v>
      </c>
      <c r="D1650" s="17" t="s">
        <v>32</v>
      </c>
      <c r="E1650" s="17" t="s">
        <v>33</v>
      </c>
      <c r="F1650" s="17" t="s">
        <v>21</v>
      </c>
      <c r="G1650" s="17" t="s">
        <v>38</v>
      </c>
      <c r="H1650" s="17" t="s">
        <v>2588</v>
      </c>
      <c r="I1650" s="17" t="s">
        <v>30</v>
      </c>
      <c r="J1650" s="36">
        <v>8064.52</v>
      </c>
      <c r="K1650" s="36">
        <v>2276.2600000000002</v>
      </c>
      <c r="L1650" s="36">
        <f t="shared" si="125"/>
        <v>-5788.26</v>
      </c>
      <c r="M1650" s="37">
        <f t="shared" si="126"/>
        <v>-0.71774389548293016</v>
      </c>
      <c r="N1650" s="17" t="str">
        <f t="shared" si="127"/>
        <v>Under Budget</v>
      </c>
      <c r="O1650" s="38">
        <f t="shared" si="128"/>
        <v>2276.2600000000002</v>
      </c>
      <c r="P1650" s="39">
        <f t="shared" si="129"/>
        <v>45717</v>
      </c>
    </row>
    <row r="1651" spans="1:16" ht="15.5" x14ac:dyDescent="0.35">
      <c r="A1651" s="17" t="s">
        <v>1699</v>
      </c>
      <c r="B1651" s="35">
        <v>46056</v>
      </c>
      <c r="C1651" s="17" t="s">
        <v>25</v>
      </c>
      <c r="D1651" s="17" t="s">
        <v>36</v>
      </c>
      <c r="E1651" s="17" t="s">
        <v>33</v>
      </c>
      <c r="F1651" s="17" t="s">
        <v>21</v>
      </c>
      <c r="G1651" s="17" t="s">
        <v>38</v>
      </c>
      <c r="H1651" s="17" t="s">
        <v>2593</v>
      </c>
      <c r="I1651" s="17" t="s">
        <v>48</v>
      </c>
      <c r="J1651" s="36">
        <v>12125</v>
      </c>
      <c r="K1651" s="36">
        <v>21817.64</v>
      </c>
      <c r="L1651" s="36">
        <f t="shared" si="125"/>
        <v>9692.64</v>
      </c>
      <c r="M1651" s="37">
        <f t="shared" si="126"/>
        <v>0.79939298969072159</v>
      </c>
      <c r="N1651" s="17" t="str">
        <f t="shared" si="127"/>
        <v>Over Budget</v>
      </c>
      <c r="O1651" s="38">
        <f t="shared" si="128"/>
        <v>21817.64</v>
      </c>
      <c r="P1651" s="39">
        <f t="shared" si="129"/>
        <v>46054</v>
      </c>
    </row>
    <row r="1652" spans="1:16" ht="15.5" x14ac:dyDescent="0.35">
      <c r="A1652" s="17" t="s">
        <v>1700</v>
      </c>
      <c r="B1652" s="35">
        <v>46191</v>
      </c>
      <c r="C1652" s="17" t="s">
        <v>25</v>
      </c>
      <c r="D1652" s="17" t="s">
        <v>32</v>
      </c>
      <c r="E1652" s="17" t="s">
        <v>109</v>
      </c>
      <c r="F1652" s="17" t="s">
        <v>28</v>
      </c>
      <c r="G1652" s="17" t="s">
        <v>38</v>
      </c>
      <c r="H1652" s="17" t="s">
        <v>2596</v>
      </c>
      <c r="I1652" s="17" t="s">
        <v>30</v>
      </c>
      <c r="J1652" s="36">
        <v>4761.8999999999996</v>
      </c>
      <c r="K1652" s="36">
        <v>7723.45</v>
      </c>
      <c r="L1652" s="36">
        <f t="shared" si="125"/>
        <v>2961.55</v>
      </c>
      <c r="M1652" s="37">
        <f t="shared" si="126"/>
        <v>0.62192612192612207</v>
      </c>
      <c r="N1652" s="17" t="str">
        <f t="shared" si="127"/>
        <v>Over Budget</v>
      </c>
      <c r="O1652" s="38">
        <f t="shared" si="128"/>
        <v>7723.45</v>
      </c>
      <c r="P1652" s="39">
        <f t="shared" si="129"/>
        <v>46174</v>
      </c>
    </row>
    <row r="1653" spans="1:16" ht="15.5" x14ac:dyDescent="0.35">
      <c r="A1653" s="17" t="s">
        <v>1701</v>
      </c>
      <c r="B1653" s="35">
        <v>45667</v>
      </c>
      <c r="C1653" s="17" t="s">
        <v>12</v>
      </c>
      <c r="D1653" s="17" t="s">
        <v>26</v>
      </c>
      <c r="E1653" s="17" t="s">
        <v>41</v>
      </c>
      <c r="F1653" s="17" t="s">
        <v>28</v>
      </c>
      <c r="G1653" s="17" t="s">
        <v>16</v>
      </c>
      <c r="H1653" s="17" t="s">
        <v>2588</v>
      </c>
      <c r="I1653" s="17" t="s">
        <v>23</v>
      </c>
      <c r="J1653" s="36">
        <v>12610</v>
      </c>
      <c r="K1653" s="36">
        <v>7188.85</v>
      </c>
      <c r="L1653" s="36">
        <f t="shared" si="125"/>
        <v>-5421.15</v>
      </c>
      <c r="M1653" s="37">
        <f t="shared" si="126"/>
        <v>-0.4299088025376685</v>
      </c>
      <c r="N1653" s="17" t="str">
        <f t="shared" si="127"/>
        <v>Under Budget</v>
      </c>
      <c r="O1653" s="38">
        <f t="shared" si="128"/>
        <v>-7188.85</v>
      </c>
      <c r="P1653" s="39">
        <f t="shared" si="129"/>
        <v>45658</v>
      </c>
    </row>
    <row r="1654" spans="1:16" ht="15.5" x14ac:dyDescent="0.35">
      <c r="A1654" s="17" t="s">
        <v>1702</v>
      </c>
      <c r="B1654" s="35">
        <v>46141</v>
      </c>
      <c r="C1654" s="17" t="s">
        <v>12</v>
      </c>
      <c r="D1654" s="17" t="s">
        <v>2584</v>
      </c>
      <c r="E1654" s="17" t="s">
        <v>77</v>
      </c>
      <c r="F1654" s="17" t="s">
        <v>34</v>
      </c>
      <c r="G1654" s="17" t="s">
        <v>43</v>
      </c>
      <c r="H1654" s="17" t="s">
        <v>60</v>
      </c>
      <c r="I1654" s="17" t="s">
        <v>23</v>
      </c>
      <c r="J1654" s="36">
        <v>2750</v>
      </c>
      <c r="K1654" s="36">
        <v>2307.09</v>
      </c>
      <c r="L1654" s="36">
        <f t="shared" si="125"/>
        <v>-442.90999999999985</v>
      </c>
      <c r="M1654" s="37">
        <f t="shared" si="126"/>
        <v>-0.16105818181818177</v>
      </c>
      <c r="N1654" s="17" t="str">
        <f t="shared" si="127"/>
        <v>Under Budget</v>
      </c>
      <c r="O1654" s="38">
        <f t="shared" si="128"/>
        <v>-2307.09</v>
      </c>
      <c r="P1654" s="39">
        <f t="shared" si="129"/>
        <v>46113</v>
      </c>
    </row>
    <row r="1655" spans="1:16" ht="15.5" x14ac:dyDescent="0.35">
      <c r="A1655" s="17" t="s">
        <v>1703</v>
      </c>
      <c r="B1655" s="35">
        <v>46109</v>
      </c>
      <c r="C1655" s="17" t="s">
        <v>25</v>
      </c>
      <c r="D1655" s="17" t="s">
        <v>36</v>
      </c>
      <c r="E1655" s="17" t="s">
        <v>109</v>
      </c>
      <c r="F1655" s="17" t="s">
        <v>21</v>
      </c>
      <c r="G1655" s="17" t="s">
        <v>22</v>
      </c>
      <c r="H1655" s="17" t="s">
        <v>2588</v>
      </c>
      <c r="I1655" s="17" t="s">
        <v>39</v>
      </c>
      <c r="J1655" s="36">
        <v>10000</v>
      </c>
      <c r="K1655" s="36">
        <v>3644.4</v>
      </c>
      <c r="L1655" s="36">
        <f t="shared" si="125"/>
        <v>-6355.6</v>
      </c>
      <c r="M1655" s="37">
        <f t="shared" si="126"/>
        <v>-0.63556000000000001</v>
      </c>
      <c r="N1655" s="17" t="str">
        <f t="shared" si="127"/>
        <v>Under Budget</v>
      </c>
      <c r="O1655" s="38">
        <f t="shared" si="128"/>
        <v>3644.4</v>
      </c>
      <c r="P1655" s="39">
        <f t="shared" si="129"/>
        <v>46082</v>
      </c>
    </row>
    <row r="1656" spans="1:16" ht="15.5" x14ac:dyDescent="0.35">
      <c r="A1656" s="17" t="s">
        <v>1704</v>
      </c>
      <c r="B1656" s="35">
        <v>46061</v>
      </c>
      <c r="C1656" s="17" t="s">
        <v>12</v>
      </c>
      <c r="D1656" s="17" t="s">
        <v>26</v>
      </c>
      <c r="E1656" s="17" t="s">
        <v>41</v>
      </c>
      <c r="F1656" s="17" t="s">
        <v>34</v>
      </c>
      <c r="G1656" s="17" t="s">
        <v>38</v>
      </c>
      <c r="H1656" s="17" t="s">
        <v>2591</v>
      </c>
      <c r="I1656" s="17" t="s">
        <v>23</v>
      </c>
      <c r="J1656" s="36">
        <v>6305</v>
      </c>
      <c r="K1656" s="36">
        <v>3548.72</v>
      </c>
      <c r="L1656" s="36">
        <f t="shared" si="125"/>
        <v>-2756.28</v>
      </c>
      <c r="M1656" s="37">
        <f t="shared" si="126"/>
        <v>-0.43715781126090408</v>
      </c>
      <c r="N1656" s="17" t="str">
        <f t="shared" si="127"/>
        <v>Under Budget</v>
      </c>
      <c r="O1656" s="38">
        <f t="shared" si="128"/>
        <v>-3548.72</v>
      </c>
      <c r="P1656" s="39">
        <f t="shared" si="129"/>
        <v>46054</v>
      </c>
    </row>
    <row r="1657" spans="1:16" ht="15.5" x14ac:dyDescent="0.35">
      <c r="A1657" s="17" t="s">
        <v>1705</v>
      </c>
      <c r="B1657" s="35">
        <v>45999</v>
      </c>
      <c r="C1657" s="17" t="s">
        <v>25</v>
      </c>
      <c r="D1657" s="17" t="s">
        <v>32</v>
      </c>
      <c r="E1657" s="17" t="s">
        <v>169</v>
      </c>
      <c r="F1657" s="17" t="s">
        <v>15</v>
      </c>
      <c r="G1657" s="17" t="s">
        <v>29</v>
      </c>
      <c r="H1657" s="17" t="s">
        <v>2587</v>
      </c>
      <c r="I1657" s="17" t="s">
        <v>23</v>
      </c>
      <c r="J1657" s="36">
        <v>3500</v>
      </c>
      <c r="K1657" s="36">
        <v>1562.83</v>
      </c>
      <c r="L1657" s="36">
        <f t="shared" si="125"/>
        <v>-1937.17</v>
      </c>
      <c r="M1657" s="37">
        <f t="shared" si="126"/>
        <v>-0.55347714285714289</v>
      </c>
      <c r="N1657" s="17" t="str">
        <f t="shared" si="127"/>
        <v>Under Budget</v>
      </c>
      <c r="O1657" s="38">
        <f t="shared" si="128"/>
        <v>1562.83</v>
      </c>
      <c r="P1657" s="39">
        <f t="shared" si="129"/>
        <v>45992</v>
      </c>
    </row>
    <row r="1658" spans="1:16" ht="15.5" x14ac:dyDescent="0.35">
      <c r="A1658" s="17" t="s">
        <v>1706</v>
      </c>
      <c r="B1658" s="35">
        <v>45935</v>
      </c>
      <c r="C1658" s="17" t="s">
        <v>25</v>
      </c>
      <c r="D1658" s="17" t="s">
        <v>32</v>
      </c>
      <c r="E1658" s="17" t="s">
        <v>27</v>
      </c>
      <c r="F1658" s="17" t="s">
        <v>52</v>
      </c>
      <c r="G1658" s="17" t="s">
        <v>43</v>
      </c>
      <c r="H1658" s="17" t="s">
        <v>80</v>
      </c>
      <c r="I1658" s="17" t="s">
        <v>23</v>
      </c>
      <c r="J1658" s="36">
        <v>4705.88</v>
      </c>
      <c r="K1658" s="36">
        <v>3312.3</v>
      </c>
      <c r="L1658" s="36">
        <f t="shared" si="125"/>
        <v>-1393.58</v>
      </c>
      <c r="M1658" s="37">
        <f t="shared" si="126"/>
        <v>-0.29613589806794899</v>
      </c>
      <c r="N1658" s="17" t="str">
        <f t="shared" si="127"/>
        <v>Under Budget</v>
      </c>
      <c r="O1658" s="38">
        <f t="shared" si="128"/>
        <v>3312.3</v>
      </c>
      <c r="P1658" s="39">
        <f t="shared" si="129"/>
        <v>45931</v>
      </c>
    </row>
    <row r="1659" spans="1:16" ht="15.5" x14ac:dyDescent="0.35">
      <c r="A1659" s="17" t="s">
        <v>1707</v>
      </c>
      <c r="B1659" s="35">
        <v>45846</v>
      </c>
      <c r="C1659" s="17" t="s">
        <v>12</v>
      </c>
      <c r="D1659" s="17" t="s">
        <v>19</v>
      </c>
      <c r="E1659" s="17" t="s">
        <v>45</v>
      </c>
      <c r="F1659" s="17" t="s">
        <v>52</v>
      </c>
      <c r="G1659" s="17" t="s">
        <v>38</v>
      </c>
      <c r="H1659" s="17" t="s">
        <v>2590</v>
      </c>
      <c r="I1659" s="17" t="s">
        <v>48</v>
      </c>
      <c r="J1659" s="36">
        <v>6923.08</v>
      </c>
      <c r="K1659" s="36">
        <v>7012.6</v>
      </c>
      <c r="L1659" s="36">
        <f t="shared" si="125"/>
        <v>89.520000000000437</v>
      </c>
      <c r="M1659" s="37">
        <f t="shared" si="126"/>
        <v>1.2930660919706322E-2</v>
      </c>
      <c r="N1659" s="17" t="str">
        <f t="shared" si="127"/>
        <v>Over Budget</v>
      </c>
      <c r="O1659" s="38">
        <f t="shared" si="128"/>
        <v>-7012.6</v>
      </c>
      <c r="P1659" s="39">
        <f t="shared" si="129"/>
        <v>45839</v>
      </c>
    </row>
    <row r="1660" spans="1:16" ht="15.5" x14ac:dyDescent="0.35">
      <c r="A1660" s="17" t="s">
        <v>1708</v>
      </c>
      <c r="B1660" s="35">
        <v>46022</v>
      </c>
      <c r="C1660" s="17" t="s">
        <v>12</v>
      </c>
      <c r="D1660" s="17" t="s">
        <v>2584</v>
      </c>
      <c r="E1660" s="17" t="s">
        <v>77</v>
      </c>
      <c r="F1660" s="17" t="s">
        <v>21</v>
      </c>
      <c r="G1660" s="17" t="s">
        <v>38</v>
      </c>
      <c r="H1660" s="17" t="s">
        <v>2593</v>
      </c>
      <c r="I1660" s="17" t="s">
        <v>39</v>
      </c>
      <c r="J1660" s="36">
        <v>3300</v>
      </c>
      <c r="K1660" s="36">
        <v>1822.72</v>
      </c>
      <c r="L1660" s="36">
        <f t="shared" si="125"/>
        <v>-1477.28</v>
      </c>
      <c r="M1660" s="37">
        <f t="shared" si="126"/>
        <v>-0.44766060606060604</v>
      </c>
      <c r="N1660" s="17" t="str">
        <f t="shared" si="127"/>
        <v>Under Budget</v>
      </c>
      <c r="O1660" s="38">
        <f t="shared" si="128"/>
        <v>-1822.72</v>
      </c>
      <c r="P1660" s="39">
        <f t="shared" si="129"/>
        <v>45992</v>
      </c>
    </row>
    <row r="1661" spans="1:16" ht="15.5" x14ac:dyDescent="0.35">
      <c r="A1661" s="17" t="s">
        <v>1709</v>
      </c>
      <c r="B1661" s="35">
        <v>46015</v>
      </c>
      <c r="C1661" s="17" t="s">
        <v>25</v>
      </c>
      <c r="D1661" s="17" t="s">
        <v>19</v>
      </c>
      <c r="E1661" s="17" t="s">
        <v>109</v>
      </c>
      <c r="F1661" s="17" t="s">
        <v>15</v>
      </c>
      <c r="G1661" s="17" t="s">
        <v>38</v>
      </c>
      <c r="H1661" s="17" t="s">
        <v>80</v>
      </c>
      <c r="I1661" s="17" t="s">
        <v>39</v>
      </c>
      <c r="J1661" s="36">
        <v>9545.4500000000007</v>
      </c>
      <c r="K1661" s="36">
        <v>9771.42</v>
      </c>
      <c r="L1661" s="36">
        <f t="shared" si="125"/>
        <v>225.96999999999935</v>
      </c>
      <c r="M1661" s="37">
        <f t="shared" si="126"/>
        <v>2.3673058891932736E-2</v>
      </c>
      <c r="N1661" s="17" t="str">
        <f t="shared" si="127"/>
        <v>Over Budget</v>
      </c>
      <c r="O1661" s="38">
        <f t="shared" si="128"/>
        <v>9771.42</v>
      </c>
      <c r="P1661" s="39">
        <f t="shared" si="129"/>
        <v>45992</v>
      </c>
    </row>
    <row r="1662" spans="1:16" ht="15.5" x14ac:dyDescent="0.35">
      <c r="A1662" s="17" t="s">
        <v>1710</v>
      </c>
      <c r="B1662" s="35">
        <v>45819</v>
      </c>
      <c r="C1662" s="17" t="s">
        <v>25</v>
      </c>
      <c r="D1662" s="17" t="s">
        <v>32</v>
      </c>
      <c r="E1662" s="17" t="s">
        <v>169</v>
      </c>
      <c r="F1662" s="17" t="s">
        <v>34</v>
      </c>
      <c r="G1662" s="17" t="s">
        <v>82</v>
      </c>
      <c r="H1662" s="17" t="s">
        <v>2589</v>
      </c>
      <c r="I1662" s="17" t="s">
        <v>30</v>
      </c>
      <c r="J1662" s="36">
        <v>20000</v>
      </c>
      <c r="K1662" s="36">
        <v>4868.2</v>
      </c>
      <c r="L1662" s="36">
        <f t="shared" si="125"/>
        <v>-15131.8</v>
      </c>
      <c r="M1662" s="37">
        <f t="shared" si="126"/>
        <v>-0.75658999999999998</v>
      </c>
      <c r="N1662" s="17" t="str">
        <f t="shared" si="127"/>
        <v>Under Budget</v>
      </c>
      <c r="O1662" s="38">
        <f t="shared" si="128"/>
        <v>4868.2</v>
      </c>
      <c r="P1662" s="39">
        <f t="shared" si="129"/>
        <v>45809</v>
      </c>
    </row>
    <row r="1663" spans="1:16" ht="15.5" x14ac:dyDescent="0.35">
      <c r="A1663" s="17" t="s">
        <v>1711</v>
      </c>
      <c r="B1663" s="35">
        <v>46178</v>
      </c>
      <c r="C1663" s="17" t="s">
        <v>12</v>
      </c>
      <c r="D1663" s="17" t="s">
        <v>2585</v>
      </c>
      <c r="E1663" s="17" t="s">
        <v>51</v>
      </c>
      <c r="F1663" s="17" t="s">
        <v>52</v>
      </c>
      <c r="G1663" s="17" t="s">
        <v>38</v>
      </c>
      <c r="H1663" s="17" t="s">
        <v>2588</v>
      </c>
      <c r="I1663" s="17" t="s">
        <v>23</v>
      </c>
      <c r="J1663" s="36">
        <v>6000</v>
      </c>
      <c r="K1663" s="36">
        <v>5412.07</v>
      </c>
      <c r="L1663" s="36">
        <f t="shared" si="125"/>
        <v>-587.93000000000029</v>
      </c>
      <c r="M1663" s="37">
        <f t="shared" si="126"/>
        <v>-9.7988333333333386E-2</v>
      </c>
      <c r="N1663" s="17" t="str">
        <f t="shared" si="127"/>
        <v>Under Budget</v>
      </c>
      <c r="O1663" s="38">
        <f t="shared" si="128"/>
        <v>-5412.07</v>
      </c>
      <c r="P1663" s="39">
        <f t="shared" si="129"/>
        <v>46174</v>
      </c>
    </row>
    <row r="1664" spans="1:16" ht="15.5" x14ac:dyDescent="0.35">
      <c r="A1664" s="17" t="s">
        <v>1712</v>
      </c>
      <c r="B1664" s="35">
        <v>46094</v>
      </c>
      <c r="C1664" s="17" t="s">
        <v>25</v>
      </c>
      <c r="D1664" s="17" t="s">
        <v>26</v>
      </c>
      <c r="E1664" s="17" t="s">
        <v>109</v>
      </c>
      <c r="F1664" s="17" t="s">
        <v>15</v>
      </c>
      <c r="G1664" s="17" t="s">
        <v>29</v>
      </c>
      <c r="H1664" s="17" t="s">
        <v>2590</v>
      </c>
      <c r="I1664" s="17" t="s">
        <v>30</v>
      </c>
      <c r="J1664" s="36">
        <v>10000</v>
      </c>
      <c r="K1664" s="36">
        <v>11976.39</v>
      </c>
      <c r="L1664" s="36">
        <f t="shared" si="125"/>
        <v>1976.3899999999994</v>
      </c>
      <c r="M1664" s="37">
        <f t="shared" si="126"/>
        <v>0.19763899999999995</v>
      </c>
      <c r="N1664" s="17" t="str">
        <f t="shared" si="127"/>
        <v>Over Budget</v>
      </c>
      <c r="O1664" s="38">
        <f t="shared" si="128"/>
        <v>11976.39</v>
      </c>
      <c r="P1664" s="39">
        <f t="shared" si="129"/>
        <v>46082</v>
      </c>
    </row>
    <row r="1665" spans="1:16" ht="15.5" x14ac:dyDescent="0.35">
      <c r="A1665" s="17" t="s">
        <v>1713</v>
      </c>
      <c r="B1665" s="35">
        <v>45763</v>
      </c>
      <c r="C1665" s="17" t="s">
        <v>25</v>
      </c>
      <c r="D1665" s="17" t="s">
        <v>32</v>
      </c>
      <c r="E1665" s="17" t="s">
        <v>169</v>
      </c>
      <c r="F1665" s="17" t="s">
        <v>28</v>
      </c>
      <c r="G1665" s="17" t="s">
        <v>22</v>
      </c>
      <c r="H1665" s="17" t="s">
        <v>2592</v>
      </c>
      <c r="I1665" s="17" t="s">
        <v>39</v>
      </c>
      <c r="J1665" s="36">
        <v>6666.67</v>
      </c>
      <c r="K1665" s="36">
        <v>841.99</v>
      </c>
      <c r="L1665" s="36">
        <f t="shared" si="125"/>
        <v>-5824.68</v>
      </c>
      <c r="M1665" s="37">
        <f t="shared" si="126"/>
        <v>-0.87370156314921843</v>
      </c>
      <c r="N1665" s="17" t="str">
        <f t="shared" si="127"/>
        <v>Under Budget</v>
      </c>
      <c r="O1665" s="38">
        <f t="shared" si="128"/>
        <v>841.99</v>
      </c>
      <c r="P1665" s="39">
        <f t="shared" si="129"/>
        <v>45748</v>
      </c>
    </row>
    <row r="1666" spans="1:16" ht="15.5" x14ac:dyDescent="0.35">
      <c r="A1666" s="17" t="s">
        <v>1714</v>
      </c>
      <c r="B1666" s="35">
        <v>45917</v>
      </c>
      <c r="C1666" s="17" t="s">
        <v>12</v>
      </c>
      <c r="D1666" s="17" t="s">
        <v>26</v>
      </c>
      <c r="E1666" s="17" t="s">
        <v>45</v>
      </c>
      <c r="F1666" s="17" t="s">
        <v>28</v>
      </c>
      <c r="G1666" s="17" t="s">
        <v>16</v>
      </c>
      <c r="H1666" s="17" t="s">
        <v>2597</v>
      </c>
      <c r="I1666" s="17" t="s">
        <v>23</v>
      </c>
      <c r="J1666" s="36">
        <v>7500</v>
      </c>
      <c r="K1666" s="36">
        <v>6339.89</v>
      </c>
      <c r="L1666" s="36">
        <f t="shared" si="125"/>
        <v>-1160.1099999999997</v>
      </c>
      <c r="M1666" s="37">
        <f t="shared" si="126"/>
        <v>-0.15468133333333328</v>
      </c>
      <c r="N1666" s="17" t="str">
        <f t="shared" si="127"/>
        <v>Under Budget</v>
      </c>
      <c r="O1666" s="38">
        <f t="shared" si="128"/>
        <v>-6339.89</v>
      </c>
      <c r="P1666" s="39">
        <f t="shared" si="129"/>
        <v>45901</v>
      </c>
    </row>
    <row r="1667" spans="1:16" ht="15.5" x14ac:dyDescent="0.35">
      <c r="A1667" s="17" t="s">
        <v>1715</v>
      </c>
      <c r="B1667" s="35">
        <v>45699</v>
      </c>
      <c r="C1667" s="17" t="s">
        <v>25</v>
      </c>
      <c r="D1667" s="17" t="s">
        <v>19</v>
      </c>
      <c r="E1667" s="17" t="s">
        <v>27</v>
      </c>
      <c r="F1667" s="17" t="s">
        <v>34</v>
      </c>
      <c r="G1667" s="17" t="s">
        <v>82</v>
      </c>
      <c r="H1667" s="17" t="s">
        <v>2593</v>
      </c>
      <c r="I1667" s="17" t="s">
        <v>23</v>
      </c>
      <c r="J1667" s="36">
        <v>4850</v>
      </c>
      <c r="K1667" s="36">
        <v>5310.42</v>
      </c>
      <c r="L1667" s="36">
        <f t="shared" ref="L1667:L1730" si="130">K1667-J1667</f>
        <v>460.42000000000007</v>
      </c>
      <c r="M1667" s="37">
        <f t="shared" ref="M1667:M1730" si="131">IF(J1667=0,0,L1667/J1667)</f>
        <v>9.4931958762886612E-2</v>
      </c>
      <c r="N1667" s="17" t="str">
        <f t="shared" ref="N1667:N1730" si="132">IF(J1667=0,"No Budget",IF(K1667&gt;J1667,"Over Budget",IF(K1667&lt;J1667,"Under Budget","On Budget")))</f>
        <v>Over Budget</v>
      </c>
      <c r="O1667" s="38">
        <f t="shared" ref="O1667:O1730" si="133">IF(C1667="Revenue",K1667,-K1667)</f>
        <v>5310.42</v>
      </c>
      <c r="P1667" s="39">
        <f t="shared" ref="P1667:P1730" si="134">DATE(YEAR(B1667),MONTH(B1667),1)</f>
        <v>45689</v>
      </c>
    </row>
    <row r="1668" spans="1:16" ht="15.5" x14ac:dyDescent="0.35">
      <c r="A1668" s="17" t="s">
        <v>1716</v>
      </c>
      <c r="B1668" s="35">
        <v>46195</v>
      </c>
      <c r="C1668" s="17" t="s">
        <v>12</v>
      </c>
      <c r="D1668" s="17" t="s">
        <v>2584</v>
      </c>
      <c r="E1668" s="17" t="s">
        <v>65</v>
      </c>
      <c r="F1668" s="17" t="s">
        <v>28</v>
      </c>
      <c r="G1668" s="17" t="s">
        <v>22</v>
      </c>
      <c r="H1668" s="17" t="s">
        <v>2597</v>
      </c>
      <c r="I1668" s="17" t="s">
        <v>48</v>
      </c>
      <c r="J1668" s="36">
        <v>3666.67</v>
      </c>
      <c r="K1668" s="36">
        <v>4269.8100000000004</v>
      </c>
      <c r="L1668" s="36">
        <f t="shared" si="130"/>
        <v>603.14000000000033</v>
      </c>
      <c r="M1668" s="37">
        <f t="shared" si="131"/>
        <v>0.16449257773402032</v>
      </c>
      <c r="N1668" s="17" t="str">
        <f t="shared" si="132"/>
        <v>Over Budget</v>
      </c>
      <c r="O1668" s="38">
        <f t="shared" si="133"/>
        <v>-4269.8100000000004</v>
      </c>
      <c r="P1668" s="39">
        <f t="shared" si="134"/>
        <v>46174</v>
      </c>
    </row>
    <row r="1669" spans="1:16" ht="15.5" x14ac:dyDescent="0.35">
      <c r="A1669" s="17" t="s">
        <v>1717</v>
      </c>
      <c r="B1669" s="35">
        <v>46196</v>
      </c>
      <c r="C1669" s="17" t="s">
        <v>12</v>
      </c>
      <c r="D1669" s="17" t="s">
        <v>32</v>
      </c>
      <c r="E1669" s="17" t="s">
        <v>41</v>
      </c>
      <c r="F1669" s="17" t="s">
        <v>52</v>
      </c>
      <c r="G1669" s="17" t="s">
        <v>38</v>
      </c>
      <c r="H1669" s="17" t="s">
        <v>2587</v>
      </c>
      <c r="I1669" s="17" t="s">
        <v>23</v>
      </c>
      <c r="J1669" s="36">
        <v>5416.67</v>
      </c>
      <c r="K1669" s="36">
        <v>3599.97</v>
      </c>
      <c r="L1669" s="36">
        <f t="shared" si="130"/>
        <v>-1816.7000000000003</v>
      </c>
      <c r="M1669" s="37">
        <f t="shared" si="131"/>
        <v>-0.33539056283657676</v>
      </c>
      <c r="N1669" s="17" t="str">
        <f t="shared" si="132"/>
        <v>Under Budget</v>
      </c>
      <c r="O1669" s="38">
        <f t="shared" si="133"/>
        <v>-3599.97</v>
      </c>
      <c r="P1669" s="39">
        <f t="shared" si="134"/>
        <v>46174</v>
      </c>
    </row>
    <row r="1670" spans="1:16" ht="15.5" x14ac:dyDescent="0.35">
      <c r="A1670" s="17" t="s">
        <v>1718</v>
      </c>
      <c r="B1670" s="35">
        <v>46072</v>
      </c>
      <c r="C1670" s="17" t="s">
        <v>12</v>
      </c>
      <c r="D1670" s="17" t="s">
        <v>19</v>
      </c>
      <c r="E1670" s="17" t="s">
        <v>51</v>
      </c>
      <c r="F1670" s="17" t="s">
        <v>21</v>
      </c>
      <c r="G1670" s="17" t="s">
        <v>43</v>
      </c>
      <c r="H1670" s="17" t="s">
        <v>2593</v>
      </c>
      <c r="I1670" s="17" t="s">
        <v>30</v>
      </c>
      <c r="J1670" s="36">
        <v>2910</v>
      </c>
      <c r="K1670" s="36">
        <v>5110.3</v>
      </c>
      <c r="L1670" s="36">
        <f t="shared" si="130"/>
        <v>2200.3000000000002</v>
      </c>
      <c r="M1670" s="37">
        <f t="shared" si="131"/>
        <v>0.75611683848797262</v>
      </c>
      <c r="N1670" s="17" t="str">
        <f t="shared" si="132"/>
        <v>Over Budget</v>
      </c>
      <c r="O1670" s="38">
        <f t="shared" si="133"/>
        <v>-5110.3</v>
      </c>
      <c r="P1670" s="39">
        <f t="shared" si="134"/>
        <v>46054</v>
      </c>
    </row>
    <row r="1671" spans="1:16" ht="15.5" x14ac:dyDescent="0.35">
      <c r="A1671" s="17" t="s">
        <v>1719</v>
      </c>
      <c r="B1671" s="35">
        <v>46061</v>
      </c>
      <c r="C1671" s="17" t="s">
        <v>12</v>
      </c>
      <c r="D1671" s="17" t="s">
        <v>2585</v>
      </c>
      <c r="E1671" s="17" t="s">
        <v>51</v>
      </c>
      <c r="F1671" s="17" t="s">
        <v>52</v>
      </c>
      <c r="G1671" s="17" t="s">
        <v>38</v>
      </c>
      <c r="H1671" s="17" t="s">
        <v>2591</v>
      </c>
      <c r="I1671" s="17" t="s">
        <v>23</v>
      </c>
      <c r="J1671" s="36">
        <v>2910</v>
      </c>
      <c r="K1671" s="36">
        <v>2097.7199999999998</v>
      </c>
      <c r="L1671" s="36">
        <f t="shared" si="130"/>
        <v>-812.2800000000002</v>
      </c>
      <c r="M1671" s="37">
        <f t="shared" si="131"/>
        <v>-0.27913402061855674</v>
      </c>
      <c r="N1671" s="17" t="str">
        <f t="shared" si="132"/>
        <v>Under Budget</v>
      </c>
      <c r="O1671" s="38">
        <f t="shared" si="133"/>
        <v>-2097.7199999999998</v>
      </c>
      <c r="P1671" s="39">
        <f t="shared" si="134"/>
        <v>46054</v>
      </c>
    </row>
    <row r="1672" spans="1:16" ht="15.5" x14ac:dyDescent="0.35">
      <c r="A1672" s="17" t="s">
        <v>1720</v>
      </c>
      <c r="B1672" s="35">
        <v>45989</v>
      </c>
      <c r="C1672" s="17" t="s">
        <v>25</v>
      </c>
      <c r="D1672" s="17" t="s">
        <v>19</v>
      </c>
      <c r="E1672" s="17" t="s">
        <v>33</v>
      </c>
      <c r="F1672" s="17" t="s">
        <v>52</v>
      </c>
      <c r="G1672" s="17" t="s">
        <v>38</v>
      </c>
      <c r="H1672" s="17" t="s">
        <v>2593</v>
      </c>
      <c r="I1672" s="17" t="s">
        <v>48</v>
      </c>
      <c r="J1672" s="36">
        <v>13125</v>
      </c>
      <c r="K1672" s="36">
        <v>9721.7099999999991</v>
      </c>
      <c r="L1672" s="36">
        <f t="shared" si="130"/>
        <v>-3403.2900000000009</v>
      </c>
      <c r="M1672" s="37">
        <f t="shared" si="131"/>
        <v>-0.25929828571428576</v>
      </c>
      <c r="N1672" s="17" t="str">
        <f t="shared" si="132"/>
        <v>Under Budget</v>
      </c>
      <c r="O1672" s="38">
        <f t="shared" si="133"/>
        <v>9721.7099999999991</v>
      </c>
      <c r="P1672" s="39">
        <f t="shared" si="134"/>
        <v>45962</v>
      </c>
    </row>
    <row r="1673" spans="1:16" ht="15.5" x14ac:dyDescent="0.35">
      <c r="A1673" s="17" t="s">
        <v>1721</v>
      </c>
      <c r="B1673" s="35">
        <v>45663</v>
      </c>
      <c r="C1673" s="17" t="s">
        <v>12</v>
      </c>
      <c r="D1673" s="17" t="s">
        <v>2584</v>
      </c>
      <c r="E1673" s="17" t="s">
        <v>45</v>
      </c>
      <c r="F1673" s="17" t="s">
        <v>34</v>
      </c>
      <c r="G1673" s="17" t="s">
        <v>29</v>
      </c>
      <c r="H1673" s="17" t="s">
        <v>2591</v>
      </c>
      <c r="I1673" s="17" t="s">
        <v>30</v>
      </c>
      <c r="J1673" s="36">
        <v>7591.3</v>
      </c>
      <c r="K1673" s="36">
        <v>1422.63</v>
      </c>
      <c r="L1673" s="36">
        <f t="shared" si="130"/>
        <v>-6168.67</v>
      </c>
      <c r="M1673" s="37">
        <f t="shared" si="131"/>
        <v>-0.81259731534783242</v>
      </c>
      <c r="N1673" s="17" t="str">
        <f t="shared" si="132"/>
        <v>Under Budget</v>
      </c>
      <c r="O1673" s="38">
        <f t="shared" si="133"/>
        <v>-1422.63</v>
      </c>
      <c r="P1673" s="39">
        <f t="shared" si="134"/>
        <v>45658</v>
      </c>
    </row>
    <row r="1674" spans="1:16" ht="15.5" x14ac:dyDescent="0.35">
      <c r="A1674" s="17" t="s">
        <v>1722</v>
      </c>
      <c r="B1674" s="35">
        <v>46106</v>
      </c>
      <c r="C1674" s="17" t="s">
        <v>12</v>
      </c>
      <c r="D1674" s="17" t="s">
        <v>19</v>
      </c>
      <c r="E1674" s="17" t="s">
        <v>51</v>
      </c>
      <c r="F1674" s="17" t="s">
        <v>28</v>
      </c>
      <c r="G1674" s="17" t="s">
        <v>38</v>
      </c>
      <c r="H1674" s="17" t="s">
        <v>2598</v>
      </c>
      <c r="I1674" s="17" t="s">
        <v>23</v>
      </c>
      <c r="J1674" s="36">
        <v>6000</v>
      </c>
      <c r="K1674" s="36">
        <v>2446.9899999999998</v>
      </c>
      <c r="L1674" s="36">
        <f t="shared" si="130"/>
        <v>-3553.01</v>
      </c>
      <c r="M1674" s="37">
        <f t="shared" si="131"/>
        <v>-0.59216833333333341</v>
      </c>
      <c r="N1674" s="17" t="str">
        <f t="shared" si="132"/>
        <v>Under Budget</v>
      </c>
      <c r="O1674" s="38">
        <f t="shared" si="133"/>
        <v>-2446.9899999999998</v>
      </c>
      <c r="P1674" s="39">
        <f t="shared" si="134"/>
        <v>46082</v>
      </c>
    </row>
    <row r="1675" spans="1:16" ht="15.5" x14ac:dyDescent="0.35">
      <c r="A1675" s="17" t="s">
        <v>1723</v>
      </c>
      <c r="B1675" s="35">
        <v>45838</v>
      </c>
      <c r="C1675" s="17" t="s">
        <v>12</v>
      </c>
      <c r="D1675" s="17" t="s">
        <v>19</v>
      </c>
      <c r="E1675" s="17" t="s">
        <v>45</v>
      </c>
      <c r="F1675" s="17" t="s">
        <v>15</v>
      </c>
      <c r="G1675" s="17" t="s">
        <v>16</v>
      </c>
      <c r="H1675" s="17" t="s">
        <v>2592</v>
      </c>
      <c r="I1675" s="17" t="s">
        <v>30</v>
      </c>
      <c r="J1675" s="36">
        <v>6428.57</v>
      </c>
      <c r="K1675" s="36">
        <v>9325.7099999999991</v>
      </c>
      <c r="L1675" s="36">
        <f t="shared" si="130"/>
        <v>2897.1399999999994</v>
      </c>
      <c r="M1675" s="37">
        <f t="shared" si="131"/>
        <v>0.4506663223702938</v>
      </c>
      <c r="N1675" s="17" t="str">
        <f t="shared" si="132"/>
        <v>Over Budget</v>
      </c>
      <c r="O1675" s="38">
        <f t="shared" si="133"/>
        <v>-9325.7099999999991</v>
      </c>
      <c r="P1675" s="39">
        <f t="shared" si="134"/>
        <v>45809</v>
      </c>
    </row>
    <row r="1676" spans="1:16" ht="15.5" x14ac:dyDescent="0.35">
      <c r="A1676" s="17" t="s">
        <v>1724</v>
      </c>
      <c r="B1676" s="35">
        <v>45946</v>
      </c>
      <c r="C1676" s="17" t="s">
        <v>25</v>
      </c>
      <c r="D1676" s="17" t="s">
        <v>19</v>
      </c>
      <c r="E1676" s="17" t="s">
        <v>33</v>
      </c>
      <c r="F1676" s="17" t="s">
        <v>28</v>
      </c>
      <c r="G1676" s="17" t="s">
        <v>43</v>
      </c>
      <c r="H1676" s="17" t="s">
        <v>2586</v>
      </c>
      <c r="I1676" s="17" t="s">
        <v>23</v>
      </c>
      <c r="J1676" s="36">
        <v>8928.57</v>
      </c>
      <c r="K1676" s="36">
        <v>3799.65</v>
      </c>
      <c r="L1676" s="36">
        <f t="shared" si="130"/>
        <v>-5128.92</v>
      </c>
      <c r="M1676" s="37">
        <f t="shared" si="131"/>
        <v>-0.57443913191026108</v>
      </c>
      <c r="N1676" s="17" t="str">
        <f t="shared" si="132"/>
        <v>Under Budget</v>
      </c>
      <c r="O1676" s="38">
        <f t="shared" si="133"/>
        <v>3799.65</v>
      </c>
      <c r="P1676" s="39">
        <f t="shared" si="134"/>
        <v>45931</v>
      </c>
    </row>
    <row r="1677" spans="1:16" ht="15.5" x14ac:dyDescent="0.35">
      <c r="A1677" s="17" t="s">
        <v>1725</v>
      </c>
      <c r="B1677" s="35">
        <v>45659</v>
      </c>
      <c r="C1677" s="17" t="s">
        <v>12</v>
      </c>
      <c r="D1677" s="17" t="s">
        <v>13</v>
      </c>
      <c r="E1677" s="17" t="s">
        <v>20</v>
      </c>
      <c r="F1677" s="17" t="s">
        <v>34</v>
      </c>
      <c r="G1677" s="17" t="s">
        <v>38</v>
      </c>
      <c r="H1677" s="17" t="s">
        <v>2598</v>
      </c>
      <c r="I1677" s="17" t="s">
        <v>39</v>
      </c>
      <c r="J1677" s="36">
        <v>1746</v>
      </c>
      <c r="K1677" s="36">
        <v>181.38</v>
      </c>
      <c r="L1677" s="36">
        <f t="shared" si="130"/>
        <v>-1564.62</v>
      </c>
      <c r="M1677" s="37">
        <f t="shared" si="131"/>
        <v>-0.89611683848797241</v>
      </c>
      <c r="N1677" s="17" t="str">
        <f t="shared" si="132"/>
        <v>Under Budget</v>
      </c>
      <c r="O1677" s="38">
        <f t="shared" si="133"/>
        <v>-181.38</v>
      </c>
      <c r="P1677" s="39">
        <f t="shared" si="134"/>
        <v>45658</v>
      </c>
    </row>
    <row r="1678" spans="1:16" ht="15.5" x14ac:dyDescent="0.35">
      <c r="A1678" s="17" t="s">
        <v>1726</v>
      </c>
      <c r="B1678" s="35">
        <v>45915</v>
      </c>
      <c r="C1678" s="17" t="s">
        <v>25</v>
      </c>
      <c r="D1678" s="17" t="s">
        <v>32</v>
      </c>
      <c r="E1678" s="17" t="s">
        <v>27</v>
      </c>
      <c r="F1678" s="17" t="s">
        <v>52</v>
      </c>
      <c r="G1678" s="17" t="s">
        <v>38</v>
      </c>
      <c r="H1678" s="17" t="s">
        <v>2587</v>
      </c>
      <c r="I1678" s="17" t="s">
        <v>23</v>
      </c>
      <c r="J1678" s="36">
        <v>10000</v>
      </c>
      <c r="K1678" s="36">
        <v>5922.82</v>
      </c>
      <c r="L1678" s="36">
        <f t="shared" si="130"/>
        <v>-4077.1800000000003</v>
      </c>
      <c r="M1678" s="37">
        <f t="shared" si="131"/>
        <v>-0.40771800000000002</v>
      </c>
      <c r="N1678" s="17" t="str">
        <f t="shared" si="132"/>
        <v>Under Budget</v>
      </c>
      <c r="O1678" s="38">
        <f t="shared" si="133"/>
        <v>5922.82</v>
      </c>
      <c r="P1678" s="39">
        <f t="shared" si="134"/>
        <v>45901</v>
      </c>
    </row>
    <row r="1679" spans="1:16" ht="15.5" x14ac:dyDescent="0.35">
      <c r="A1679" s="17" t="s">
        <v>1727</v>
      </c>
      <c r="B1679" s="35">
        <v>45710</v>
      </c>
      <c r="C1679" s="17" t="s">
        <v>12</v>
      </c>
      <c r="D1679" s="17" t="s">
        <v>2585</v>
      </c>
      <c r="E1679" s="17" t="s">
        <v>45</v>
      </c>
      <c r="F1679" s="17" t="s">
        <v>21</v>
      </c>
      <c r="G1679" s="17" t="s">
        <v>29</v>
      </c>
      <c r="H1679" s="17" t="s">
        <v>80</v>
      </c>
      <c r="I1679" s="17" t="s">
        <v>48</v>
      </c>
      <c r="J1679" s="36">
        <v>11640</v>
      </c>
      <c r="K1679" s="36">
        <v>7433.03</v>
      </c>
      <c r="L1679" s="36">
        <f t="shared" si="130"/>
        <v>-4206.97</v>
      </c>
      <c r="M1679" s="37">
        <f t="shared" si="131"/>
        <v>-0.36142353951890038</v>
      </c>
      <c r="N1679" s="17" t="str">
        <f t="shared" si="132"/>
        <v>Under Budget</v>
      </c>
      <c r="O1679" s="38">
        <f t="shared" si="133"/>
        <v>-7433.03</v>
      </c>
      <c r="P1679" s="39">
        <f t="shared" si="134"/>
        <v>45689</v>
      </c>
    </row>
    <row r="1680" spans="1:16" ht="15.5" x14ac:dyDescent="0.35">
      <c r="A1680" s="17" t="s">
        <v>1728</v>
      </c>
      <c r="B1680" s="35">
        <v>45888</v>
      </c>
      <c r="C1680" s="17" t="s">
        <v>25</v>
      </c>
      <c r="D1680" s="17" t="s">
        <v>36</v>
      </c>
      <c r="E1680" s="17" t="s">
        <v>169</v>
      </c>
      <c r="F1680" s="17" t="s">
        <v>15</v>
      </c>
      <c r="G1680" s="17" t="s">
        <v>29</v>
      </c>
      <c r="H1680" s="17" t="s">
        <v>2590</v>
      </c>
      <c r="I1680" s="17" t="s">
        <v>48</v>
      </c>
      <c r="J1680" s="36">
        <v>6666.67</v>
      </c>
      <c r="K1680" s="36">
        <v>972.18</v>
      </c>
      <c r="L1680" s="36">
        <f t="shared" si="130"/>
        <v>-5694.49</v>
      </c>
      <c r="M1680" s="37">
        <f t="shared" si="131"/>
        <v>-0.85417307291346345</v>
      </c>
      <c r="N1680" s="17" t="str">
        <f t="shared" si="132"/>
        <v>Under Budget</v>
      </c>
      <c r="O1680" s="38">
        <f t="shared" si="133"/>
        <v>972.18</v>
      </c>
      <c r="P1680" s="39">
        <f t="shared" si="134"/>
        <v>45870</v>
      </c>
    </row>
    <row r="1681" spans="1:16" ht="15.5" x14ac:dyDescent="0.35">
      <c r="A1681" s="17" t="s">
        <v>1729</v>
      </c>
      <c r="B1681" s="35">
        <v>46150</v>
      </c>
      <c r="C1681" s="17" t="s">
        <v>12</v>
      </c>
      <c r="D1681" s="17" t="s">
        <v>2584</v>
      </c>
      <c r="E1681" s="17" t="s">
        <v>51</v>
      </c>
      <c r="F1681" s="17" t="s">
        <v>28</v>
      </c>
      <c r="G1681" s="17" t="s">
        <v>38</v>
      </c>
      <c r="H1681" s="17" t="s">
        <v>2594</v>
      </c>
      <c r="I1681" s="17" t="s">
        <v>23</v>
      </c>
      <c r="J1681" s="36">
        <v>2727.27</v>
      </c>
      <c r="K1681" s="36">
        <v>2981.1</v>
      </c>
      <c r="L1681" s="36">
        <f t="shared" si="130"/>
        <v>253.82999999999993</v>
      </c>
      <c r="M1681" s="37">
        <f t="shared" si="131"/>
        <v>9.3071093071093042E-2</v>
      </c>
      <c r="N1681" s="17" t="str">
        <f t="shared" si="132"/>
        <v>Over Budget</v>
      </c>
      <c r="O1681" s="38">
        <f t="shared" si="133"/>
        <v>-2981.1</v>
      </c>
      <c r="P1681" s="39">
        <f t="shared" si="134"/>
        <v>46143</v>
      </c>
    </row>
    <row r="1682" spans="1:16" ht="15.5" x14ac:dyDescent="0.35">
      <c r="A1682" s="17" t="s">
        <v>1730</v>
      </c>
      <c r="B1682" s="35">
        <v>45736</v>
      </c>
      <c r="C1682" s="17" t="s">
        <v>25</v>
      </c>
      <c r="D1682" s="17" t="s">
        <v>13</v>
      </c>
      <c r="E1682" s="17" t="s">
        <v>33</v>
      </c>
      <c r="F1682" s="17" t="s">
        <v>28</v>
      </c>
      <c r="G1682" s="17" t="s">
        <v>29</v>
      </c>
      <c r="H1682" s="17" t="s">
        <v>2586</v>
      </c>
      <c r="I1682" s="17" t="s">
        <v>23</v>
      </c>
      <c r="J1682" s="36">
        <v>8064.52</v>
      </c>
      <c r="K1682" s="36">
        <v>10341.01</v>
      </c>
      <c r="L1682" s="36">
        <f t="shared" si="130"/>
        <v>2276.4899999999998</v>
      </c>
      <c r="M1682" s="37">
        <f t="shared" si="131"/>
        <v>0.28228462450338021</v>
      </c>
      <c r="N1682" s="17" t="str">
        <f t="shared" si="132"/>
        <v>Over Budget</v>
      </c>
      <c r="O1682" s="38">
        <f t="shared" si="133"/>
        <v>10341.01</v>
      </c>
      <c r="P1682" s="39">
        <f t="shared" si="134"/>
        <v>45717</v>
      </c>
    </row>
    <row r="1683" spans="1:16" ht="15.5" x14ac:dyDescent="0.35">
      <c r="A1683" s="17" t="s">
        <v>1731</v>
      </c>
      <c r="B1683" s="35">
        <v>45765</v>
      </c>
      <c r="C1683" s="17" t="s">
        <v>25</v>
      </c>
      <c r="D1683" s="17" t="s">
        <v>26</v>
      </c>
      <c r="E1683" s="17" t="s">
        <v>33</v>
      </c>
      <c r="F1683" s="17" t="s">
        <v>34</v>
      </c>
      <c r="G1683" s="17" t="s">
        <v>38</v>
      </c>
      <c r="H1683" s="17" t="s">
        <v>80</v>
      </c>
      <c r="I1683" s="17" t="s">
        <v>39</v>
      </c>
      <c r="J1683" s="36">
        <v>11363.64</v>
      </c>
      <c r="K1683" s="36">
        <v>9502.94</v>
      </c>
      <c r="L1683" s="36">
        <f t="shared" si="130"/>
        <v>-1860.6999999999989</v>
      </c>
      <c r="M1683" s="37">
        <f t="shared" si="131"/>
        <v>-0.16374154760270468</v>
      </c>
      <c r="N1683" s="17" t="str">
        <f t="shared" si="132"/>
        <v>Under Budget</v>
      </c>
      <c r="O1683" s="38">
        <f t="shared" si="133"/>
        <v>9502.94</v>
      </c>
      <c r="P1683" s="39">
        <f t="shared" si="134"/>
        <v>45748</v>
      </c>
    </row>
    <row r="1684" spans="1:16" ht="15.5" x14ac:dyDescent="0.35">
      <c r="A1684" s="17" t="s">
        <v>1732</v>
      </c>
      <c r="B1684" s="35">
        <v>45916</v>
      </c>
      <c r="C1684" s="17" t="s">
        <v>12</v>
      </c>
      <c r="D1684" s="17" t="s">
        <v>2584</v>
      </c>
      <c r="E1684" s="17" t="s">
        <v>47</v>
      </c>
      <c r="F1684" s="17" t="s">
        <v>34</v>
      </c>
      <c r="G1684" s="17" t="s">
        <v>22</v>
      </c>
      <c r="H1684" s="17" t="s">
        <v>2593</v>
      </c>
      <c r="I1684" s="17" t="s">
        <v>23</v>
      </c>
      <c r="J1684" s="36">
        <v>3500</v>
      </c>
      <c r="K1684" s="36">
        <v>367.87</v>
      </c>
      <c r="L1684" s="36">
        <f t="shared" si="130"/>
        <v>-3132.13</v>
      </c>
      <c r="M1684" s="37">
        <f t="shared" si="131"/>
        <v>-0.89489428571428575</v>
      </c>
      <c r="N1684" s="17" t="str">
        <f t="shared" si="132"/>
        <v>Under Budget</v>
      </c>
      <c r="O1684" s="38">
        <f t="shared" si="133"/>
        <v>-367.87</v>
      </c>
      <c r="P1684" s="39">
        <f t="shared" si="134"/>
        <v>45901</v>
      </c>
    </row>
    <row r="1685" spans="1:16" ht="15.5" x14ac:dyDescent="0.35">
      <c r="A1685" s="17" t="s">
        <v>1733</v>
      </c>
      <c r="B1685" s="35">
        <v>45814</v>
      </c>
      <c r="C1685" s="17" t="s">
        <v>25</v>
      </c>
      <c r="D1685" s="17" t="s">
        <v>2585</v>
      </c>
      <c r="E1685" s="17" t="s">
        <v>33</v>
      </c>
      <c r="F1685" s="17" t="s">
        <v>52</v>
      </c>
      <c r="G1685" s="17" t="s">
        <v>43</v>
      </c>
      <c r="H1685" s="17" t="s">
        <v>2591</v>
      </c>
      <c r="I1685" s="17" t="s">
        <v>17</v>
      </c>
      <c r="J1685" s="36">
        <v>9615.3799999999992</v>
      </c>
      <c r="K1685" s="36">
        <v>4021.67</v>
      </c>
      <c r="L1685" s="36">
        <f t="shared" si="130"/>
        <v>-5593.7099999999991</v>
      </c>
      <c r="M1685" s="37">
        <f t="shared" si="131"/>
        <v>-0.58174611923813724</v>
      </c>
      <c r="N1685" s="17" t="str">
        <f t="shared" si="132"/>
        <v>Under Budget</v>
      </c>
      <c r="O1685" s="38">
        <f t="shared" si="133"/>
        <v>4021.67</v>
      </c>
      <c r="P1685" s="39">
        <f t="shared" si="134"/>
        <v>45809</v>
      </c>
    </row>
    <row r="1686" spans="1:16" ht="15.5" x14ac:dyDescent="0.35">
      <c r="A1686" s="17" t="s">
        <v>1734</v>
      </c>
      <c r="B1686" s="35">
        <v>46041</v>
      </c>
      <c r="C1686" s="17" t="s">
        <v>25</v>
      </c>
      <c r="D1686" s="17" t="s">
        <v>36</v>
      </c>
      <c r="E1686" s="17" t="s">
        <v>33</v>
      </c>
      <c r="F1686" s="17" t="s">
        <v>34</v>
      </c>
      <c r="G1686" s="17" t="s">
        <v>16</v>
      </c>
      <c r="H1686" s="17" t="s">
        <v>2597</v>
      </c>
      <c r="I1686" s="17" t="s">
        <v>30</v>
      </c>
      <c r="J1686" s="36">
        <v>11547.62</v>
      </c>
      <c r="K1686" s="36">
        <v>11563.02</v>
      </c>
      <c r="L1686" s="36">
        <f t="shared" si="130"/>
        <v>15.399999999999636</v>
      </c>
      <c r="M1686" s="37">
        <f t="shared" si="131"/>
        <v>1.3336081374343489E-3</v>
      </c>
      <c r="N1686" s="17" t="str">
        <f t="shared" si="132"/>
        <v>Over Budget</v>
      </c>
      <c r="O1686" s="38">
        <f t="shared" si="133"/>
        <v>11563.02</v>
      </c>
      <c r="P1686" s="39">
        <f t="shared" si="134"/>
        <v>46023</v>
      </c>
    </row>
    <row r="1687" spans="1:16" ht="15.5" x14ac:dyDescent="0.35">
      <c r="A1687" s="17" t="s">
        <v>1735</v>
      </c>
      <c r="B1687" s="35">
        <v>45872</v>
      </c>
      <c r="C1687" s="17" t="s">
        <v>25</v>
      </c>
      <c r="D1687" s="17" t="s">
        <v>32</v>
      </c>
      <c r="E1687" s="17" t="s">
        <v>33</v>
      </c>
      <c r="F1687" s="17" t="s">
        <v>15</v>
      </c>
      <c r="G1687" s="17" t="s">
        <v>38</v>
      </c>
      <c r="H1687" s="17" t="s">
        <v>2594</v>
      </c>
      <c r="I1687" s="17" t="s">
        <v>23</v>
      </c>
      <c r="J1687" s="36">
        <v>10416.67</v>
      </c>
      <c r="K1687" s="36">
        <v>10098.44</v>
      </c>
      <c r="L1687" s="36">
        <f t="shared" si="130"/>
        <v>-318.22999999999956</v>
      </c>
      <c r="M1687" s="37">
        <f t="shared" si="131"/>
        <v>-3.0550070223977484E-2</v>
      </c>
      <c r="N1687" s="17" t="str">
        <f t="shared" si="132"/>
        <v>Under Budget</v>
      </c>
      <c r="O1687" s="38">
        <f t="shared" si="133"/>
        <v>10098.44</v>
      </c>
      <c r="P1687" s="39">
        <f t="shared" si="134"/>
        <v>45870</v>
      </c>
    </row>
    <row r="1688" spans="1:16" ht="15.5" x14ac:dyDescent="0.35">
      <c r="A1688" s="17" t="s">
        <v>1736</v>
      </c>
      <c r="B1688" s="35">
        <v>45714</v>
      </c>
      <c r="C1688" s="17" t="s">
        <v>12</v>
      </c>
      <c r="D1688" s="17" t="s">
        <v>19</v>
      </c>
      <c r="E1688" s="17" t="s">
        <v>45</v>
      </c>
      <c r="F1688" s="17" t="s">
        <v>28</v>
      </c>
      <c r="G1688" s="17" t="s">
        <v>43</v>
      </c>
      <c r="H1688" s="17" t="s">
        <v>2595</v>
      </c>
      <c r="I1688" s="17" t="s">
        <v>48</v>
      </c>
      <c r="J1688" s="36">
        <v>11640</v>
      </c>
      <c r="K1688" s="36">
        <v>14961.77</v>
      </c>
      <c r="L1688" s="36">
        <f t="shared" si="130"/>
        <v>3321.7700000000004</v>
      </c>
      <c r="M1688" s="37">
        <f t="shared" si="131"/>
        <v>0.28537542955326461</v>
      </c>
      <c r="N1688" s="17" t="str">
        <f t="shared" si="132"/>
        <v>Over Budget</v>
      </c>
      <c r="O1688" s="38">
        <f t="shared" si="133"/>
        <v>-14961.77</v>
      </c>
      <c r="P1688" s="39">
        <f t="shared" si="134"/>
        <v>45689</v>
      </c>
    </row>
    <row r="1689" spans="1:16" ht="15.5" x14ac:dyDescent="0.35">
      <c r="A1689" s="17" t="s">
        <v>1737</v>
      </c>
      <c r="B1689" s="35">
        <v>45821</v>
      </c>
      <c r="C1689" s="17" t="s">
        <v>12</v>
      </c>
      <c r="D1689" s="17" t="s">
        <v>13</v>
      </c>
      <c r="E1689" s="17" t="s">
        <v>45</v>
      </c>
      <c r="F1689" s="17" t="s">
        <v>28</v>
      </c>
      <c r="G1689" s="17" t="s">
        <v>22</v>
      </c>
      <c r="H1689" s="17" t="s">
        <v>2598</v>
      </c>
      <c r="I1689" s="17" t="s">
        <v>2583</v>
      </c>
      <c r="J1689" s="36">
        <v>6428.57</v>
      </c>
      <c r="K1689" s="36">
        <v>15062.12</v>
      </c>
      <c r="L1689" s="36">
        <f t="shared" si="130"/>
        <v>8633.5500000000011</v>
      </c>
      <c r="M1689" s="37">
        <f t="shared" si="131"/>
        <v>1.342996965110437</v>
      </c>
      <c r="N1689" s="17" t="str">
        <f t="shared" si="132"/>
        <v>Over Budget</v>
      </c>
      <c r="O1689" s="38">
        <f t="shared" si="133"/>
        <v>-15062.12</v>
      </c>
      <c r="P1689" s="39">
        <f t="shared" si="134"/>
        <v>45809</v>
      </c>
    </row>
    <row r="1690" spans="1:16" ht="15.5" x14ac:dyDescent="0.35">
      <c r="A1690" s="17" t="s">
        <v>1738</v>
      </c>
      <c r="B1690" s="35">
        <v>45672</v>
      </c>
      <c r="C1690" s="17" t="s">
        <v>12</v>
      </c>
      <c r="D1690" s="17" t="s">
        <v>19</v>
      </c>
      <c r="E1690" s="17" t="s">
        <v>45</v>
      </c>
      <c r="F1690" s="17" t="s">
        <v>21</v>
      </c>
      <c r="G1690" s="17" t="s">
        <v>38</v>
      </c>
      <c r="H1690" s="17" t="s">
        <v>2587</v>
      </c>
      <c r="I1690" s="17" t="s">
        <v>48</v>
      </c>
      <c r="J1690" s="36">
        <v>7591.3</v>
      </c>
      <c r="K1690" s="36">
        <v>0</v>
      </c>
      <c r="L1690" s="36">
        <f t="shared" si="130"/>
        <v>-7591.3</v>
      </c>
      <c r="M1690" s="37">
        <f t="shared" si="131"/>
        <v>-1</v>
      </c>
      <c r="N1690" s="17" t="str">
        <f t="shared" si="132"/>
        <v>Under Budget</v>
      </c>
      <c r="O1690" s="38">
        <f t="shared" si="133"/>
        <v>0</v>
      </c>
      <c r="P1690" s="39">
        <f t="shared" si="134"/>
        <v>45658</v>
      </c>
    </row>
    <row r="1691" spans="1:16" ht="15.5" x14ac:dyDescent="0.35">
      <c r="A1691" s="17" t="s">
        <v>1739</v>
      </c>
      <c r="B1691" s="35">
        <v>45852</v>
      </c>
      <c r="C1691" s="17" t="s">
        <v>12</v>
      </c>
      <c r="D1691" s="17" t="s">
        <v>19</v>
      </c>
      <c r="E1691" s="17" t="s">
        <v>45</v>
      </c>
      <c r="F1691" s="17" t="s">
        <v>52</v>
      </c>
      <c r="G1691" s="17" t="s">
        <v>38</v>
      </c>
      <c r="H1691" s="17" t="s">
        <v>2586</v>
      </c>
      <c r="I1691" s="17" t="s">
        <v>39</v>
      </c>
      <c r="J1691" s="36">
        <v>6923.08</v>
      </c>
      <c r="K1691" s="36">
        <v>6650.64</v>
      </c>
      <c r="L1691" s="36">
        <f t="shared" si="130"/>
        <v>-272.4399999999996</v>
      </c>
      <c r="M1691" s="37">
        <f t="shared" si="131"/>
        <v>-3.9352426954476855E-2</v>
      </c>
      <c r="N1691" s="17" t="str">
        <f t="shared" si="132"/>
        <v>Under Budget</v>
      </c>
      <c r="O1691" s="38">
        <f t="shared" si="133"/>
        <v>-6650.64</v>
      </c>
      <c r="P1691" s="39">
        <f t="shared" si="134"/>
        <v>45839</v>
      </c>
    </row>
    <row r="1692" spans="1:16" ht="15.5" x14ac:dyDescent="0.35">
      <c r="A1692" s="17" t="s">
        <v>1740</v>
      </c>
      <c r="B1692" s="35">
        <v>45973</v>
      </c>
      <c r="C1692" s="17" t="s">
        <v>12</v>
      </c>
      <c r="D1692" s="17" t="s">
        <v>26</v>
      </c>
      <c r="E1692" s="17" t="s">
        <v>47</v>
      </c>
      <c r="F1692" s="17" t="s">
        <v>52</v>
      </c>
      <c r="G1692" s="17" t="s">
        <v>43</v>
      </c>
      <c r="H1692" s="17" t="s">
        <v>2592</v>
      </c>
      <c r="I1692" s="17" t="s">
        <v>23</v>
      </c>
      <c r="J1692" s="36">
        <v>7350</v>
      </c>
      <c r="K1692" s="36">
        <v>1382.17</v>
      </c>
      <c r="L1692" s="36">
        <f t="shared" si="130"/>
        <v>-5967.83</v>
      </c>
      <c r="M1692" s="37">
        <f t="shared" si="131"/>
        <v>-0.81194965986394552</v>
      </c>
      <c r="N1692" s="17" t="str">
        <f t="shared" si="132"/>
        <v>Under Budget</v>
      </c>
      <c r="O1692" s="38">
        <f t="shared" si="133"/>
        <v>-1382.17</v>
      </c>
      <c r="P1692" s="39">
        <f t="shared" si="134"/>
        <v>45962</v>
      </c>
    </row>
    <row r="1693" spans="1:16" ht="15.5" x14ac:dyDescent="0.35">
      <c r="A1693" s="17" t="s">
        <v>1741</v>
      </c>
      <c r="B1693" s="35">
        <v>45725</v>
      </c>
      <c r="C1693" s="17" t="s">
        <v>12</v>
      </c>
      <c r="D1693" s="17" t="s">
        <v>36</v>
      </c>
      <c r="E1693" s="17" t="s">
        <v>51</v>
      </c>
      <c r="F1693" s="17" t="s">
        <v>15</v>
      </c>
      <c r="G1693" s="17" t="s">
        <v>22</v>
      </c>
      <c r="H1693" s="17" t="s">
        <v>2592</v>
      </c>
      <c r="I1693" s="17" t="s">
        <v>48</v>
      </c>
      <c r="J1693" s="36">
        <v>3000</v>
      </c>
      <c r="K1693" s="36">
        <v>2021.84</v>
      </c>
      <c r="L1693" s="36">
        <f t="shared" si="130"/>
        <v>-978.16000000000008</v>
      </c>
      <c r="M1693" s="37">
        <f t="shared" si="131"/>
        <v>-0.32605333333333336</v>
      </c>
      <c r="N1693" s="17" t="str">
        <f t="shared" si="132"/>
        <v>Under Budget</v>
      </c>
      <c r="O1693" s="38">
        <f t="shared" si="133"/>
        <v>-2021.84</v>
      </c>
      <c r="P1693" s="39">
        <f t="shared" si="134"/>
        <v>45717</v>
      </c>
    </row>
    <row r="1694" spans="1:16" ht="15.5" x14ac:dyDescent="0.35">
      <c r="A1694" s="17" t="s">
        <v>1742</v>
      </c>
      <c r="B1694" s="35">
        <v>45743</v>
      </c>
      <c r="C1694" s="17" t="s">
        <v>12</v>
      </c>
      <c r="D1694" s="17" t="s">
        <v>19</v>
      </c>
      <c r="E1694" s="17" t="s">
        <v>65</v>
      </c>
      <c r="F1694" s="17" t="s">
        <v>15</v>
      </c>
      <c r="G1694" s="17" t="s">
        <v>38</v>
      </c>
      <c r="H1694" s="17" t="s">
        <v>2586</v>
      </c>
      <c r="I1694" s="17" t="s">
        <v>23</v>
      </c>
      <c r="J1694" s="36">
        <v>3928.57</v>
      </c>
      <c r="K1694" s="36">
        <v>1245.6400000000001</v>
      </c>
      <c r="L1694" s="36">
        <f t="shared" si="130"/>
        <v>-2682.9300000000003</v>
      </c>
      <c r="M1694" s="37">
        <f t="shared" si="131"/>
        <v>-0.68292788470104904</v>
      </c>
      <c r="N1694" s="17" t="str">
        <f t="shared" si="132"/>
        <v>Under Budget</v>
      </c>
      <c r="O1694" s="38">
        <f t="shared" si="133"/>
        <v>-1245.6400000000001</v>
      </c>
      <c r="P1694" s="39">
        <f t="shared" si="134"/>
        <v>45717</v>
      </c>
    </row>
    <row r="1695" spans="1:16" ht="15.5" x14ac:dyDescent="0.35">
      <c r="A1695" s="17" t="s">
        <v>1743</v>
      </c>
      <c r="B1695" s="35">
        <v>46032</v>
      </c>
      <c r="C1695" s="17" t="s">
        <v>12</v>
      </c>
      <c r="D1695" s="17" t="s">
        <v>26</v>
      </c>
      <c r="E1695" s="17" t="s">
        <v>74</v>
      </c>
      <c r="F1695" s="17" t="s">
        <v>52</v>
      </c>
      <c r="G1695" s="17" t="s">
        <v>38</v>
      </c>
      <c r="H1695" s="17" t="s">
        <v>2587</v>
      </c>
      <c r="I1695" s="17" t="s">
        <v>17</v>
      </c>
      <c r="J1695" s="36">
        <v>4850</v>
      </c>
      <c r="K1695" s="36">
        <v>2054.83</v>
      </c>
      <c r="L1695" s="36">
        <f t="shared" si="130"/>
        <v>-2795.17</v>
      </c>
      <c r="M1695" s="37">
        <f t="shared" si="131"/>
        <v>-0.57632371134020621</v>
      </c>
      <c r="N1695" s="17" t="str">
        <f t="shared" si="132"/>
        <v>Under Budget</v>
      </c>
      <c r="O1695" s="38">
        <f t="shared" si="133"/>
        <v>-2054.83</v>
      </c>
      <c r="P1695" s="39">
        <f t="shared" si="134"/>
        <v>46023</v>
      </c>
    </row>
    <row r="1696" spans="1:16" ht="15.5" x14ac:dyDescent="0.35">
      <c r="A1696" s="17" t="s">
        <v>1744</v>
      </c>
      <c r="B1696" s="35">
        <v>45689</v>
      </c>
      <c r="C1696" s="17" t="s">
        <v>12</v>
      </c>
      <c r="D1696" s="17" t="s">
        <v>36</v>
      </c>
      <c r="E1696" s="17" t="s">
        <v>74</v>
      </c>
      <c r="F1696" s="17" t="s">
        <v>15</v>
      </c>
      <c r="G1696" s="17" t="s">
        <v>82</v>
      </c>
      <c r="H1696" s="17" t="s">
        <v>2597</v>
      </c>
      <c r="I1696" s="17" t="s">
        <v>17</v>
      </c>
      <c r="J1696" s="36">
        <v>5542.86</v>
      </c>
      <c r="K1696" s="36">
        <v>3247.71</v>
      </c>
      <c r="L1696" s="36">
        <f t="shared" si="130"/>
        <v>-2295.1499999999996</v>
      </c>
      <c r="M1696" s="37">
        <f t="shared" si="131"/>
        <v>-0.41407324016843289</v>
      </c>
      <c r="N1696" s="17" t="str">
        <f t="shared" si="132"/>
        <v>Under Budget</v>
      </c>
      <c r="O1696" s="38">
        <f t="shared" si="133"/>
        <v>-3247.71</v>
      </c>
      <c r="P1696" s="39">
        <f t="shared" si="134"/>
        <v>45689</v>
      </c>
    </row>
    <row r="1697" spans="1:16" ht="15.5" x14ac:dyDescent="0.35">
      <c r="A1697" s="17" t="s">
        <v>1745</v>
      </c>
      <c r="B1697" s="35">
        <v>45715</v>
      </c>
      <c r="C1697" s="17" t="s">
        <v>25</v>
      </c>
      <c r="D1697" s="17" t="s">
        <v>32</v>
      </c>
      <c r="E1697" s="17" t="s">
        <v>27</v>
      </c>
      <c r="F1697" s="17" t="s">
        <v>21</v>
      </c>
      <c r="G1697" s="17" t="s">
        <v>22</v>
      </c>
      <c r="H1697" s="17" t="s">
        <v>2597</v>
      </c>
      <c r="I1697" s="17" t="s">
        <v>23</v>
      </c>
      <c r="J1697" s="36">
        <v>4850</v>
      </c>
      <c r="K1697" s="36">
        <v>5380.61</v>
      </c>
      <c r="L1697" s="36">
        <f t="shared" si="130"/>
        <v>530.60999999999967</v>
      </c>
      <c r="M1697" s="37">
        <f t="shared" si="131"/>
        <v>0.10940412371134015</v>
      </c>
      <c r="N1697" s="17" t="str">
        <f t="shared" si="132"/>
        <v>Over Budget</v>
      </c>
      <c r="O1697" s="38">
        <f t="shared" si="133"/>
        <v>5380.61</v>
      </c>
      <c r="P1697" s="39">
        <f t="shared" si="134"/>
        <v>45689</v>
      </c>
    </row>
    <row r="1698" spans="1:16" ht="15.5" x14ac:dyDescent="0.35">
      <c r="A1698" s="17" t="s">
        <v>1746</v>
      </c>
      <c r="B1698" s="35">
        <v>45804</v>
      </c>
      <c r="C1698" s="17" t="s">
        <v>12</v>
      </c>
      <c r="D1698" s="17" t="s">
        <v>36</v>
      </c>
      <c r="E1698" s="17" t="s">
        <v>65</v>
      </c>
      <c r="F1698" s="17" t="s">
        <v>34</v>
      </c>
      <c r="G1698" s="17" t="s">
        <v>22</v>
      </c>
      <c r="H1698" s="17" t="s">
        <v>2594</v>
      </c>
      <c r="I1698" s="17" t="s">
        <v>30</v>
      </c>
      <c r="J1698" s="36">
        <v>5500</v>
      </c>
      <c r="K1698" s="36">
        <v>8644.44</v>
      </c>
      <c r="L1698" s="36">
        <f t="shared" si="130"/>
        <v>3144.4400000000005</v>
      </c>
      <c r="M1698" s="37">
        <f t="shared" si="131"/>
        <v>0.57171636363636369</v>
      </c>
      <c r="N1698" s="17" t="str">
        <f t="shared" si="132"/>
        <v>Over Budget</v>
      </c>
      <c r="O1698" s="38">
        <f t="shared" si="133"/>
        <v>-8644.44</v>
      </c>
      <c r="P1698" s="39">
        <f t="shared" si="134"/>
        <v>45778</v>
      </c>
    </row>
    <row r="1699" spans="1:16" ht="15.5" x14ac:dyDescent="0.35">
      <c r="A1699" s="17" t="s">
        <v>1747</v>
      </c>
      <c r="B1699" s="35">
        <v>46110</v>
      </c>
      <c r="C1699" s="17" t="s">
        <v>12</v>
      </c>
      <c r="D1699" s="17" t="s">
        <v>26</v>
      </c>
      <c r="E1699" s="17" t="s">
        <v>14</v>
      </c>
      <c r="F1699" s="17" t="s">
        <v>52</v>
      </c>
      <c r="G1699" s="17" t="s">
        <v>43</v>
      </c>
      <c r="H1699" s="17" t="s">
        <v>2590</v>
      </c>
      <c r="I1699" s="17" t="s">
        <v>39</v>
      </c>
      <c r="J1699" s="36">
        <v>4000</v>
      </c>
      <c r="K1699" s="36">
        <v>2691.68</v>
      </c>
      <c r="L1699" s="36">
        <f t="shared" si="130"/>
        <v>-1308.3200000000002</v>
      </c>
      <c r="M1699" s="37">
        <f t="shared" si="131"/>
        <v>-0.32708000000000004</v>
      </c>
      <c r="N1699" s="17" t="str">
        <f t="shared" si="132"/>
        <v>Under Budget</v>
      </c>
      <c r="O1699" s="38">
        <f t="shared" si="133"/>
        <v>-2691.68</v>
      </c>
      <c r="P1699" s="39">
        <f t="shared" si="134"/>
        <v>46082</v>
      </c>
    </row>
    <row r="1700" spans="1:16" ht="15.5" x14ac:dyDescent="0.35">
      <c r="A1700" s="17" t="s">
        <v>1748</v>
      </c>
      <c r="B1700" s="35">
        <v>46042</v>
      </c>
      <c r="C1700" s="17" t="s">
        <v>12</v>
      </c>
      <c r="D1700" s="17" t="s">
        <v>19</v>
      </c>
      <c r="E1700" s="17" t="s">
        <v>37</v>
      </c>
      <c r="F1700" s="17" t="s">
        <v>34</v>
      </c>
      <c r="G1700" s="17" t="s">
        <v>38</v>
      </c>
      <c r="H1700" s="17" t="s">
        <v>2595</v>
      </c>
      <c r="I1700" s="17" t="s">
        <v>39</v>
      </c>
      <c r="J1700" s="36">
        <v>5432</v>
      </c>
      <c r="K1700" s="36">
        <v>2330.69</v>
      </c>
      <c r="L1700" s="36">
        <f t="shared" si="130"/>
        <v>-3101.31</v>
      </c>
      <c r="M1700" s="37">
        <f t="shared" si="131"/>
        <v>-0.57093335787923416</v>
      </c>
      <c r="N1700" s="17" t="str">
        <f t="shared" si="132"/>
        <v>Under Budget</v>
      </c>
      <c r="O1700" s="38">
        <f t="shared" si="133"/>
        <v>-2330.69</v>
      </c>
      <c r="P1700" s="39">
        <f t="shared" si="134"/>
        <v>46023</v>
      </c>
    </row>
    <row r="1701" spans="1:16" ht="15.5" x14ac:dyDescent="0.35">
      <c r="A1701" s="17" t="s">
        <v>1749</v>
      </c>
      <c r="B1701" s="35">
        <v>45951</v>
      </c>
      <c r="C1701" s="17" t="s">
        <v>25</v>
      </c>
      <c r="D1701" s="17" t="s">
        <v>32</v>
      </c>
      <c r="E1701" s="17" t="s">
        <v>27</v>
      </c>
      <c r="F1701" s="17" t="s">
        <v>21</v>
      </c>
      <c r="G1701" s="17" t="s">
        <v>38</v>
      </c>
      <c r="H1701" s="17" t="s">
        <v>2592</v>
      </c>
      <c r="I1701" s="17" t="s">
        <v>39</v>
      </c>
      <c r="J1701" s="36">
        <v>4705.88</v>
      </c>
      <c r="K1701" s="36">
        <v>2660.75</v>
      </c>
      <c r="L1701" s="36">
        <f t="shared" si="130"/>
        <v>-2045.13</v>
      </c>
      <c r="M1701" s="37">
        <f t="shared" si="131"/>
        <v>-0.43459034229517118</v>
      </c>
      <c r="N1701" s="17" t="str">
        <f t="shared" si="132"/>
        <v>Under Budget</v>
      </c>
      <c r="O1701" s="38">
        <f t="shared" si="133"/>
        <v>2660.75</v>
      </c>
      <c r="P1701" s="39">
        <f t="shared" si="134"/>
        <v>45931</v>
      </c>
    </row>
    <row r="1702" spans="1:16" ht="15.5" x14ac:dyDescent="0.35">
      <c r="A1702" s="17" t="s">
        <v>1750</v>
      </c>
      <c r="B1702" s="35">
        <v>46187</v>
      </c>
      <c r="C1702" s="17" t="s">
        <v>25</v>
      </c>
      <c r="D1702" s="17" t="s">
        <v>32</v>
      </c>
      <c r="E1702" s="17" t="s">
        <v>33</v>
      </c>
      <c r="F1702" s="17" t="s">
        <v>34</v>
      </c>
      <c r="G1702" s="17" t="s">
        <v>38</v>
      </c>
      <c r="H1702" s="17" t="s">
        <v>2592</v>
      </c>
      <c r="I1702" s="17" t="s">
        <v>30</v>
      </c>
      <c r="J1702" s="36">
        <v>10000</v>
      </c>
      <c r="K1702" s="36">
        <v>5309.44</v>
      </c>
      <c r="L1702" s="36">
        <f t="shared" si="130"/>
        <v>-4690.5600000000004</v>
      </c>
      <c r="M1702" s="37">
        <f t="shared" si="131"/>
        <v>-0.46905600000000003</v>
      </c>
      <c r="N1702" s="17" t="str">
        <f t="shared" si="132"/>
        <v>Under Budget</v>
      </c>
      <c r="O1702" s="38">
        <f t="shared" si="133"/>
        <v>5309.44</v>
      </c>
      <c r="P1702" s="39">
        <f t="shared" si="134"/>
        <v>46174</v>
      </c>
    </row>
    <row r="1703" spans="1:16" ht="15.5" x14ac:dyDescent="0.35">
      <c r="A1703" s="17" t="s">
        <v>1751</v>
      </c>
      <c r="B1703" s="35">
        <v>46162</v>
      </c>
      <c r="C1703" s="17" t="s">
        <v>25</v>
      </c>
      <c r="D1703" s="17" t="s">
        <v>36</v>
      </c>
      <c r="E1703" s="17" t="s">
        <v>27</v>
      </c>
      <c r="F1703" s="17" t="s">
        <v>34</v>
      </c>
      <c r="G1703" s="17" t="s">
        <v>82</v>
      </c>
      <c r="H1703" s="17" t="s">
        <v>2594</v>
      </c>
      <c r="I1703" s="17" t="s">
        <v>23</v>
      </c>
      <c r="J1703" s="36">
        <v>6153.85</v>
      </c>
      <c r="K1703" s="36">
        <v>4953.17</v>
      </c>
      <c r="L1703" s="36">
        <f t="shared" si="130"/>
        <v>-1200.6800000000003</v>
      </c>
      <c r="M1703" s="37">
        <f t="shared" si="131"/>
        <v>-0.19511037805601375</v>
      </c>
      <c r="N1703" s="17" t="str">
        <f t="shared" si="132"/>
        <v>Under Budget</v>
      </c>
      <c r="O1703" s="38">
        <f t="shared" si="133"/>
        <v>4953.17</v>
      </c>
      <c r="P1703" s="39">
        <f t="shared" si="134"/>
        <v>46143</v>
      </c>
    </row>
    <row r="1704" spans="1:16" ht="15.5" x14ac:dyDescent="0.35">
      <c r="A1704" s="17" t="s">
        <v>1752</v>
      </c>
      <c r="B1704" s="35">
        <v>46102</v>
      </c>
      <c r="C1704" s="17" t="s">
        <v>12</v>
      </c>
      <c r="D1704" s="17" t="s">
        <v>13</v>
      </c>
      <c r="E1704" s="17" t="s">
        <v>45</v>
      </c>
      <c r="F1704" s="17" t="s">
        <v>34</v>
      </c>
      <c r="G1704" s="17" t="s">
        <v>16</v>
      </c>
      <c r="H1704" s="17" t="s">
        <v>2587</v>
      </c>
      <c r="I1704" s="17" t="s">
        <v>30</v>
      </c>
      <c r="J1704" s="36">
        <v>7200</v>
      </c>
      <c r="K1704" s="36">
        <v>11310.32</v>
      </c>
      <c r="L1704" s="36">
        <f t="shared" si="130"/>
        <v>4110.32</v>
      </c>
      <c r="M1704" s="37">
        <f t="shared" si="131"/>
        <v>0.57087777777777771</v>
      </c>
      <c r="N1704" s="17" t="str">
        <f t="shared" si="132"/>
        <v>Over Budget</v>
      </c>
      <c r="O1704" s="38">
        <f t="shared" si="133"/>
        <v>-11310.32</v>
      </c>
      <c r="P1704" s="39">
        <f t="shared" si="134"/>
        <v>46082</v>
      </c>
    </row>
    <row r="1705" spans="1:16" ht="15.5" x14ac:dyDescent="0.35">
      <c r="A1705" s="17" t="s">
        <v>1753</v>
      </c>
      <c r="B1705" s="35">
        <v>46183</v>
      </c>
      <c r="C1705" s="17" t="s">
        <v>12</v>
      </c>
      <c r="D1705" s="17" t="s">
        <v>26</v>
      </c>
      <c r="E1705" s="17" t="s">
        <v>41</v>
      </c>
      <c r="F1705" s="17" t="s">
        <v>28</v>
      </c>
      <c r="G1705" s="17" t="s">
        <v>38</v>
      </c>
      <c r="H1705" s="17" t="s">
        <v>2597</v>
      </c>
      <c r="I1705" s="17" t="s">
        <v>30</v>
      </c>
      <c r="J1705" s="36">
        <v>5416.67</v>
      </c>
      <c r="K1705" s="36">
        <v>10982.18</v>
      </c>
      <c r="L1705" s="36">
        <f t="shared" si="130"/>
        <v>5565.51</v>
      </c>
      <c r="M1705" s="37">
        <f t="shared" si="131"/>
        <v>1.0274781369365311</v>
      </c>
      <c r="N1705" s="17" t="str">
        <f t="shared" si="132"/>
        <v>Over Budget</v>
      </c>
      <c r="O1705" s="38">
        <f t="shared" si="133"/>
        <v>-10982.18</v>
      </c>
      <c r="P1705" s="39">
        <f t="shared" si="134"/>
        <v>46174</v>
      </c>
    </row>
    <row r="1706" spans="1:16" ht="15.5" x14ac:dyDescent="0.35">
      <c r="A1706" s="17" t="s">
        <v>1754</v>
      </c>
      <c r="B1706" s="35">
        <v>45813</v>
      </c>
      <c r="C1706" s="17" t="s">
        <v>25</v>
      </c>
      <c r="D1706" s="17" t="s">
        <v>32</v>
      </c>
      <c r="E1706" s="17" t="s">
        <v>27</v>
      </c>
      <c r="F1706" s="17" t="s">
        <v>52</v>
      </c>
      <c r="G1706" s="17" t="s">
        <v>82</v>
      </c>
      <c r="H1706" s="17" t="s">
        <v>60</v>
      </c>
      <c r="I1706" s="17" t="s">
        <v>23</v>
      </c>
      <c r="J1706" s="36">
        <v>5333.33</v>
      </c>
      <c r="K1706" s="36">
        <v>153.11000000000001</v>
      </c>
      <c r="L1706" s="36">
        <f t="shared" si="130"/>
        <v>-5180.22</v>
      </c>
      <c r="M1706" s="37">
        <f t="shared" si="131"/>
        <v>-0.97129185705741072</v>
      </c>
      <c r="N1706" s="17" t="str">
        <f t="shared" si="132"/>
        <v>Under Budget</v>
      </c>
      <c r="O1706" s="38">
        <f t="shared" si="133"/>
        <v>153.11000000000001</v>
      </c>
      <c r="P1706" s="39">
        <f t="shared" si="134"/>
        <v>45809</v>
      </c>
    </row>
    <row r="1707" spans="1:16" ht="15.5" x14ac:dyDescent="0.35">
      <c r="A1707" s="17" t="s">
        <v>1755</v>
      </c>
      <c r="B1707" s="35">
        <v>45703</v>
      </c>
      <c r="C1707" s="17" t="s">
        <v>12</v>
      </c>
      <c r="D1707" s="17" t="s">
        <v>36</v>
      </c>
      <c r="E1707" s="17" t="s">
        <v>20</v>
      </c>
      <c r="F1707" s="17" t="s">
        <v>21</v>
      </c>
      <c r="G1707" s="17" t="s">
        <v>43</v>
      </c>
      <c r="H1707" s="17" t="s">
        <v>2587</v>
      </c>
      <c r="I1707" s="17" t="s">
        <v>17</v>
      </c>
      <c r="J1707" s="36">
        <v>1940</v>
      </c>
      <c r="K1707" s="36">
        <v>452.5</v>
      </c>
      <c r="L1707" s="36">
        <f t="shared" si="130"/>
        <v>-1487.5</v>
      </c>
      <c r="M1707" s="37">
        <f t="shared" si="131"/>
        <v>-0.76675257731958768</v>
      </c>
      <c r="N1707" s="17" t="str">
        <f t="shared" si="132"/>
        <v>Under Budget</v>
      </c>
      <c r="O1707" s="38">
        <f t="shared" si="133"/>
        <v>-452.5</v>
      </c>
      <c r="P1707" s="39">
        <f t="shared" si="134"/>
        <v>45689</v>
      </c>
    </row>
    <row r="1708" spans="1:16" ht="15.5" x14ac:dyDescent="0.35">
      <c r="A1708" s="17" t="s">
        <v>1756</v>
      </c>
      <c r="B1708" s="35">
        <v>46137</v>
      </c>
      <c r="C1708" s="17" t="s">
        <v>12</v>
      </c>
      <c r="D1708" s="17" t="s">
        <v>26</v>
      </c>
      <c r="E1708" s="17" t="s">
        <v>51</v>
      </c>
      <c r="F1708" s="17" t="s">
        <v>28</v>
      </c>
      <c r="G1708" s="17" t="s">
        <v>38</v>
      </c>
      <c r="H1708" s="17" t="s">
        <v>2587</v>
      </c>
      <c r="I1708" s="17" t="s">
        <v>23</v>
      </c>
      <c r="J1708" s="36">
        <v>10000</v>
      </c>
      <c r="K1708" s="36">
        <v>1768.92</v>
      </c>
      <c r="L1708" s="36">
        <f t="shared" si="130"/>
        <v>-8231.08</v>
      </c>
      <c r="M1708" s="37">
        <f t="shared" si="131"/>
        <v>-0.82310799999999995</v>
      </c>
      <c r="N1708" s="17" t="str">
        <f t="shared" si="132"/>
        <v>Under Budget</v>
      </c>
      <c r="O1708" s="38">
        <f t="shared" si="133"/>
        <v>-1768.92</v>
      </c>
      <c r="P1708" s="39">
        <f t="shared" si="134"/>
        <v>46113</v>
      </c>
    </row>
    <row r="1709" spans="1:16" ht="15.5" x14ac:dyDescent="0.35">
      <c r="A1709" s="17" t="s">
        <v>1757</v>
      </c>
      <c r="B1709" s="35">
        <v>45980</v>
      </c>
      <c r="C1709" s="17" t="s">
        <v>12</v>
      </c>
      <c r="D1709" s="17" t="s">
        <v>36</v>
      </c>
      <c r="E1709" s="17" t="s">
        <v>77</v>
      </c>
      <c r="F1709" s="17" t="s">
        <v>34</v>
      </c>
      <c r="G1709" s="17" t="s">
        <v>29</v>
      </c>
      <c r="H1709" s="17" t="s">
        <v>60</v>
      </c>
      <c r="I1709" s="17" t="s">
        <v>48</v>
      </c>
      <c r="J1709" s="36">
        <v>2310</v>
      </c>
      <c r="K1709" s="36">
        <v>2518.13</v>
      </c>
      <c r="L1709" s="36">
        <f t="shared" si="130"/>
        <v>208.13000000000011</v>
      </c>
      <c r="M1709" s="37">
        <f t="shared" si="131"/>
        <v>9.0099567099567152E-2</v>
      </c>
      <c r="N1709" s="17" t="str">
        <f t="shared" si="132"/>
        <v>Over Budget</v>
      </c>
      <c r="O1709" s="38">
        <f t="shared" si="133"/>
        <v>-2518.13</v>
      </c>
      <c r="P1709" s="39">
        <f t="shared" si="134"/>
        <v>45962</v>
      </c>
    </row>
    <row r="1710" spans="1:16" ht="15.5" x14ac:dyDescent="0.35">
      <c r="A1710" s="17" t="s">
        <v>1758</v>
      </c>
      <c r="B1710" s="35">
        <v>46196</v>
      </c>
      <c r="C1710" s="17" t="s">
        <v>25</v>
      </c>
      <c r="D1710" s="17" t="s">
        <v>19</v>
      </c>
      <c r="E1710" s="17" t="s">
        <v>109</v>
      </c>
      <c r="F1710" s="17" t="s">
        <v>21</v>
      </c>
      <c r="G1710" s="17" t="s">
        <v>82</v>
      </c>
      <c r="H1710" s="17" t="s">
        <v>2586</v>
      </c>
      <c r="I1710" s="17" t="s">
        <v>2583</v>
      </c>
      <c r="J1710" s="36">
        <v>4761.8999999999996</v>
      </c>
      <c r="K1710" s="36">
        <v>11438.75</v>
      </c>
      <c r="L1710" s="36">
        <f t="shared" si="130"/>
        <v>6676.85</v>
      </c>
      <c r="M1710" s="37">
        <f t="shared" si="131"/>
        <v>1.4021399021399024</v>
      </c>
      <c r="N1710" s="17" t="str">
        <f t="shared" si="132"/>
        <v>Over Budget</v>
      </c>
      <c r="O1710" s="38">
        <f t="shared" si="133"/>
        <v>11438.75</v>
      </c>
      <c r="P1710" s="39">
        <f t="shared" si="134"/>
        <v>46174</v>
      </c>
    </row>
    <row r="1711" spans="1:16" ht="15.5" x14ac:dyDescent="0.35">
      <c r="A1711" s="17" t="s">
        <v>1759</v>
      </c>
      <c r="B1711" s="35">
        <v>45972</v>
      </c>
      <c r="C1711" s="17" t="s">
        <v>25</v>
      </c>
      <c r="D1711" s="17" t="s">
        <v>19</v>
      </c>
      <c r="E1711" s="17" t="s">
        <v>109</v>
      </c>
      <c r="F1711" s="17" t="s">
        <v>28</v>
      </c>
      <c r="G1711" s="17" t="s">
        <v>22</v>
      </c>
      <c r="H1711" s="17" t="s">
        <v>2598</v>
      </c>
      <c r="I1711" s="17" t="s">
        <v>23</v>
      </c>
      <c r="J1711" s="36">
        <v>9545.4500000000007</v>
      </c>
      <c r="K1711" s="36">
        <v>9077.67</v>
      </c>
      <c r="L1711" s="36">
        <f t="shared" si="130"/>
        <v>-467.78000000000065</v>
      </c>
      <c r="M1711" s="37">
        <f t="shared" si="131"/>
        <v>-4.9005547145498707E-2</v>
      </c>
      <c r="N1711" s="17" t="str">
        <f t="shared" si="132"/>
        <v>Under Budget</v>
      </c>
      <c r="O1711" s="38">
        <f t="shared" si="133"/>
        <v>9077.67</v>
      </c>
      <c r="P1711" s="39">
        <f t="shared" si="134"/>
        <v>45962</v>
      </c>
    </row>
    <row r="1712" spans="1:16" ht="15.5" x14ac:dyDescent="0.35">
      <c r="A1712" s="17" t="s">
        <v>1760</v>
      </c>
      <c r="B1712" s="35">
        <v>45718</v>
      </c>
      <c r="C1712" s="17" t="s">
        <v>25</v>
      </c>
      <c r="D1712" s="17" t="s">
        <v>2584</v>
      </c>
      <c r="E1712" s="17" t="s">
        <v>33</v>
      </c>
      <c r="F1712" s="17" t="s">
        <v>52</v>
      </c>
      <c r="G1712" s="17" t="s">
        <v>22</v>
      </c>
      <c r="H1712" s="17" t="s">
        <v>2593</v>
      </c>
      <c r="I1712" s="17" t="s">
        <v>48</v>
      </c>
      <c r="J1712" s="36">
        <v>8064.52</v>
      </c>
      <c r="K1712" s="36">
        <v>8406.67</v>
      </c>
      <c r="L1712" s="36">
        <f t="shared" si="130"/>
        <v>342.14999999999964</v>
      </c>
      <c r="M1712" s="37">
        <f t="shared" si="131"/>
        <v>4.2426579635241726E-2</v>
      </c>
      <c r="N1712" s="17" t="str">
        <f t="shared" si="132"/>
        <v>Over Budget</v>
      </c>
      <c r="O1712" s="38">
        <f t="shared" si="133"/>
        <v>8406.67</v>
      </c>
      <c r="P1712" s="39">
        <f t="shared" si="134"/>
        <v>45717</v>
      </c>
    </row>
    <row r="1713" spans="1:16" ht="15.5" x14ac:dyDescent="0.35">
      <c r="A1713" s="17" t="s">
        <v>1761</v>
      </c>
      <c r="B1713" s="35">
        <v>45835</v>
      </c>
      <c r="C1713" s="17" t="s">
        <v>25</v>
      </c>
      <c r="D1713" s="17" t="s">
        <v>26</v>
      </c>
      <c r="E1713" s="17" t="s">
        <v>33</v>
      </c>
      <c r="F1713" s="17" t="s">
        <v>52</v>
      </c>
      <c r="G1713" s="17" t="s">
        <v>38</v>
      </c>
      <c r="H1713" s="17" t="s">
        <v>2594</v>
      </c>
      <c r="I1713" s="17" t="s">
        <v>48</v>
      </c>
      <c r="J1713" s="36">
        <v>9615.3799999999992</v>
      </c>
      <c r="K1713" s="36">
        <v>3122.99</v>
      </c>
      <c r="L1713" s="36">
        <f t="shared" si="130"/>
        <v>-6492.3899999999994</v>
      </c>
      <c r="M1713" s="37">
        <f t="shared" si="131"/>
        <v>-0.67520888410026436</v>
      </c>
      <c r="N1713" s="17" t="str">
        <f t="shared" si="132"/>
        <v>Under Budget</v>
      </c>
      <c r="O1713" s="38">
        <f t="shared" si="133"/>
        <v>3122.99</v>
      </c>
      <c r="P1713" s="39">
        <f t="shared" si="134"/>
        <v>45809</v>
      </c>
    </row>
    <row r="1714" spans="1:16" ht="15.5" x14ac:dyDescent="0.35">
      <c r="A1714" s="17" t="s">
        <v>1762</v>
      </c>
      <c r="B1714" s="35">
        <v>45839</v>
      </c>
      <c r="C1714" s="17" t="s">
        <v>25</v>
      </c>
      <c r="D1714" s="17" t="s">
        <v>32</v>
      </c>
      <c r="E1714" s="17" t="s">
        <v>33</v>
      </c>
      <c r="F1714" s="17" t="s">
        <v>28</v>
      </c>
      <c r="G1714" s="17" t="s">
        <v>38</v>
      </c>
      <c r="H1714" s="17" t="s">
        <v>2593</v>
      </c>
      <c r="I1714" s="17" t="s">
        <v>48</v>
      </c>
      <c r="J1714" s="36">
        <v>12500</v>
      </c>
      <c r="K1714" s="36">
        <v>21815.85</v>
      </c>
      <c r="L1714" s="36">
        <f t="shared" si="130"/>
        <v>9315.8499999999985</v>
      </c>
      <c r="M1714" s="37">
        <f t="shared" si="131"/>
        <v>0.74526799999999993</v>
      </c>
      <c r="N1714" s="17" t="str">
        <f t="shared" si="132"/>
        <v>Over Budget</v>
      </c>
      <c r="O1714" s="38">
        <f t="shared" si="133"/>
        <v>21815.85</v>
      </c>
      <c r="P1714" s="39">
        <f t="shared" si="134"/>
        <v>45839</v>
      </c>
    </row>
    <row r="1715" spans="1:16" ht="15.5" x14ac:dyDescent="0.35">
      <c r="A1715" s="17" t="s">
        <v>1763</v>
      </c>
      <c r="B1715" s="35">
        <v>46090</v>
      </c>
      <c r="C1715" s="17" t="s">
        <v>12</v>
      </c>
      <c r="D1715" s="17" t="s">
        <v>2584</v>
      </c>
      <c r="E1715" s="17" t="s">
        <v>45</v>
      </c>
      <c r="F1715" s="17" t="s">
        <v>52</v>
      </c>
      <c r="G1715" s="17" t="s">
        <v>38</v>
      </c>
      <c r="H1715" s="17" t="s">
        <v>2587</v>
      </c>
      <c r="I1715" s="17" t="s">
        <v>39</v>
      </c>
      <c r="J1715" s="36">
        <v>7200</v>
      </c>
      <c r="K1715" s="36">
        <v>17033.810000000001</v>
      </c>
      <c r="L1715" s="36">
        <f t="shared" si="130"/>
        <v>9833.8100000000013</v>
      </c>
      <c r="M1715" s="37">
        <f t="shared" si="131"/>
        <v>1.3658069444444447</v>
      </c>
      <c r="N1715" s="17" t="str">
        <f t="shared" si="132"/>
        <v>Over Budget</v>
      </c>
      <c r="O1715" s="38">
        <f t="shared" si="133"/>
        <v>-17033.810000000001</v>
      </c>
      <c r="P1715" s="39">
        <f t="shared" si="134"/>
        <v>46082</v>
      </c>
    </row>
    <row r="1716" spans="1:16" ht="15.5" x14ac:dyDescent="0.35">
      <c r="A1716" s="17" t="s">
        <v>1764</v>
      </c>
      <c r="B1716" s="35">
        <v>45851</v>
      </c>
      <c r="C1716" s="17" t="s">
        <v>12</v>
      </c>
      <c r="D1716" s="17" t="s">
        <v>36</v>
      </c>
      <c r="E1716" s="17" t="s">
        <v>77</v>
      </c>
      <c r="F1716" s="17" t="s">
        <v>52</v>
      </c>
      <c r="G1716" s="17" t="s">
        <v>43</v>
      </c>
      <c r="H1716" s="17" t="s">
        <v>60</v>
      </c>
      <c r="I1716" s="17" t="s">
        <v>23</v>
      </c>
      <c r="J1716" s="36">
        <v>2750</v>
      </c>
      <c r="K1716" s="36">
        <v>2637.31</v>
      </c>
      <c r="L1716" s="36">
        <f t="shared" si="130"/>
        <v>-112.69000000000005</v>
      </c>
      <c r="M1716" s="37">
        <f t="shared" si="131"/>
        <v>-4.0978181818181837E-2</v>
      </c>
      <c r="N1716" s="17" t="str">
        <f t="shared" si="132"/>
        <v>Under Budget</v>
      </c>
      <c r="O1716" s="38">
        <f t="shared" si="133"/>
        <v>-2637.31</v>
      </c>
      <c r="P1716" s="39">
        <f t="shared" si="134"/>
        <v>45839</v>
      </c>
    </row>
    <row r="1717" spans="1:16" ht="15.5" x14ac:dyDescent="0.35">
      <c r="A1717" s="17" t="s">
        <v>1765</v>
      </c>
      <c r="B1717" s="35">
        <v>46006</v>
      </c>
      <c r="C1717" s="17" t="s">
        <v>25</v>
      </c>
      <c r="D1717" s="17" t="s">
        <v>2585</v>
      </c>
      <c r="E1717" s="17" t="s">
        <v>109</v>
      </c>
      <c r="F1717" s="17" t="s">
        <v>15</v>
      </c>
      <c r="G1717" s="17" t="s">
        <v>22</v>
      </c>
      <c r="H1717" s="17" t="s">
        <v>2595</v>
      </c>
      <c r="I1717" s="17" t="s">
        <v>39</v>
      </c>
      <c r="J1717" s="36">
        <v>9545.4500000000007</v>
      </c>
      <c r="K1717" s="36">
        <v>15342.49</v>
      </c>
      <c r="L1717" s="36">
        <f t="shared" si="130"/>
        <v>5797.0399999999991</v>
      </c>
      <c r="M1717" s="37">
        <f t="shared" si="131"/>
        <v>0.60730924157582922</v>
      </c>
      <c r="N1717" s="17" t="str">
        <f t="shared" si="132"/>
        <v>Over Budget</v>
      </c>
      <c r="O1717" s="38">
        <f t="shared" si="133"/>
        <v>15342.49</v>
      </c>
      <c r="P1717" s="39">
        <f t="shared" si="134"/>
        <v>45992</v>
      </c>
    </row>
    <row r="1718" spans="1:16" ht="15.5" x14ac:dyDescent="0.35">
      <c r="A1718" s="17" t="s">
        <v>1766</v>
      </c>
      <c r="B1718" s="35">
        <v>46080</v>
      </c>
      <c r="C1718" s="17" t="s">
        <v>12</v>
      </c>
      <c r="D1718" s="17" t="s">
        <v>2584</v>
      </c>
      <c r="E1718" s="17" t="s">
        <v>77</v>
      </c>
      <c r="F1718" s="17" t="s">
        <v>21</v>
      </c>
      <c r="G1718" s="17" t="s">
        <v>16</v>
      </c>
      <c r="H1718" s="17" t="s">
        <v>2597</v>
      </c>
      <c r="I1718" s="17" t="s">
        <v>30</v>
      </c>
      <c r="J1718" s="36">
        <v>2667.5</v>
      </c>
      <c r="K1718" s="36">
        <v>1850.39</v>
      </c>
      <c r="L1718" s="36">
        <f t="shared" si="130"/>
        <v>-817.1099999999999</v>
      </c>
      <c r="M1718" s="37">
        <f t="shared" si="131"/>
        <v>-0.30632052483598871</v>
      </c>
      <c r="N1718" s="17" t="str">
        <f t="shared" si="132"/>
        <v>Under Budget</v>
      </c>
      <c r="O1718" s="38">
        <f t="shared" si="133"/>
        <v>-1850.39</v>
      </c>
      <c r="P1718" s="39">
        <f t="shared" si="134"/>
        <v>46054</v>
      </c>
    </row>
    <row r="1719" spans="1:16" ht="15.5" x14ac:dyDescent="0.35">
      <c r="A1719" s="17" t="s">
        <v>1767</v>
      </c>
      <c r="B1719" s="35">
        <v>46027</v>
      </c>
      <c r="C1719" s="17" t="s">
        <v>12</v>
      </c>
      <c r="D1719" s="17" t="s">
        <v>2585</v>
      </c>
      <c r="E1719" s="17" t="s">
        <v>74</v>
      </c>
      <c r="F1719" s="17" t="s">
        <v>34</v>
      </c>
      <c r="G1719" s="17" t="s">
        <v>43</v>
      </c>
      <c r="H1719" s="17" t="s">
        <v>2595</v>
      </c>
      <c r="I1719" s="17" t="s">
        <v>17</v>
      </c>
      <c r="J1719" s="36">
        <v>4850</v>
      </c>
      <c r="K1719" s="36">
        <v>3330.37</v>
      </c>
      <c r="L1719" s="36">
        <f t="shared" si="130"/>
        <v>-1519.63</v>
      </c>
      <c r="M1719" s="37">
        <f t="shared" si="131"/>
        <v>-0.31332577319587629</v>
      </c>
      <c r="N1719" s="17" t="str">
        <f t="shared" si="132"/>
        <v>Under Budget</v>
      </c>
      <c r="O1719" s="38">
        <f t="shared" si="133"/>
        <v>-3330.37</v>
      </c>
      <c r="P1719" s="39">
        <f t="shared" si="134"/>
        <v>46023</v>
      </c>
    </row>
    <row r="1720" spans="1:16" ht="15.5" x14ac:dyDescent="0.35">
      <c r="A1720" s="17" t="s">
        <v>1768</v>
      </c>
      <c r="B1720" s="35">
        <v>46121</v>
      </c>
      <c r="C1720" s="17" t="s">
        <v>12</v>
      </c>
      <c r="D1720" s="17" t="s">
        <v>2584</v>
      </c>
      <c r="E1720" s="17" t="s">
        <v>14</v>
      </c>
      <c r="F1720" s="17" t="s">
        <v>34</v>
      </c>
      <c r="G1720" s="17" t="s">
        <v>43</v>
      </c>
      <c r="H1720" s="17" t="s">
        <v>2588</v>
      </c>
      <c r="I1720" s="17" t="s">
        <v>48</v>
      </c>
      <c r="J1720" s="36">
        <v>5333.33</v>
      </c>
      <c r="K1720" s="36">
        <v>1304.47</v>
      </c>
      <c r="L1720" s="36">
        <f t="shared" si="130"/>
        <v>-4028.8599999999997</v>
      </c>
      <c r="M1720" s="37">
        <f t="shared" si="131"/>
        <v>-0.75541172213232632</v>
      </c>
      <c r="N1720" s="17" t="str">
        <f t="shared" si="132"/>
        <v>Under Budget</v>
      </c>
      <c r="O1720" s="38">
        <f t="shared" si="133"/>
        <v>-1304.47</v>
      </c>
      <c r="P1720" s="39">
        <f t="shared" si="134"/>
        <v>46113</v>
      </c>
    </row>
    <row r="1721" spans="1:16" ht="15.5" x14ac:dyDescent="0.35">
      <c r="A1721" s="17" t="s">
        <v>1769</v>
      </c>
      <c r="B1721" s="35">
        <v>45960</v>
      </c>
      <c r="C1721" s="17" t="s">
        <v>25</v>
      </c>
      <c r="D1721" s="17" t="s">
        <v>13</v>
      </c>
      <c r="E1721" s="17" t="s">
        <v>33</v>
      </c>
      <c r="F1721" s="17" t="s">
        <v>28</v>
      </c>
      <c r="G1721" s="17" t="s">
        <v>38</v>
      </c>
      <c r="H1721" s="17" t="s">
        <v>80</v>
      </c>
      <c r="I1721" s="17" t="s">
        <v>48</v>
      </c>
      <c r="J1721" s="36">
        <v>8928.57</v>
      </c>
      <c r="K1721" s="36">
        <v>23509.57</v>
      </c>
      <c r="L1721" s="36">
        <f t="shared" si="130"/>
        <v>14581</v>
      </c>
      <c r="M1721" s="37">
        <f t="shared" si="131"/>
        <v>1.6330722612915618</v>
      </c>
      <c r="N1721" s="17" t="str">
        <f t="shared" si="132"/>
        <v>Over Budget</v>
      </c>
      <c r="O1721" s="38">
        <f t="shared" si="133"/>
        <v>23509.57</v>
      </c>
      <c r="P1721" s="39">
        <f t="shared" si="134"/>
        <v>45931</v>
      </c>
    </row>
    <row r="1722" spans="1:16" ht="15.5" x14ac:dyDescent="0.35">
      <c r="A1722" s="17" t="s">
        <v>1770</v>
      </c>
      <c r="B1722" s="35">
        <v>46001</v>
      </c>
      <c r="C1722" s="17" t="s">
        <v>12</v>
      </c>
      <c r="D1722" s="17" t="s">
        <v>26</v>
      </c>
      <c r="E1722" s="17" t="s">
        <v>65</v>
      </c>
      <c r="F1722" s="17" t="s">
        <v>34</v>
      </c>
      <c r="G1722" s="17" t="s">
        <v>43</v>
      </c>
      <c r="H1722" s="17" t="s">
        <v>2590</v>
      </c>
      <c r="I1722" s="17" t="s">
        <v>48</v>
      </c>
      <c r="J1722" s="36">
        <v>4125</v>
      </c>
      <c r="K1722" s="36">
        <v>6003.61</v>
      </c>
      <c r="L1722" s="36">
        <f t="shared" si="130"/>
        <v>1878.6099999999997</v>
      </c>
      <c r="M1722" s="37">
        <f t="shared" si="131"/>
        <v>0.45542060606060597</v>
      </c>
      <c r="N1722" s="17" t="str">
        <f t="shared" si="132"/>
        <v>Over Budget</v>
      </c>
      <c r="O1722" s="38">
        <f t="shared" si="133"/>
        <v>-6003.61</v>
      </c>
      <c r="P1722" s="39">
        <f t="shared" si="134"/>
        <v>45992</v>
      </c>
    </row>
    <row r="1723" spans="1:16" ht="15.5" x14ac:dyDescent="0.35">
      <c r="A1723" s="17" t="s">
        <v>1771</v>
      </c>
      <c r="B1723" s="35">
        <v>46134</v>
      </c>
      <c r="C1723" s="17" t="s">
        <v>25</v>
      </c>
      <c r="D1723" s="17" t="s">
        <v>32</v>
      </c>
      <c r="E1723" s="17" t="s">
        <v>169</v>
      </c>
      <c r="F1723" s="17" t="s">
        <v>34</v>
      </c>
      <c r="G1723" s="17" t="s">
        <v>82</v>
      </c>
      <c r="H1723" s="17" t="s">
        <v>2594</v>
      </c>
      <c r="I1723" s="17" t="s">
        <v>48</v>
      </c>
      <c r="J1723" s="36">
        <v>3333.33</v>
      </c>
      <c r="K1723" s="36">
        <v>3070.05</v>
      </c>
      <c r="L1723" s="36">
        <f t="shared" si="130"/>
        <v>-263.27999999999975</v>
      </c>
      <c r="M1723" s="37">
        <f t="shared" si="131"/>
        <v>-7.8984078984078915E-2</v>
      </c>
      <c r="N1723" s="17" t="str">
        <f t="shared" si="132"/>
        <v>Under Budget</v>
      </c>
      <c r="O1723" s="38">
        <f t="shared" si="133"/>
        <v>3070.05</v>
      </c>
      <c r="P1723" s="39">
        <f t="shared" si="134"/>
        <v>46113</v>
      </c>
    </row>
    <row r="1724" spans="1:16" ht="15.5" x14ac:dyDescent="0.35">
      <c r="A1724" s="17" t="s">
        <v>1772</v>
      </c>
      <c r="B1724" s="35">
        <v>45794</v>
      </c>
      <c r="C1724" s="17" t="s">
        <v>12</v>
      </c>
      <c r="D1724" s="17" t="s">
        <v>2585</v>
      </c>
      <c r="E1724" s="17" t="s">
        <v>45</v>
      </c>
      <c r="F1724" s="17" t="s">
        <v>15</v>
      </c>
      <c r="G1724" s="17" t="s">
        <v>43</v>
      </c>
      <c r="H1724" s="17" t="s">
        <v>2590</v>
      </c>
      <c r="I1724" s="17" t="s">
        <v>23</v>
      </c>
      <c r="J1724" s="36">
        <v>7200</v>
      </c>
      <c r="K1724" s="36">
        <v>7678.42</v>
      </c>
      <c r="L1724" s="36">
        <f t="shared" si="130"/>
        <v>478.42000000000007</v>
      </c>
      <c r="M1724" s="37">
        <f t="shared" si="131"/>
        <v>6.6447222222222227E-2</v>
      </c>
      <c r="N1724" s="17" t="str">
        <f t="shared" si="132"/>
        <v>Over Budget</v>
      </c>
      <c r="O1724" s="38">
        <f t="shared" si="133"/>
        <v>-7678.42</v>
      </c>
      <c r="P1724" s="39">
        <f t="shared" si="134"/>
        <v>45778</v>
      </c>
    </row>
    <row r="1725" spans="1:16" ht="15.5" x14ac:dyDescent="0.35">
      <c r="A1725" s="17" t="s">
        <v>1773</v>
      </c>
      <c r="B1725" s="35">
        <v>45802</v>
      </c>
      <c r="C1725" s="17" t="s">
        <v>12</v>
      </c>
      <c r="D1725" s="17" t="s">
        <v>26</v>
      </c>
      <c r="E1725" s="17" t="s">
        <v>47</v>
      </c>
      <c r="F1725" s="17" t="s">
        <v>34</v>
      </c>
      <c r="G1725" s="17" t="s">
        <v>22</v>
      </c>
      <c r="H1725" s="17" t="s">
        <v>2596</v>
      </c>
      <c r="I1725" s="17" t="s">
        <v>30</v>
      </c>
      <c r="J1725" s="36">
        <v>3888.89</v>
      </c>
      <c r="K1725" s="36">
        <v>831.65</v>
      </c>
      <c r="L1725" s="36">
        <f t="shared" si="130"/>
        <v>-3057.24</v>
      </c>
      <c r="M1725" s="37">
        <f t="shared" si="131"/>
        <v>-0.78614720395794169</v>
      </c>
      <c r="N1725" s="17" t="str">
        <f t="shared" si="132"/>
        <v>Under Budget</v>
      </c>
      <c r="O1725" s="38">
        <f t="shared" si="133"/>
        <v>-831.65</v>
      </c>
      <c r="P1725" s="39">
        <f t="shared" si="134"/>
        <v>45778</v>
      </c>
    </row>
    <row r="1726" spans="1:16" ht="15.5" x14ac:dyDescent="0.35">
      <c r="A1726" s="17" t="s">
        <v>1774</v>
      </c>
      <c r="B1726" s="35">
        <v>46027</v>
      </c>
      <c r="C1726" s="17" t="s">
        <v>12</v>
      </c>
      <c r="D1726" s="17" t="s">
        <v>2585</v>
      </c>
      <c r="E1726" s="17" t="s">
        <v>45</v>
      </c>
      <c r="F1726" s="17" t="s">
        <v>28</v>
      </c>
      <c r="G1726" s="17" t="s">
        <v>38</v>
      </c>
      <c r="H1726" s="17" t="s">
        <v>2598</v>
      </c>
      <c r="I1726" s="17" t="s">
        <v>2583</v>
      </c>
      <c r="J1726" s="36">
        <v>6715.38</v>
      </c>
      <c r="K1726" s="36">
        <v>1631.53</v>
      </c>
      <c r="L1726" s="36">
        <f t="shared" si="130"/>
        <v>-5083.8500000000004</v>
      </c>
      <c r="M1726" s="37">
        <f t="shared" si="131"/>
        <v>-0.75704576658357392</v>
      </c>
      <c r="N1726" s="17" t="str">
        <f t="shared" si="132"/>
        <v>Under Budget</v>
      </c>
      <c r="O1726" s="38">
        <f t="shared" si="133"/>
        <v>-1631.53</v>
      </c>
      <c r="P1726" s="39">
        <f t="shared" si="134"/>
        <v>46023</v>
      </c>
    </row>
    <row r="1727" spans="1:16" ht="15.5" x14ac:dyDescent="0.35">
      <c r="A1727" s="17" t="s">
        <v>1775</v>
      </c>
      <c r="B1727" s="35">
        <v>45725</v>
      </c>
      <c r="C1727" s="17" t="s">
        <v>12</v>
      </c>
      <c r="D1727" s="17" t="s">
        <v>2585</v>
      </c>
      <c r="E1727" s="17" t="s">
        <v>45</v>
      </c>
      <c r="F1727" s="17" t="s">
        <v>52</v>
      </c>
      <c r="G1727" s="17" t="s">
        <v>38</v>
      </c>
      <c r="H1727" s="17" t="s">
        <v>2589</v>
      </c>
      <c r="I1727" s="17" t="s">
        <v>48</v>
      </c>
      <c r="J1727" s="36">
        <v>6000</v>
      </c>
      <c r="K1727" s="36">
        <v>11011.26</v>
      </c>
      <c r="L1727" s="36">
        <f t="shared" si="130"/>
        <v>5011.26</v>
      </c>
      <c r="M1727" s="37">
        <f t="shared" si="131"/>
        <v>0.83521000000000001</v>
      </c>
      <c r="N1727" s="17" t="str">
        <f t="shared" si="132"/>
        <v>Over Budget</v>
      </c>
      <c r="O1727" s="38">
        <f t="shared" si="133"/>
        <v>-11011.26</v>
      </c>
      <c r="P1727" s="39">
        <f t="shared" si="134"/>
        <v>45717</v>
      </c>
    </row>
    <row r="1728" spans="1:16" ht="15.5" x14ac:dyDescent="0.35">
      <c r="A1728" s="17" t="s">
        <v>1776</v>
      </c>
      <c r="B1728" s="35">
        <v>45696</v>
      </c>
      <c r="C1728" s="17" t="s">
        <v>12</v>
      </c>
      <c r="D1728" s="17" t="s">
        <v>13</v>
      </c>
      <c r="E1728" s="17" t="s">
        <v>45</v>
      </c>
      <c r="F1728" s="17" t="s">
        <v>34</v>
      </c>
      <c r="G1728" s="17" t="s">
        <v>22</v>
      </c>
      <c r="H1728" s="17" t="s">
        <v>2592</v>
      </c>
      <c r="I1728" s="17" t="s">
        <v>30</v>
      </c>
      <c r="J1728" s="36">
        <v>11640</v>
      </c>
      <c r="K1728" s="36">
        <v>12714.72</v>
      </c>
      <c r="L1728" s="36">
        <f t="shared" si="130"/>
        <v>1074.7199999999993</v>
      </c>
      <c r="M1728" s="37">
        <f t="shared" si="131"/>
        <v>9.2329896907216435E-2</v>
      </c>
      <c r="N1728" s="17" t="str">
        <f t="shared" si="132"/>
        <v>Over Budget</v>
      </c>
      <c r="O1728" s="38">
        <f t="shared" si="133"/>
        <v>-12714.72</v>
      </c>
      <c r="P1728" s="39">
        <f t="shared" si="134"/>
        <v>45689</v>
      </c>
    </row>
    <row r="1729" spans="1:16" ht="15.5" x14ac:dyDescent="0.35">
      <c r="A1729" s="17" t="s">
        <v>1777</v>
      </c>
      <c r="B1729" s="35">
        <v>46070</v>
      </c>
      <c r="C1729" s="17" t="s">
        <v>12</v>
      </c>
      <c r="D1729" s="17" t="s">
        <v>19</v>
      </c>
      <c r="E1729" s="17" t="s">
        <v>65</v>
      </c>
      <c r="F1729" s="17" t="s">
        <v>15</v>
      </c>
      <c r="G1729" s="17" t="s">
        <v>38</v>
      </c>
      <c r="H1729" s="17" t="s">
        <v>2595</v>
      </c>
      <c r="I1729" s="17" t="s">
        <v>30</v>
      </c>
      <c r="J1729" s="36">
        <v>4850</v>
      </c>
      <c r="K1729" s="36">
        <v>8969.9500000000007</v>
      </c>
      <c r="L1729" s="36">
        <f t="shared" si="130"/>
        <v>4119.9500000000007</v>
      </c>
      <c r="M1729" s="37">
        <f t="shared" si="131"/>
        <v>0.84947422680412388</v>
      </c>
      <c r="N1729" s="17" t="str">
        <f t="shared" si="132"/>
        <v>Over Budget</v>
      </c>
      <c r="O1729" s="38">
        <f t="shared" si="133"/>
        <v>-8969.9500000000007</v>
      </c>
      <c r="P1729" s="39">
        <f t="shared" si="134"/>
        <v>46054</v>
      </c>
    </row>
    <row r="1730" spans="1:16" ht="15.5" x14ac:dyDescent="0.35">
      <c r="A1730" s="17" t="s">
        <v>1778</v>
      </c>
      <c r="B1730" s="35">
        <v>45723</v>
      </c>
      <c r="C1730" s="17" t="s">
        <v>12</v>
      </c>
      <c r="D1730" s="17" t="s">
        <v>13</v>
      </c>
      <c r="E1730" s="17" t="s">
        <v>65</v>
      </c>
      <c r="F1730" s="17" t="s">
        <v>52</v>
      </c>
      <c r="G1730" s="17" t="s">
        <v>38</v>
      </c>
      <c r="H1730" s="17" t="s">
        <v>2587</v>
      </c>
      <c r="I1730" s="17" t="s">
        <v>23</v>
      </c>
      <c r="J1730" s="36">
        <v>3928.57</v>
      </c>
      <c r="K1730" s="36">
        <v>3886.57</v>
      </c>
      <c r="L1730" s="36">
        <f t="shared" si="130"/>
        <v>-42</v>
      </c>
      <c r="M1730" s="37">
        <f t="shared" si="131"/>
        <v>-1.069091297851381E-2</v>
      </c>
      <c r="N1730" s="17" t="str">
        <f t="shared" si="132"/>
        <v>Under Budget</v>
      </c>
      <c r="O1730" s="38">
        <f t="shared" si="133"/>
        <v>-3886.57</v>
      </c>
      <c r="P1730" s="39">
        <f t="shared" si="134"/>
        <v>45717</v>
      </c>
    </row>
    <row r="1731" spans="1:16" ht="15.5" x14ac:dyDescent="0.35">
      <c r="A1731" s="17" t="s">
        <v>1779</v>
      </c>
      <c r="B1731" s="35">
        <v>46198</v>
      </c>
      <c r="C1731" s="17" t="s">
        <v>12</v>
      </c>
      <c r="D1731" s="17" t="s">
        <v>19</v>
      </c>
      <c r="E1731" s="17" t="s">
        <v>41</v>
      </c>
      <c r="F1731" s="17" t="s">
        <v>28</v>
      </c>
      <c r="G1731" s="17" t="s">
        <v>22</v>
      </c>
      <c r="H1731" s="17" t="s">
        <v>2590</v>
      </c>
      <c r="I1731" s="17" t="s">
        <v>48</v>
      </c>
      <c r="J1731" s="36">
        <v>5416.67</v>
      </c>
      <c r="K1731" s="36">
        <v>10168.4</v>
      </c>
      <c r="L1731" s="36">
        <f t="shared" ref="L1731:L1794" si="135">K1731-J1731</f>
        <v>4751.7299999999996</v>
      </c>
      <c r="M1731" s="37">
        <f t="shared" ref="M1731:M1794" si="136">IF(J1731=0,0,L1731/J1731)</f>
        <v>0.87724192169727888</v>
      </c>
      <c r="N1731" s="17" t="str">
        <f t="shared" ref="N1731:N1794" si="137">IF(J1731=0,"No Budget",IF(K1731&gt;J1731,"Over Budget",IF(K1731&lt;J1731,"Under Budget","On Budget")))</f>
        <v>Over Budget</v>
      </c>
      <c r="O1731" s="38">
        <f t="shared" ref="O1731:O1794" si="138">IF(C1731="Revenue",K1731,-K1731)</f>
        <v>-10168.4</v>
      </c>
      <c r="P1731" s="39">
        <f t="shared" ref="P1731:P1794" si="139">DATE(YEAR(B1731),MONTH(B1731),1)</f>
        <v>46174</v>
      </c>
    </row>
    <row r="1732" spans="1:16" ht="15.5" x14ac:dyDescent="0.35">
      <c r="A1732" s="17" t="s">
        <v>1780</v>
      </c>
      <c r="B1732" s="35">
        <v>46132</v>
      </c>
      <c r="C1732" s="17" t="s">
        <v>12</v>
      </c>
      <c r="D1732" s="17" t="s">
        <v>2585</v>
      </c>
      <c r="E1732" s="17" t="s">
        <v>41</v>
      </c>
      <c r="F1732" s="17" t="s">
        <v>52</v>
      </c>
      <c r="G1732" s="17" t="s">
        <v>16</v>
      </c>
      <c r="H1732" s="17" t="s">
        <v>2587</v>
      </c>
      <c r="I1732" s="17" t="s">
        <v>23</v>
      </c>
      <c r="J1732" s="36">
        <v>10833.33</v>
      </c>
      <c r="K1732" s="36">
        <v>9586.68</v>
      </c>
      <c r="L1732" s="36">
        <f t="shared" si="135"/>
        <v>-1246.6499999999996</v>
      </c>
      <c r="M1732" s="37">
        <f t="shared" si="136"/>
        <v>-0.11507542002320613</v>
      </c>
      <c r="N1732" s="17" t="str">
        <f t="shared" si="137"/>
        <v>Under Budget</v>
      </c>
      <c r="O1732" s="38">
        <f t="shared" si="138"/>
        <v>-9586.68</v>
      </c>
      <c r="P1732" s="39">
        <f t="shared" si="139"/>
        <v>46113</v>
      </c>
    </row>
    <row r="1733" spans="1:16" ht="15.5" x14ac:dyDescent="0.35">
      <c r="A1733" s="17" t="s">
        <v>1781</v>
      </c>
      <c r="B1733" s="35">
        <v>45849</v>
      </c>
      <c r="C1733" s="17" t="s">
        <v>25</v>
      </c>
      <c r="D1733" s="17" t="s">
        <v>36</v>
      </c>
      <c r="E1733" s="17" t="s">
        <v>109</v>
      </c>
      <c r="F1733" s="17" t="s">
        <v>28</v>
      </c>
      <c r="G1733" s="17" t="s">
        <v>38</v>
      </c>
      <c r="H1733" s="17" t="s">
        <v>80</v>
      </c>
      <c r="I1733" s="17" t="s">
        <v>39</v>
      </c>
      <c r="J1733" s="36">
        <v>7142.86</v>
      </c>
      <c r="K1733" s="36">
        <v>5204.88</v>
      </c>
      <c r="L1733" s="36">
        <f t="shared" si="135"/>
        <v>-1937.9799999999996</v>
      </c>
      <c r="M1733" s="37">
        <f t="shared" si="136"/>
        <v>-0.27131709147316335</v>
      </c>
      <c r="N1733" s="17" t="str">
        <f t="shared" si="137"/>
        <v>Under Budget</v>
      </c>
      <c r="O1733" s="38">
        <f t="shared" si="138"/>
        <v>5204.88</v>
      </c>
      <c r="P1733" s="39">
        <f t="shared" si="139"/>
        <v>45839</v>
      </c>
    </row>
    <row r="1734" spans="1:16" ht="15.5" x14ac:dyDescent="0.35">
      <c r="A1734" s="17" t="s">
        <v>1782</v>
      </c>
      <c r="B1734" s="35">
        <v>45733</v>
      </c>
      <c r="C1734" s="17" t="s">
        <v>25</v>
      </c>
      <c r="D1734" s="17" t="s">
        <v>13</v>
      </c>
      <c r="E1734" s="17" t="s">
        <v>109</v>
      </c>
      <c r="F1734" s="17" t="s">
        <v>21</v>
      </c>
      <c r="G1734" s="17" t="s">
        <v>22</v>
      </c>
      <c r="H1734" s="17" t="s">
        <v>80</v>
      </c>
      <c r="I1734" s="17" t="s">
        <v>48</v>
      </c>
      <c r="J1734" s="36">
        <v>9090.91</v>
      </c>
      <c r="K1734" s="36">
        <v>8418.73</v>
      </c>
      <c r="L1734" s="36">
        <f t="shared" si="135"/>
        <v>-672.18000000000029</v>
      </c>
      <c r="M1734" s="37">
        <f t="shared" si="136"/>
        <v>-7.3939792606020779E-2</v>
      </c>
      <c r="N1734" s="17" t="str">
        <f t="shared" si="137"/>
        <v>Under Budget</v>
      </c>
      <c r="O1734" s="38">
        <f t="shared" si="138"/>
        <v>8418.73</v>
      </c>
      <c r="P1734" s="39">
        <f t="shared" si="139"/>
        <v>45717</v>
      </c>
    </row>
    <row r="1735" spans="1:16" ht="15.5" x14ac:dyDescent="0.35">
      <c r="A1735" s="17" t="s">
        <v>1783</v>
      </c>
      <c r="B1735" s="35">
        <v>45758</v>
      </c>
      <c r="C1735" s="17" t="s">
        <v>25</v>
      </c>
      <c r="D1735" s="17" t="s">
        <v>13</v>
      </c>
      <c r="E1735" s="17" t="s">
        <v>109</v>
      </c>
      <c r="F1735" s="17" t="s">
        <v>15</v>
      </c>
      <c r="G1735" s="17" t="s">
        <v>38</v>
      </c>
      <c r="H1735" s="17" t="s">
        <v>2593</v>
      </c>
      <c r="I1735" s="17" t="s">
        <v>48</v>
      </c>
      <c r="J1735" s="36">
        <v>14285.71</v>
      </c>
      <c r="K1735" s="36">
        <v>2869.61</v>
      </c>
      <c r="L1735" s="36">
        <f t="shared" si="135"/>
        <v>-11416.099999999999</v>
      </c>
      <c r="M1735" s="37">
        <f t="shared" si="136"/>
        <v>-0.7991272397381719</v>
      </c>
      <c r="N1735" s="17" t="str">
        <f t="shared" si="137"/>
        <v>Under Budget</v>
      </c>
      <c r="O1735" s="38">
        <f t="shared" si="138"/>
        <v>2869.61</v>
      </c>
      <c r="P1735" s="39">
        <f t="shared" si="139"/>
        <v>45748</v>
      </c>
    </row>
    <row r="1736" spans="1:16" ht="15.5" x14ac:dyDescent="0.35">
      <c r="A1736" s="17" t="s">
        <v>1784</v>
      </c>
      <c r="B1736" s="35">
        <v>45911</v>
      </c>
      <c r="C1736" s="17" t="s">
        <v>12</v>
      </c>
      <c r="D1736" s="17" t="s">
        <v>26</v>
      </c>
      <c r="E1736" s="17" t="s">
        <v>47</v>
      </c>
      <c r="F1736" s="17" t="s">
        <v>52</v>
      </c>
      <c r="G1736" s="17" t="s">
        <v>16</v>
      </c>
      <c r="H1736" s="17" t="s">
        <v>80</v>
      </c>
      <c r="I1736" s="17" t="s">
        <v>48</v>
      </c>
      <c r="J1736" s="36">
        <v>3500</v>
      </c>
      <c r="K1736" s="36">
        <v>942.5</v>
      </c>
      <c r="L1736" s="36">
        <f t="shared" si="135"/>
        <v>-2557.5</v>
      </c>
      <c r="M1736" s="37">
        <f t="shared" si="136"/>
        <v>-0.73071428571428576</v>
      </c>
      <c r="N1736" s="17" t="str">
        <f t="shared" si="137"/>
        <v>Under Budget</v>
      </c>
      <c r="O1736" s="38">
        <f t="shared" si="138"/>
        <v>-942.5</v>
      </c>
      <c r="P1736" s="39">
        <f t="shared" si="139"/>
        <v>45901</v>
      </c>
    </row>
    <row r="1737" spans="1:16" ht="15.5" x14ac:dyDescent="0.35">
      <c r="A1737" s="17" t="s">
        <v>1785</v>
      </c>
      <c r="B1737" s="35">
        <v>45766</v>
      </c>
      <c r="C1737" s="17" t="s">
        <v>25</v>
      </c>
      <c r="D1737" s="17" t="s">
        <v>32</v>
      </c>
      <c r="E1737" s="17" t="s">
        <v>33</v>
      </c>
      <c r="F1737" s="17" t="s">
        <v>34</v>
      </c>
      <c r="G1737" s="17" t="s">
        <v>29</v>
      </c>
      <c r="H1737" s="17" t="s">
        <v>2591</v>
      </c>
      <c r="I1737" s="17" t="s">
        <v>30</v>
      </c>
      <c r="J1737" s="36">
        <v>11363.64</v>
      </c>
      <c r="K1737" s="36">
        <v>12788.86</v>
      </c>
      <c r="L1737" s="36">
        <f t="shared" si="135"/>
        <v>1425.2200000000012</v>
      </c>
      <c r="M1737" s="37">
        <f t="shared" si="136"/>
        <v>0.12541931986581775</v>
      </c>
      <c r="N1737" s="17" t="str">
        <f t="shared" si="137"/>
        <v>Over Budget</v>
      </c>
      <c r="O1737" s="38">
        <f t="shared" si="138"/>
        <v>12788.86</v>
      </c>
      <c r="P1737" s="39">
        <f t="shared" si="139"/>
        <v>45748</v>
      </c>
    </row>
    <row r="1738" spans="1:16" ht="15.5" x14ac:dyDescent="0.35">
      <c r="A1738" s="17" t="s">
        <v>1786</v>
      </c>
      <c r="B1738" s="35">
        <v>45848</v>
      </c>
      <c r="C1738" s="17" t="s">
        <v>25</v>
      </c>
      <c r="D1738" s="17" t="s">
        <v>19</v>
      </c>
      <c r="E1738" s="17" t="s">
        <v>27</v>
      </c>
      <c r="F1738" s="17" t="s">
        <v>34</v>
      </c>
      <c r="G1738" s="17" t="s">
        <v>38</v>
      </c>
      <c r="H1738" s="17" t="s">
        <v>2591</v>
      </c>
      <c r="I1738" s="17" t="s">
        <v>17</v>
      </c>
      <c r="J1738" s="36">
        <v>13333.33</v>
      </c>
      <c r="K1738" s="36">
        <v>7104.96</v>
      </c>
      <c r="L1738" s="36">
        <f t="shared" si="135"/>
        <v>-6228.37</v>
      </c>
      <c r="M1738" s="37">
        <f t="shared" si="136"/>
        <v>-0.46712786678196672</v>
      </c>
      <c r="N1738" s="17" t="str">
        <f t="shared" si="137"/>
        <v>Under Budget</v>
      </c>
      <c r="O1738" s="38">
        <f t="shared" si="138"/>
        <v>7104.96</v>
      </c>
      <c r="P1738" s="39">
        <f t="shared" si="139"/>
        <v>45839</v>
      </c>
    </row>
    <row r="1739" spans="1:16" ht="15.5" x14ac:dyDescent="0.35">
      <c r="A1739" s="17" t="s">
        <v>1787</v>
      </c>
      <c r="B1739" s="35">
        <v>45913</v>
      </c>
      <c r="C1739" s="17" t="s">
        <v>25</v>
      </c>
      <c r="D1739" s="17" t="s">
        <v>36</v>
      </c>
      <c r="E1739" s="17" t="s">
        <v>33</v>
      </c>
      <c r="F1739" s="17" t="s">
        <v>34</v>
      </c>
      <c r="G1739" s="17" t="s">
        <v>43</v>
      </c>
      <c r="H1739" s="17" t="s">
        <v>2594</v>
      </c>
      <c r="I1739" s="17" t="s">
        <v>48</v>
      </c>
      <c r="J1739" s="36">
        <v>11904.76</v>
      </c>
      <c r="K1739" s="36">
        <v>8604.56</v>
      </c>
      <c r="L1739" s="36">
        <f t="shared" si="135"/>
        <v>-3300.2000000000007</v>
      </c>
      <c r="M1739" s="37">
        <f t="shared" si="136"/>
        <v>-0.27721684435469518</v>
      </c>
      <c r="N1739" s="17" t="str">
        <f t="shared" si="137"/>
        <v>Under Budget</v>
      </c>
      <c r="O1739" s="38">
        <f t="shared" si="138"/>
        <v>8604.56</v>
      </c>
      <c r="P1739" s="39">
        <f t="shared" si="139"/>
        <v>45901</v>
      </c>
    </row>
    <row r="1740" spans="1:16" ht="15.5" x14ac:dyDescent="0.35">
      <c r="A1740" s="17" t="s">
        <v>1788</v>
      </c>
      <c r="B1740" s="35">
        <v>46175</v>
      </c>
      <c r="C1740" s="17" t="s">
        <v>12</v>
      </c>
      <c r="D1740" s="17" t="s">
        <v>2584</v>
      </c>
      <c r="E1740" s="17" t="s">
        <v>20</v>
      </c>
      <c r="F1740" s="17" t="s">
        <v>28</v>
      </c>
      <c r="G1740" s="17" t="s">
        <v>43</v>
      </c>
      <c r="H1740" s="17" t="s">
        <v>2597</v>
      </c>
      <c r="I1740" s="17" t="s">
        <v>23</v>
      </c>
      <c r="J1740" s="36">
        <v>3000</v>
      </c>
      <c r="K1740" s="36">
        <v>848.06</v>
      </c>
      <c r="L1740" s="36">
        <f t="shared" si="135"/>
        <v>-2151.94</v>
      </c>
      <c r="M1740" s="37">
        <f t="shared" si="136"/>
        <v>-0.71731333333333336</v>
      </c>
      <c r="N1740" s="17" t="str">
        <f t="shared" si="137"/>
        <v>Under Budget</v>
      </c>
      <c r="O1740" s="38">
        <f t="shared" si="138"/>
        <v>-848.06</v>
      </c>
      <c r="P1740" s="39">
        <f t="shared" si="139"/>
        <v>46174</v>
      </c>
    </row>
    <row r="1741" spans="1:16" ht="15.5" x14ac:dyDescent="0.35">
      <c r="A1741" s="17" t="s">
        <v>1789</v>
      </c>
      <c r="B1741" s="35">
        <v>45752</v>
      </c>
      <c r="C1741" s="17" t="s">
        <v>25</v>
      </c>
      <c r="D1741" s="17" t="s">
        <v>26</v>
      </c>
      <c r="E1741" s="17" t="s">
        <v>169</v>
      </c>
      <c r="F1741" s="17" t="s">
        <v>34</v>
      </c>
      <c r="G1741" s="17" t="s">
        <v>38</v>
      </c>
      <c r="H1741" s="17" t="s">
        <v>80</v>
      </c>
      <c r="I1741" s="17" t="s">
        <v>30</v>
      </c>
      <c r="J1741" s="36">
        <v>6666.67</v>
      </c>
      <c r="K1741" s="36">
        <v>424.61</v>
      </c>
      <c r="L1741" s="36">
        <f t="shared" si="135"/>
        <v>-6242.06</v>
      </c>
      <c r="M1741" s="37">
        <f t="shared" si="136"/>
        <v>-0.93630853184573415</v>
      </c>
      <c r="N1741" s="17" t="str">
        <f t="shared" si="137"/>
        <v>Under Budget</v>
      </c>
      <c r="O1741" s="38">
        <f t="shared" si="138"/>
        <v>424.61</v>
      </c>
      <c r="P1741" s="39">
        <f t="shared" si="139"/>
        <v>45748</v>
      </c>
    </row>
    <row r="1742" spans="1:16" ht="15.5" x14ac:dyDescent="0.35">
      <c r="A1742" s="17" t="s">
        <v>1790</v>
      </c>
      <c r="B1742" s="35">
        <v>45993</v>
      </c>
      <c r="C1742" s="17" t="s">
        <v>12</v>
      </c>
      <c r="D1742" s="17" t="s">
        <v>19</v>
      </c>
      <c r="E1742" s="17" t="s">
        <v>20</v>
      </c>
      <c r="F1742" s="17" t="s">
        <v>34</v>
      </c>
      <c r="G1742" s="17" t="s">
        <v>38</v>
      </c>
      <c r="H1742" s="17" t="s">
        <v>2586</v>
      </c>
      <c r="I1742" s="17" t="s">
        <v>48</v>
      </c>
      <c r="J1742" s="36">
        <v>2100</v>
      </c>
      <c r="K1742" s="36">
        <v>1217.92</v>
      </c>
      <c r="L1742" s="36">
        <f t="shared" si="135"/>
        <v>-882.07999999999993</v>
      </c>
      <c r="M1742" s="37">
        <f t="shared" si="136"/>
        <v>-0.42003809523809521</v>
      </c>
      <c r="N1742" s="17" t="str">
        <f t="shared" si="137"/>
        <v>Under Budget</v>
      </c>
      <c r="O1742" s="38">
        <f t="shared" si="138"/>
        <v>-1217.92</v>
      </c>
      <c r="P1742" s="39">
        <f t="shared" si="139"/>
        <v>45992</v>
      </c>
    </row>
    <row r="1743" spans="1:16" ht="15.5" x14ac:dyDescent="0.35">
      <c r="A1743" s="17" t="s">
        <v>1791</v>
      </c>
      <c r="B1743" s="35">
        <v>45762</v>
      </c>
      <c r="C1743" s="17" t="s">
        <v>12</v>
      </c>
      <c r="D1743" s="17" t="s">
        <v>2585</v>
      </c>
      <c r="E1743" s="17" t="s">
        <v>14</v>
      </c>
      <c r="F1743" s="17" t="s">
        <v>34</v>
      </c>
      <c r="G1743" s="17" t="s">
        <v>16</v>
      </c>
      <c r="H1743" s="17" t="s">
        <v>2591</v>
      </c>
      <c r="I1743" s="17" t="s">
        <v>48</v>
      </c>
      <c r="J1743" s="36">
        <v>5333.33</v>
      </c>
      <c r="K1743" s="36">
        <v>4138.97</v>
      </c>
      <c r="L1743" s="36">
        <f t="shared" si="135"/>
        <v>-1194.3599999999997</v>
      </c>
      <c r="M1743" s="37">
        <f t="shared" si="136"/>
        <v>-0.22394263996414993</v>
      </c>
      <c r="N1743" s="17" t="str">
        <f t="shared" si="137"/>
        <v>Under Budget</v>
      </c>
      <c r="O1743" s="38">
        <f t="shared" si="138"/>
        <v>-4138.97</v>
      </c>
      <c r="P1743" s="39">
        <f t="shared" si="139"/>
        <v>45748</v>
      </c>
    </row>
    <row r="1744" spans="1:16" ht="15.5" x14ac:dyDescent="0.35">
      <c r="A1744" s="17" t="s">
        <v>1792</v>
      </c>
      <c r="B1744" s="35">
        <v>45921</v>
      </c>
      <c r="C1744" s="17" t="s">
        <v>25</v>
      </c>
      <c r="D1744" s="17" t="s">
        <v>19</v>
      </c>
      <c r="E1744" s="17" t="s">
        <v>109</v>
      </c>
      <c r="F1744" s="17" t="s">
        <v>28</v>
      </c>
      <c r="G1744" s="17" t="s">
        <v>43</v>
      </c>
      <c r="H1744" s="17" t="s">
        <v>2596</v>
      </c>
      <c r="I1744" s="17" t="s">
        <v>23</v>
      </c>
      <c r="J1744" s="36">
        <v>7142.86</v>
      </c>
      <c r="K1744" s="36">
        <v>13958.79</v>
      </c>
      <c r="L1744" s="36">
        <f t="shared" si="135"/>
        <v>6815.9300000000012</v>
      </c>
      <c r="M1744" s="37">
        <f t="shared" si="136"/>
        <v>0.95422981830807285</v>
      </c>
      <c r="N1744" s="17" t="str">
        <f t="shared" si="137"/>
        <v>Over Budget</v>
      </c>
      <c r="O1744" s="38">
        <f t="shared" si="138"/>
        <v>13958.79</v>
      </c>
      <c r="P1744" s="39">
        <f t="shared" si="139"/>
        <v>45901</v>
      </c>
    </row>
    <row r="1745" spans="1:16" ht="15.5" x14ac:dyDescent="0.35">
      <c r="A1745" s="17" t="s">
        <v>1793</v>
      </c>
      <c r="B1745" s="35">
        <v>45666</v>
      </c>
      <c r="C1745" s="17" t="s">
        <v>12</v>
      </c>
      <c r="D1745" s="17" t="s">
        <v>32</v>
      </c>
      <c r="E1745" s="17" t="s">
        <v>51</v>
      </c>
      <c r="F1745" s="17" t="s">
        <v>28</v>
      </c>
      <c r="G1745" s="17" t="s">
        <v>82</v>
      </c>
      <c r="H1745" s="17" t="s">
        <v>2597</v>
      </c>
      <c r="I1745" s="17" t="s">
        <v>17</v>
      </c>
      <c r="J1745" s="36">
        <v>3637.5</v>
      </c>
      <c r="K1745" s="36">
        <v>7608.46</v>
      </c>
      <c r="L1745" s="36">
        <f t="shared" si="135"/>
        <v>3970.96</v>
      </c>
      <c r="M1745" s="37">
        <f t="shared" si="136"/>
        <v>1.0916728522336769</v>
      </c>
      <c r="N1745" s="17" t="str">
        <f t="shared" si="137"/>
        <v>Over Budget</v>
      </c>
      <c r="O1745" s="38">
        <f t="shared" si="138"/>
        <v>-7608.46</v>
      </c>
      <c r="P1745" s="39">
        <f t="shared" si="139"/>
        <v>45658</v>
      </c>
    </row>
    <row r="1746" spans="1:16" ht="15.5" x14ac:dyDescent="0.35">
      <c r="A1746" s="17" t="s">
        <v>1794</v>
      </c>
      <c r="B1746" s="35">
        <v>46185</v>
      </c>
      <c r="C1746" s="17" t="s">
        <v>12</v>
      </c>
      <c r="D1746" s="17" t="s">
        <v>2585</v>
      </c>
      <c r="E1746" s="17" t="s">
        <v>74</v>
      </c>
      <c r="F1746" s="17" t="s">
        <v>28</v>
      </c>
      <c r="G1746" s="17" t="s">
        <v>16</v>
      </c>
      <c r="H1746" s="17" t="s">
        <v>80</v>
      </c>
      <c r="I1746" s="17" t="s">
        <v>23</v>
      </c>
      <c r="J1746" s="36">
        <v>3076.92</v>
      </c>
      <c r="K1746" s="36">
        <v>1479.46</v>
      </c>
      <c r="L1746" s="36">
        <f t="shared" si="135"/>
        <v>-1597.46</v>
      </c>
      <c r="M1746" s="37">
        <f t="shared" si="136"/>
        <v>-0.51917501917501918</v>
      </c>
      <c r="N1746" s="17" t="str">
        <f t="shared" si="137"/>
        <v>Under Budget</v>
      </c>
      <c r="O1746" s="38">
        <f t="shared" si="138"/>
        <v>-1479.46</v>
      </c>
      <c r="P1746" s="39">
        <f t="shared" si="139"/>
        <v>46174</v>
      </c>
    </row>
    <row r="1747" spans="1:16" ht="15.5" x14ac:dyDescent="0.35">
      <c r="A1747" s="17" t="s">
        <v>1795</v>
      </c>
      <c r="B1747" s="35">
        <v>45835</v>
      </c>
      <c r="C1747" s="17" t="s">
        <v>25</v>
      </c>
      <c r="D1747" s="17" t="s">
        <v>36</v>
      </c>
      <c r="E1747" s="17" t="s">
        <v>27</v>
      </c>
      <c r="F1747" s="17" t="s">
        <v>15</v>
      </c>
      <c r="G1747" s="17" t="s">
        <v>22</v>
      </c>
      <c r="H1747" s="17" t="s">
        <v>80</v>
      </c>
      <c r="I1747" s="17" t="s">
        <v>39</v>
      </c>
      <c r="J1747" s="36">
        <v>5333.33</v>
      </c>
      <c r="K1747" s="36">
        <v>6740.9</v>
      </c>
      <c r="L1747" s="36">
        <f t="shared" si="135"/>
        <v>1407.5699999999997</v>
      </c>
      <c r="M1747" s="37">
        <f t="shared" si="136"/>
        <v>0.2639195399497124</v>
      </c>
      <c r="N1747" s="17" t="str">
        <f t="shared" si="137"/>
        <v>Over Budget</v>
      </c>
      <c r="O1747" s="38">
        <f t="shared" si="138"/>
        <v>6740.9</v>
      </c>
      <c r="P1747" s="39">
        <f t="shared" si="139"/>
        <v>45809</v>
      </c>
    </row>
    <row r="1748" spans="1:16" ht="15.5" x14ac:dyDescent="0.35">
      <c r="A1748" s="17" t="s">
        <v>1796</v>
      </c>
      <c r="B1748" s="35">
        <v>45696</v>
      </c>
      <c r="C1748" s="17" t="s">
        <v>12</v>
      </c>
      <c r="D1748" s="17" t="s">
        <v>26</v>
      </c>
      <c r="E1748" s="17" t="s">
        <v>51</v>
      </c>
      <c r="F1748" s="17" t="s">
        <v>28</v>
      </c>
      <c r="G1748" s="17" t="s">
        <v>38</v>
      </c>
      <c r="H1748" s="17" t="s">
        <v>2598</v>
      </c>
      <c r="I1748" s="17" t="s">
        <v>30</v>
      </c>
      <c r="J1748" s="36">
        <v>7275</v>
      </c>
      <c r="K1748" s="36">
        <v>681.06</v>
      </c>
      <c r="L1748" s="36">
        <f t="shared" si="135"/>
        <v>-6593.9400000000005</v>
      </c>
      <c r="M1748" s="37">
        <f t="shared" si="136"/>
        <v>-0.90638350515463928</v>
      </c>
      <c r="N1748" s="17" t="str">
        <f t="shared" si="137"/>
        <v>Under Budget</v>
      </c>
      <c r="O1748" s="38">
        <f t="shared" si="138"/>
        <v>-681.06</v>
      </c>
      <c r="P1748" s="39">
        <f t="shared" si="139"/>
        <v>45689</v>
      </c>
    </row>
    <row r="1749" spans="1:16" ht="15.5" x14ac:dyDescent="0.35">
      <c r="A1749" s="17" t="s">
        <v>1797</v>
      </c>
      <c r="B1749" s="35">
        <v>45744</v>
      </c>
      <c r="C1749" s="17" t="s">
        <v>12</v>
      </c>
      <c r="D1749" s="17" t="s">
        <v>19</v>
      </c>
      <c r="E1749" s="17" t="s">
        <v>74</v>
      </c>
      <c r="F1749" s="17" t="s">
        <v>52</v>
      </c>
      <c r="G1749" s="17" t="s">
        <v>16</v>
      </c>
      <c r="H1749" s="17" t="s">
        <v>2598</v>
      </c>
      <c r="I1749" s="17" t="s">
        <v>39</v>
      </c>
      <c r="J1749" s="36">
        <v>8000</v>
      </c>
      <c r="K1749" s="36">
        <v>3657.74</v>
      </c>
      <c r="L1749" s="36">
        <f t="shared" si="135"/>
        <v>-4342.26</v>
      </c>
      <c r="M1749" s="37">
        <f t="shared" si="136"/>
        <v>-0.54278250000000006</v>
      </c>
      <c r="N1749" s="17" t="str">
        <f t="shared" si="137"/>
        <v>Under Budget</v>
      </c>
      <c r="O1749" s="38">
        <f t="shared" si="138"/>
        <v>-3657.74</v>
      </c>
      <c r="P1749" s="39">
        <f t="shared" si="139"/>
        <v>45717</v>
      </c>
    </row>
    <row r="1750" spans="1:16" ht="15.5" x14ac:dyDescent="0.35">
      <c r="A1750" s="17" t="s">
        <v>1798</v>
      </c>
      <c r="B1750" s="35">
        <v>45803</v>
      </c>
      <c r="C1750" s="17" t="s">
        <v>12</v>
      </c>
      <c r="D1750" s="17" t="s">
        <v>19</v>
      </c>
      <c r="E1750" s="17" t="s">
        <v>45</v>
      </c>
      <c r="F1750" s="17" t="s">
        <v>52</v>
      </c>
      <c r="G1750" s="17" t="s">
        <v>43</v>
      </c>
      <c r="H1750" s="17" t="s">
        <v>60</v>
      </c>
      <c r="I1750" s="17" t="s">
        <v>23</v>
      </c>
      <c r="J1750" s="36">
        <v>7200</v>
      </c>
      <c r="K1750" s="36">
        <v>15218.13</v>
      </c>
      <c r="L1750" s="36">
        <f t="shared" si="135"/>
        <v>8018.1299999999992</v>
      </c>
      <c r="M1750" s="37">
        <f t="shared" si="136"/>
        <v>1.1136291666666664</v>
      </c>
      <c r="N1750" s="17" t="str">
        <f t="shared" si="137"/>
        <v>Over Budget</v>
      </c>
      <c r="O1750" s="38">
        <f t="shared" si="138"/>
        <v>-15218.13</v>
      </c>
      <c r="P1750" s="39">
        <f t="shared" si="139"/>
        <v>45778</v>
      </c>
    </row>
    <row r="1751" spans="1:16" ht="15.5" x14ac:dyDescent="0.35">
      <c r="A1751" s="17" t="s">
        <v>1799</v>
      </c>
      <c r="B1751" s="35">
        <v>45670</v>
      </c>
      <c r="C1751" s="17" t="s">
        <v>12</v>
      </c>
      <c r="D1751" s="17" t="s">
        <v>26</v>
      </c>
      <c r="E1751" s="17" t="s">
        <v>20</v>
      </c>
      <c r="F1751" s="17" t="s">
        <v>28</v>
      </c>
      <c r="G1751" s="17" t="s">
        <v>38</v>
      </c>
      <c r="H1751" s="17" t="s">
        <v>2588</v>
      </c>
      <c r="I1751" s="17" t="s">
        <v>48</v>
      </c>
      <c r="J1751" s="36">
        <v>1746</v>
      </c>
      <c r="K1751" s="36">
        <v>530.98</v>
      </c>
      <c r="L1751" s="36">
        <f t="shared" si="135"/>
        <v>-1215.02</v>
      </c>
      <c r="M1751" s="37">
        <f t="shared" si="136"/>
        <v>-0.69588774341351656</v>
      </c>
      <c r="N1751" s="17" t="str">
        <f t="shared" si="137"/>
        <v>Under Budget</v>
      </c>
      <c r="O1751" s="38">
        <f t="shared" si="138"/>
        <v>-530.98</v>
      </c>
      <c r="P1751" s="39">
        <f t="shared" si="139"/>
        <v>45658</v>
      </c>
    </row>
    <row r="1752" spans="1:16" ht="15.5" x14ac:dyDescent="0.35">
      <c r="A1752" s="17" t="s">
        <v>1800</v>
      </c>
      <c r="B1752" s="35">
        <v>45805</v>
      </c>
      <c r="C1752" s="17" t="s">
        <v>12</v>
      </c>
      <c r="D1752" s="17" t="s">
        <v>26</v>
      </c>
      <c r="E1752" s="17" t="s">
        <v>41</v>
      </c>
      <c r="F1752" s="17" t="s">
        <v>21</v>
      </c>
      <c r="G1752" s="17" t="s">
        <v>82</v>
      </c>
      <c r="H1752" s="17" t="s">
        <v>2588</v>
      </c>
      <c r="I1752" s="17" t="s">
        <v>30</v>
      </c>
      <c r="J1752" s="36">
        <v>4642.8599999999997</v>
      </c>
      <c r="K1752" s="36">
        <v>2872.3</v>
      </c>
      <c r="L1752" s="36">
        <f t="shared" si="135"/>
        <v>-1770.5599999999995</v>
      </c>
      <c r="M1752" s="37">
        <f t="shared" si="136"/>
        <v>-0.38135114993775382</v>
      </c>
      <c r="N1752" s="17" t="str">
        <f t="shared" si="137"/>
        <v>Under Budget</v>
      </c>
      <c r="O1752" s="38">
        <f t="shared" si="138"/>
        <v>-2872.3</v>
      </c>
      <c r="P1752" s="39">
        <f t="shared" si="139"/>
        <v>45778</v>
      </c>
    </row>
    <row r="1753" spans="1:16" ht="15.5" x14ac:dyDescent="0.35">
      <c r="A1753" s="17" t="s">
        <v>1801</v>
      </c>
      <c r="B1753" s="35">
        <v>46161</v>
      </c>
      <c r="C1753" s="17" t="s">
        <v>12</v>
      </c>
      <c r="D1753" s="17" t="s">
        <v>2584</v>
      </c>
      <c r="E1753" s="17" t="s">
        <v>14</v>
      </c>
      <c r="F1753" s="17" t="s">
        <v>15</v>
      </c>
      <c r="G1753" s="17" t="s">
        <v>16</v>
      </c>
      <c r="H1753" s="17" t="s">
        <v>60</v>
      </c>
      <c r="I1753" s="17" t="s">
        <v>48</v>
      </c>
      <c r="J1753" s="36">
        <v>8000</v>
      </c>
      <c r="K1753" s="36">
        <v>5543.25</v>
      </c>
      <c r="L1753" s="36">
        <f t="shared" si="135"/>
        <v>-2456.75</v>
      </c>
      <c r="M1753" s="37">
        <f t="shared" si="136"/>
        <v>-0.30709375</v>
      </c>
      <c r="N1753" s="17" t="str">
        <f t="shared" si="137"/>
        <v>Under Budget</v>
      </c>
      <c r="O1753" s="38">
        <f t="shared" si="138"/>
        <v>-5543.25</v>
      </c>
      <c r="P1753" s="39">
        <f t="shared" si="139"/>
        <v>46143</v>
      </c>
    </row>
    <row r="1754" spans="1:16" ht="15.5" x14ac:dyDescent="0.35">
      <c r="A1754" s="17" t="s">
        <v>1802</v>
      </c>
      <c r="B1754" s="35">
        <v>46156</v>
      </c>
      <c r="C1754" s="17" t="s">
        <v>25</v>
      </c>
      <c r="D1754" s="17" t="s">
        <v>13</v>
      </c>
      <c r="E1754" s="17" t="s">
        <v>33</v>
      </c>
      <c r="F1754" s="17" t="s">
        <v>52</v>
      </c>
      <c r="G1754" s="17" t="s">
        <v>43</v>
      </c>
      <c r="H1754" s="17" t="s">
        <v>2594</v>
      </c>
      <c r="I1754" s="17" t="s">
        <v>48</v>
      </c>
      <c r="J1754" s="36">
        <v>10869.57</v>
      </c>
      <c r="K1754" s="36">
        <v>17656.91</v>
      </c>
      <c r="L1754" s="36">
        <f t="shared" si="135"/>
        <v>6787.34</v>
      </c>
      <c r="M1754" s="37">
        <f t="shared" si="136"/>
        <v>0.62443500524859774</v>
      </c>
      <c r="N1754" s="17" t="str">
        <f t="shared" si="137"/>
        <v>Over Budget</v>
      </c>
      <c r="O1754" s="38">
        <f t="shared" si="138"/>
        <v>17656.91</v>
      </c>
      <c r="P1754" s="39">
        <f t="shared" si="139"/>
        <v>46143</v>
      </c>
    </row>
    <row r="1755" spans="1:16" ht="15.5" x14ac:dyDescent="0.35">
      <c r="A1755" s="17" t="s">
        <v>1803</v>
      </c>
      <c r="B1755" s="35">
        <v>45838</v>
      </c>
      <c r="C1755" s="17" t="s">
        <v>12</v>
      </c>
      <c r="D1755" s="17" t="s">
        <v>13</v>
      </c>
      <c r="E1755" s="17" t="s">
        <v>47</v>
      </c>
      <c r="F1755" s="17" t="s">
        <v>21</v>
      </c>
      <c r="G1755" s="17" t="s">
        <v>38</v>
      </c>
      <c r="H1755" s="17" t="s">
        <v>2588</v>
      </c>
      <c r="I1755" s="17" t="s">
        <v>39</v>
      </c>
      <c r="J1755" s="36">
        <v>4375</v>
      </c>
      <c r="K1755" s="36">
        <v>3682.54</v>
      </c>
      <c r="L1755" s="36">
        <f t="shared" si="135"/>
        <v>-692.46</v>
      </c>
      <c r="M1755" s="37">
        <f t="shared" si="136"/>
        <v>-0.15827657142857143</v>
      </c>
      <c r="N1755" s="17" t="str">
        <f t="shared" si="137"/>
        <v>Under Budget</v>
      </c>
      <c r="O1755" s="38">
        <f t="shared" si="138"/>
        <v>-3682.54</v>
      </c>
      <c r="P1755" s="39">
        <f t="shared" si="139"/>
        <v>45809</v>
      </c>
    </row>
    <row r="1756" spans="1:16" ht="15.5" x14ac:dyDescent="0.35">
      <c r="A1756" s="17" t="s">
        <v>1804</v>
      </c>
      <c r="B1756" s="35">
        <v>45789</v>
      </c>
      <c r="C1756" s="17" t="s">
        <v>12</v>
      </c>
      <c r="D1756" s="17" t="s">
        <v>13</v>
      </c>
      <c r="E1756" s="17" t="s">
        <v>47</v>
      </c>
      <c r="F1756" s="17" t="s">
        <v>28</v>
      </c>
      <c r="G1756" s="17" t="s">
        <v>82</v>
      </c>
      <c r="H1756" s="17" t="s">
        <v>2598</v>
      </c>
      <c r="I1756" s="17" t="s">
        <v>48</v>
      </c>
      <c r="J1756" s="36">
        <v>3888.89</v>
      </c>
      <c r="K1756" s="36">
        <v>4568.78</v>
      </c>
      <c r="L1756" s="36">
        <f t="shared" si="135"/>
        <v>679.88999999999987</v>
      </c>
      <c r="M1756" s="37">
        <f t="shared" si="136"/>
        <v>0.17482880719176935</v>
      </c>
      <c r="N1756" s="17" t="str">
        <f t="shared" si="137"/>
        <v>Over Budget</v>
      </c>
      <c r="O1756" s="38">
        <f t="shared" si="138"/>
        <v>-4568.78</v>
      </c>
      <c r="P1756" s="39">
        <f t="shared" si="139"/>
        <v>45778</v>
      </c>
    </row>
    <row r="1757" spans="1:16" ht="15.5" x14ac:dyDescent="0.35">
      <c r="A1757" s="17" t="s">
        <v>1805</v>
      </c>
      <c r="B1757" s="35">
        <v>45718</v>
      </c>
      <c r="C1757" s="17" t="s">
        <v>12</v>
      </c>
      <c r="D1757" s="17" t="s">
        <v>19</v>
      </c>
      <c r="E1757" s="17" t="s">
        <v>41</v>
      </c>
      <c r="F1757" s="17" t="s">
        <v>52</v>
      </c>
      <c r="G1757" s="17" t="s">
        <v>29</v>
      </c>
      <c r="H1757" s="17" t="s">
        <v>2588</v>
      </c>
      <c r="I1757" s="17" t="s">
        <v>30</v>
      </c>
      <c r="J1757" s="36">
        <v>5000</v>
      </c>
      <c r="K1757" s="36">
        <v>10241.370000000001</v>
      </c>
      <c r="L1757" s="36">
        <f t="shared" si="135"/>
        <v>5241.3700000000008</v>
      </c>
      <c r="M1757" s="37">
        <f t="shared" si="136"/>
        <v>1.0482740000000002</v>
      </c>
      <c r="N1757" s="17" t="str">
        <f t="shared" si="137"/>
        <v>Over Budget</v>
      </c>
      <c r="O1757" s="38">
        <f t="shared" si="138"/>
        <v>-10241.370000000001</v>
      </c>
      <c r="P1757" s="39">
        <f t="shared" si="139"/>
        <v>45717</v>
      </c>
    </row>
    <row r="1758" spans="1:16" ht="15.5" x14ac:dyDescent="0.35">
      <c r="A1758" s="17" t="s">
        <v>1806</v>
      </c>
      <c r="B1758" s="35">
        <v>46088</v>
      </c>
      <c r="C1758" s="17" t="s">
        <v>25</v>
      </c>
      <c r="D1758" s="17" t="s">
        <v>13</v>
      </c>
      <c r="E1758" s="17" t="s">
        <v>33</v>
      </c>
      <c r="F1758" s="17" t="s">
        <v>21</v>
      </c>
      <c r="G1758" s="17" t="s">
        <v>38</v>
      </c>
      <c r="H1758" s="17" t="s">
        <v>2590</v>
      </c>
      <c r="I1758" s="17" t="s">
        <v>23</v>
      </c>
      <c r="J1758" s="36">
        <v>11363.64</v>
      </c>
      <c r="K1758" s="36">
        <v>23791.41</v>
      </c>
      <c r="L1758" s="36">
        <f t="shared" si="135"/>
        <v>12427.77</v>
      </c>
      <c r="M1758" s="37">
        <f t="shared" si="136"/>
        <v>1.0936434100341088</v>
      </c>
      <c r="N1758" s="17" t="str">
        <f t="shared" si="137"/>
        <v>Over Budget</v>
      </c>
      <c r="O1758" s="38">
        <f t="shared" si="138"/>
        <v>23791.41</v>
      </c>
      <c r="P1758" s="39">
        <f t="shared" si="139"/>
        <v>46082</v>
      </c>
    </row>
    <row r="1759" spans="1:16" ht="15.5" x14ac:dyDescent="0.35">
      <c r="A1759" s="17" t="s">
        <v>1807</v>
      </c>
      <c r="B1759" s="35">
        <v>46199</v>
      </c>
      <c r="C1759" s="17" t="s">
        <v>12</v>
      </c>
      <c r="D1759" s="17" t="s">
        <v>36</v>
      </c>
      <c r="E1759" s="17" t="s">
        <v>45</v>
      </c>
      <c r="F1759" s="17" t="s">
        <v>52</v>
      </c>
      <c r="G1759" s="17" t="s">
        <v>16</v>
      </c>
      <c r="H1759" s="17" t="s">
        <v>2595</v>
      </c>
      <c r="I1759" s="17" t="s">
        <v>48</v>
      </c>
      <c r="J1759" s="36">
        <v>8571.43</v>
      </c>
      <c r="K1759" s="36">
        <v>3432.23</v>
      </c>
      <c r="L1759" s="36">
        <f t="shared" si="135"/>
        <v>-5139.2000000000007</v>
      </c>
      <c r="M1759" s="37">
        <f t="shared" si="136"/>
        <v>-0.59957323340446111</v>
      </c>
      <c r="N1759" s="17" t="str">
        <f t="shared" si="137"/>
        <v>Under Budget</v>
      </c>
      <c r="O1759" s="38">
        <f t="shared" si="138"/>
        <v>-3432.23</v>
      </c>
      <c r="P1759" s="39">
        <f t="shared" si="139"/>
        <v>46174</v>
      </c>
    </row>
    <row r="1760" spans="1:16" ht="15.5" x14ac:dyDescent="0.35">
      <c r="A1760" s="17" t="s">
        <v>1808</v>
      </c>
      <c r="B1760" s="35">
        <v>45965</v>
      </c>
      <c r="C1760" s="17" t="s">
        <v>12</v>
      </c>
      <c r="D1760" s="17" t="s">
        <v>19</v>
      </c>
      <c r="E1760" s="17" t="s">
        <v>74</v>
      </c>
      <c r="F1760" s="17" t="s">
        <v>21</v>
      </c>
      <c r="G1760" s="17" t="s">
        <v>43</v>
      </c>
      <c r="H1760" s="17" t="s">
        <v>2590</v>
      </c>
      <c r="I1760" s="17" t="s">
        <v>39</v>
      </c>
      <c r="J1760" s="36">
        <v>4666.67</v>
      </c>
      <c r="K1760" s="36">
        <v>3927.42</v>
      </c>
      <c r="L1760" s="36">
        <f t="shared" si="135"/>
        <v>-739.25</v>
      </c>
      <c r="M1760" s="37">
        <f t="shared" si="136"/>
        <v>-0.15841060113528491</v>
      </c>
      <c r="N1760" s="17" t="str">
        <f t="shared" si="137"/>
        <v>Under Budget</v>
      </c>
      <c r="O1760" s="38">
        <f t="shared" si="138"/>
        <v>-3927.42</v>
      </c>
      <c r="P1760" s="39">
        <f t="shared" si="139"/>
        <v>45962</v>
      </c>
    </row>
    <row r="1761" spans="1:16" ht="15.5" x14ac:dyDescent="0.35">
      <c r="A1761" s="17" t="s">
        <v>1809</v>
      </c>
      <c r="B1761" s="35">
        <v>46069</v>
      </c>
      <c r="C1761" s="17" t="s">
        <v>12</v>
      </c>
      <c r="D1761" s="17" t="s">
        <v>26</v>
      </c>
      <c r="E1761" s="17" t="s">
        <v>37</v>
      </c>
      <c r="F1761" s="17" t="s">
        <v>28</v>
      </c>
      <c r="G1761" s="17" t="s">
        <v>22</v>
      </c>
      <c r="H1761" s="17" t="s">
        <v>2595</v>
      </c>
      <c r="I1761" s="17" t="s">
        <v>39</v>
      </c>
      <c r="J1761" s="36">
        <v>3880</v>
      </c>
      <c r="K1761" s="36">
        <v>1006.03</v>
      </c>
      <c r="L1761" s="36">
        <f t="shared" si="135"/>
        <v>-2873.9700000000003</v>
      </c>
      <c r="M1761" s="37">
        <f t="shared" si="136"/>
        <v>-0.74071391752577331</v>
      </c>
      <c r="N1761" s="17" t="str">
        <f t="shared" si="137"/>
        <v>Under Budget</v>
      </c>
      <c r="O1761" s="38">
        <f t="shared" si="138"/>
        <v>-1006.03</v>
      </c>
      <c r="P1761" s="39">
        <f t="shared" si="139"/>
        <v>46054</v>
      </c>
    </row>
    <row r="1762" spans="1:16" ht="15.5" x14ac:dyDescent="0.35">
      <c r="A1762" s="17" t="s">
        <v>1810</v>
      </c>
      <c r="B1762" s="35">
        <v>45970</v>
      </c>
      <c r="C1762" s="17" t="s">
        <v>25</v>
      </c>
      <c r="D1762" s="17" t="s">
        <v>32</v>
      </c>
      <c r="E1762" s="17" t="s">
        <v>33</v>
      </c>
      <c r="F1762" s="17" t="s">
        <v>28</v>
      </c>
      <c r="G1762" s="17" t="s">
        <v>38</v>
      </c>
      <c r="H1762" s="17" t="s">
        <v>2595</v>
      </c>
      <c r="I1762" s="17" t="s">
        <v>23</v>
      </c>
      <c r="J1762" s="36">
        <v>13125</v>
      </c>
      <c r="K1762" s="36">
        <v>17790.38</v>
      </c>
      <c r="L1762" s="36">
        <f t="shared" si="135"/>
        <v>4665.380000000001</v>
      </c>
      <c r="M1762" s="37">
        <f t="shared" si="136"/>
        <v>0.35545752380952389</v>
      </c>
      <c r="N1762" s="17" t="str">
        <f t="shared" si="137"/>
        <v>Over Budget</v>
      </c>
      <c r="O1762" s="38">
        <f t="shared" si="138"/>
        <v>17790.38</v>
      </c>
      <c r="P1762" s="39">
        <f t="shared" si="139"/>
        <v>45962</v>
      </c>
    </row>
    <row r="1763" spans="1:16" ht="15.5" x14ac:dyDescent="0.35">
      <c r="A1763" s="17" t="s">
        <v>1811</v>
      </c>
      <c r="B1763" s="35">
        <v>45846</v>
      </c>
      <c r="C1763" s="17" t="s">
        <v>25</v>
      </c>
      <c r="D1763" s="17" t="s">
        <v>36</v>
      </c>
      <c r="E1763" s="17" t="s">
        <v>109</v>
      </c>
      <c r="F1763" s="17" t="s">
        <v>34</v>
      </c>
      <c r="G1763" s="17" t="s">
        <v>38</v>
      </c>
      <c r="H1763" s="17" t="s">
        <v>2595</v>
      </c>
      <c r="I1763" s="17" t="s">
        <v>48</v>
      </c>
      <c r="J1763" s="36">
        <v>7142.86</v>
      </c>
      <c r="K1763" s="36">
        <v>16835.16</v>
      </c>
      <c r="L1763" s="36">
        <f t="shared" si="135"/>
        <v>9692.2999999999993</v>
      </c>
      <c r="M1763" s="37">
        <f t="shared" si="136"/>
        <v>1.356921457231417</v>
      </c>
      <c r="N1763" s="17" t="str">
        <f t="shared" si="137"/>
        <v>Over Budget</v>
      </c>
      <c r="O1763" s="38">
        <f t="shared" si="138"/>
        <v>16835.16</v>
      </c>
      <c r="P1763" s="39">
        <f t="shared" si="139"/>
        <v>45839</v>
      </c>
    </row>
    <row r="1764" spans="1:16" ht="15.5" x14ac:dyDescent="0.35">
      <c r="A1764" s="17" t="s">
        <v>1812</v>
      </c>
      <c r="B1764" s="35">
        <v>45816</v>
      </c>
      <c r="C1764" s="17" t="s">
        <v>25</v>
      </c>
      <c r="D1764" s="17" t="s">
        <v>36</v>
      </c>
      <c r="E1764" s="17" t="s">
        <v>27</v>
      </c>
      <c r="F1764" s="17" t="s">
        <v>52</v>
      </c>
      <c r="G1764" s="17" t="s">
        <v>82</v>
      </c>
      <c r="H1764" s="17" t="s">
        <v>2586</v>
      </c>
      <c r="I1764" s="17" t="s">
        <v>30</v>
      </c>
      <c r="J1764" s="36">
        <v>5333.33</v>
      </c>
      <c r="K1764" s="36">
        <v>830.34</v>
      </c>
      <c r="L1764" s="36">
        <f t="shared" si="135"/>
        <v>-4502.99</v>
      </c>
      <c r="M1764" s="37">
        <f t="shared" si="136"/>
        <v>-0.84431115269447043</v>
      </c>
      <c r="N1764" s="17" t="str">
        <f t="shared" si="137"/>
        <v>Under Budget</v>
      </c>
      <c r="O1764" s="38">
        <f t="shared" si="138"/>
        <v>830.34</v>
      </c>
      <c r="P1764" s="39">
        <f t="shared" si="139"/>
        <v>45809</v>
      </c>
    </row>
    <row r="1765" spans="1:16" ht="15.5" x14ac:dyDescent="0.35">
      <c r="A1765" s="17" t="s">
        <v>1813</v>
      </c>
      <c r="B1765" s="35">
        <v>45933</v>
      </c>
      <c r="C1765" s="17" t="s">
        <v>25</v>
      </c>
      <c r="D1765" s="17" t="s">
        <v>32</v>
      </c>
      <c r="E1765" s="17" t="s">
        <v>27</v>
      </c>
      <c r="F1765" s="17" t="s">
        <v>34</v>
      </c>
      <c r="G1765" s="17" t="s">
        <v>29</v>
      </c>
      <c r="H1765" s="17" t="s">
        <v>2596</v>
      </c>
      <c r="I1765" s="17" t="s">
        <v>48</v>
      </c>
      <c r="J1765" s="36">
        <v>4705.88</v>
      </c>
      <c r="K1765" s="36">
        <v>3137.73</v>
      </c>
      <c r="L1765" s="36">
        <f t="shared" si="135"/>
        <v>-1568.15</v>
      </c>
      <c r="M1765" s="37">
        <f t="shared" si="136"/>
        <v>-0.33323204161602082</v>
      </c>
      <c r="N1765" s="17" t="str">
        <f t="shared" si="137"/>
        <v>Under Budget</v>
      </c>
      <c r="O1765" s="38">
        <f t="shared" si="138"/>
        <v>3137.73</v>
      </c>
      <c r="P1765" s="39">
        <f t="shared" si="139"/>
        <v>45931</v>
      </c>
    </row>
    <row r="1766" spans="1:16" ht="15.5" x14ac:dyDescent="0.35">
      <c r="A1766" s="17" t="s">
        <v>1814</v>
      </c>
      <c r="B1766" s="35">
        <v>45933</v>
      </c>
      <c r="C1766" s="17" t="s">
        <v>25</v>
      </c>
      <c r="D1766" s="17" t="s">
        <v>32</v>
      </c>
      <c r="E1766" s="17" t="s">
        <v>33</v>
      </c>
      <c r="F1766" s="17" t="s">
        <v>52</v>
      </c>
      <c r="G1766" s="17" t="s">
        <v>43</v>
      </c>
      <c r="H1766" s="17" t="s">
        <v>2595</v>
      </c>
      <c r="I1766" s="17" t="s">
        <v>23</v>
      </c>
      <c r="J1766" s="36">
        <v>8928.57</v>
      </c>
      <c r="K1766" s="36">
        <v>21521.21</v>
      </c>
      <c r="L1766" s="36">
        <f t="shared" si="135"/>
        <v>12592.64</v>
      </c>
      <c r="M1766" s="37">
        <f t="shared" si="136"/>
        <v>1.4103759056601448</v>
      </c>
      <c r="N1766" s="17" t="str">
        <f t="shared" si="137"/>
        <v>Over Budget</v>
      </c>
      <c r="O1766" s="38">
        <f t="shared" si="138"/>
        <v>21521.21</v>
      </c>
      <c r="P1766" s="39">
        <f t="shared" si="139"/>
        <v>45931</v>
      </c>
    </row>
    <row r="1767" spans="1:16" ht="15.5" x14ac:dyDescent="0.35">
      <c r="A1767" s="17" t="s">
        <v>1815</v>
      </c>
      <c r="B1767" s="35">
        <v>46149</v>
      </c>
      <c r="C1767" s="17" t="s">
        <v>25</v>
      </c>
      <c r="D1767" s="17" t="s">
        <v>36</v>
      </c>
      <c r="E1767" s="17" t="s">
        <v>33</v>
      </c>
      <c r="F1767" s="17" t="s">
        <v>15</v>
      </c>
      <c r="G1767" s="17" t="s">
        <v>38</v>
      </c>
      <c r="H1767" s="17" t="s">
        <v>2595</v>
      </c>
      <c r="I1767" s="17" t="s">
        <v>39</v>
      </c>
      <c r="J1767" s="36">
        <v>10869.57</v>
      </c>
      <c r="K1767" s="36">
        <v>16165.98</v>
      </c>
      <c r="L1767" s="36">
        <f t="shared" si="135"/>
        <v>5296.41</v>
      </c>
      <c r="M1767" s="37">
        <f t="shared" si="136"/>
        <v>0.48726950560141752</v>
      </c>
      <c r="N1767" s="17" t="str">
        <f t="shared" si="137"/>
        <v>Over Budget</v>
      </c>
      <c r="O1767" s="38">
        <f t="shared" si="138"/>
        <v>16165.98</v>
      </c>
      <c r="P1767" s="39">
        <f t="shared" si="139"/>
        <v>46143</v>
      </c>
    </row>
    <row r="1768" spans="1:16" ht="15.5" x14ac:dyDescent="0.35">
      <c r="A1768" s="17" t="s">
        <v>1816</v>
      </c>
      <c r="B1768" s="35">
        <v>45842</v>
      </c>
      <c r="C1768" s="17" t="s">
        <v>25</v>
      </c>
      <c r="D1768" s="17" t="s">
        <v>19</v>
      </c>
      <c r="E1768" s="17" t="s">
        <v>27</v>
      </c>
      <c r="F1768" s="17" t="s">
        <v>34</v>
      </c>
      <c r="G1768" s="17" t="s">
        <v>43</v>
      </c>
      <c r="H1768" s="17" t="s">
        <v>80</v>
      </c>
      <c r="I1768" s="17" t="s">
        <v>48</v>
      </c>
      <c r="J1768" s="36">
        <v>13333.33</v>
      </c>
      <c r="K1768" s="36">
        <v>6795.2</v>
      </c>
      <c r="L1768" s="36">
        <f t="shared" si="135"/>
        <v>-6538.13</v>
      </c>
      <c r="M1768" s="37">
        <f t="shared" si="136"/>
        <v>-0.49035987258996816</v>
      </c>
      <c r="N1768" s="17" t="str">
        <f t="shared" si="137"/>
        <v>Under Budget</v>
      </c>
      <c r="O1768" s="38">
        <f t="shared" si="138"/>
        <v>6795.2</v>
      </c>
      <c r="P1768" s="39">
        <f t="shared" si="139"/>
        <v>45839</v>
      </c>
    </row>
    <row r="1769" spans="1:16" ht="15.5" x14ac:dyDescent="0.35">
      <c r="A1769" s="17" t="s">
        <v>1817</v>
      </c>
      <c r="B1769" s="35">
        <v>45907</v>
      </c>
      <c r="C1769" s="17" t="s">
        <v>12</v>
      </c>
      <c r="D1769" s="17" t="s">
        <v>19</v>
      </c>
      <c r="E1769" s="17" t="s">
        <v>65</v>
      </c>
      <c r="F1769" s="17" t="s">
        <v>52</v>
      </c>
      <c r="G1769" s="17" t="s">
        <v>43</v>
      </c>
      <c r="H1769" s="17" t="s">
        <v>2588</v>
      </c>
      <c r="I1769" s="17" t="s">
        <v>30</v>
      </c>
      <c r="J1769" s="36">
        <v>6111.11</v>
      </c>
      <c r="K1769" s="36">
        <v>4704.2299999999996</v>
      </c>
      <c r="L1769" s="36">
        <f t="shared" si="135"/>
        <v>-1406.88</v>
      </c>
      <c r="M1769" s="37">
        <f t="shared" si="136"/>
        <v>-0.23021676913032169</v>
      </c>
      <c r="N1769" s="17" t="str">
        <f t="shared" si="137"/>
        <v>Under Budget</v>
      </c>
      <c r="O1769" s="38">
        <f t="shared" si="138"/>
        <v>-4704.2299999999996</v>
      </c>
      <c r="P1769" s="39">
        <f t="shared" si="139"/>
        <v>45901</v>
      </c>
    </row>
    <row r="1770" spans="1:16" ht="15.5" x14ac:dyDescent="0.35">
      <c r="A1770" s="17" t="s">
        <v>1818</v>
      </c>
      <c r="B1770" s="35">
        <v>45878</v>
      </c>
      <c r="C1770" s="17" t="s">
        <v>12</v>
      </c>
      <c r="D1770" s="17" t="s">
        <v>19</v>
      </c>
      <c r="E1770" s="17" t="s">
        <v>20</v>
      </c>
      <c r="F1770" s="17" t="s">
        <v>21</v>
      </c>
      <c r="G1770" s="17" t="s">
        <v>38</v>
      </c>
      <c r="H1770" s="17" t="s">
        <v>2588</v>
      </c>
      <c r="I1770" s="17" t="s">
        <v>48</v>
      </c>
      <c r="J1770" s="36">
        <v>3000</v>
      </c>
      <c r="K1770" s="36">
        <v>1184.56</v>
      </c>
      <c r="L1770" s="36">
        <f t="shared" si="135"/>
        <v>-1815.44</v>
      </c>
      <c r="M1770" s="37">
        <f t="shared" si="136"/>
        <v>-0.60514666666666672</v>
      </c>
      <c r="N1770" s="17" t="str">
        <f t="shared" si="137"/>
        <v>Under Budget</v>
      </c>
      <c r="O1770" s="38">
        <f t="shared" si="138"/>
        <v>-1184.56</v>
      </c>
      <c r="P1770" s="39">
        <f t="shared" si="139"/>
        <v>45870</v>
      </c>
    </row>
    <row r="1771" spans="1:16" ht="15.5" x14ac:dyDescent="0.35">
      <c r="A1771" s="17" t="s">
        <v>1819</v>
      </c>
      <c r="B1771" s="35">
        <v>45819</v>
      </c>
      <c r="C1771" s="17" t="s">
        <v>25</v>
      </c>
      <c r="D1771" s="17" t="s">
        <v>2585</v>
      </c>
      <c r="E1771" s="17" t="s">
        <v>33</v>
      </c>
      <c r="F1771" s="17" t="s">
        <v>21</v>
      </c>
      <c r="G1771" s="17" t="s">
        <v>43</v>
      </c>
      <c r="H1771" s="17" t="s">
        <v>80</v>
      </c>
      <c r="I1771" s="17" t="s">
        <v>30</v>
      </c>
      <c r="J1771" s="36">
        <v>9615.3799999999992</v>
      </c>
      <c r="K1771" s="36">
        <v>18697.84</v>
      </c>
      <c r="L1771" s="36">
        <f t="shared" si="135"/>
        <v>9082.4600000000009</v>
      </c>
      <c r="M1771" s="37">
        <f t="shared" si="136"/>
        <v>0.94457629339662097</v>
      </c>
      <c r="N1771" s="17" t="str">
        <f t="shared" si="137"/>
        <v>Over Budget</v>
      </c>
      <c r="O1771" s="38">
        <f t="shared" si="138"/>
        <v>18697.84</v>
      </c>
      <c r="P1771" s="39">
        <f t="shared" si="139"/>
        <v>45809</v>
      </c>
    </row>
    <row r="1772" spans="1:16" ht="15.5" x14ac:dyDescent="0.35">
      <c r="A1772" s="17" t="s">
        <v>1820</v>
      </c>
      <c r="B1772" s="35">
        <v>45738</v>
      </c>
      <c r="C1772" s="17" t="s">
        <v>12</v>
      </c>
      <c r="D1772" s="17" t="s">
        <v>13</v>
      </c>
      <c r="E1772" s="17" t="s">
        <v>14</v>
      </c>
      <c r="F1772" s="17" t="s">
        <v>28</v>
      </c>
      <c r="G1772" s="17" t="s">
        <v>22</v>
      </c>
      <c r="H1772" s="17" t="s">
        <v>2595</v>
      </c>
      <c r="I1772" s="17" t="s">
        <v>17</v>
      </c>
      <c r="J1772" s="36">
        <v>4571.43</v>
      </c>
      <c r="K1772" s="36">
        <v>849.09</v>
      </c>
      <c r="L1772" s="36">
        <f t="shared" si="135"/>
        <v>-3722.34</v>
      </c>
      <c r="M1772" s="37">
        <f t="shared" si="136"/>
        <v>-0.81426162054324358</v>
      </c>
      <c r="N1772" s="17" t="str">
        <f t="shared" si="137"/>
        <v>Under Budget</v>
      </c>
      <c r="O1772" s="38">
        <f t="shared" si="138"/>
        <v>-849.09</v>
      </c>
      <c r="P1772" s="39">
        <f t="shared" si="139"/>
        <v>45717</v>
      </c>
    </row>
    <row r="1773" spans="1:16" ht="15.5" x14ac:dyDescent="0.35">
      <c r="A1773" s="17" t="s">
        <v>1821</v>
      </c>
      <c r="B1773" s="35">
        <v>45790</v>
      </c>
      <c r="C1773" s="17" t="s">
        <v>12</v>
      </c>
      <c r="D1773" s="17" t="s">
        <v>26</v>
      </c>
      <c r="E1773" s="17" t="s">
        <v>14</v>
      </c>
      <c r="F1773" s="17" t="s">
        <v>34</v>
      </c>
      <c r="G1773" s="17" t="s">
        <v>38</v>
      </c>
      <c r="H1773" s="17" t="s">
        <v>2588</v>
      </c>
      <c r="I1773" s="17" t="s">
        <v>48</v>
      </c>
      <c r="J1773" s="36">
        <v>2909.09</v>
      </c>
      <c r="K1773" s="36">
        <v>4370.2700000000004</v>
      </c>
      <c r="L1773" s="36">
        <f t="shared" si="135"/>
        <v>1461.1800000000003</v>
      </c>
      <c r="M1773" s="37">
        <f t="shared" si="136"/>
        <v>0.50228078196274439</v>
      </c>
      <c r="N1773" s="17" t="str">
        <f t="shared" si="137"/>
        <v>Over Budget</v>
      </c>
      <c r="O1773" s="38">
        <f t="shared" si="138"/>
        <v>-4370.2700000000004</v>
      </c>
      <c r="P1773" s="39">
        <f t="shared" si="139"/>
        <v>45778</v>
      </c>
    </row>
    <row r="1774" spans="1:16" ht="15.5" x14ac:dyDescent="0.35">
      <c r="A1774" s="17" t="s">
        <v>1822</v>
      </c>
      <c r="B1774" s="35">
        <v>46119</v>
      </c>
      <c r="C1774" s="17" t="s">
        <v>12</v>
      </c>
      <c r="D1774" s="17" t="s">
        <v>36</v>
      </c>
      <c r="E1774" s="17" t="s">
        <v>37</v>
      </c>
      <c r="F1774" s="17" t="s">
        <v>21</v>
      </c>
      <c r="G1774" s="17" t="s">
        <v>22</v>
      </c>
      <c r="H1774" s="17" t="s">
        <v>2588</v>
      </c>
      <c r="I1774" s="17" t="s">
        <v>48</v>
      </c>
      <c r="J1774" s="36">
        <v>5600</v>
      </c>
      <c r="K1774" s="36">
        <v>1746.55</v>
      </c>
      <c r="L1774" s="36">
        <f t="shared" si="135"/>
        <v>-3853.45</v>
      </c>
      <c r="M1774" s="37">
        <f t="shared" si="136"/>
        <v>-0.68811607142857134</v>
      </c>
      <c r="N1774" s="17" t="str">
        <f t="shared" si="137"/>
        <v>Under Budget</v>
      </c>
      <c r="O1774" s="38">
        <f t="shared" si="138"/>
        <v>-1746.55</v>
      </c>
      <c r="P1774" s="39">
        <f t="shared" si="139"/>
        <v>46113</v>
      </c>
    </row>
    <row r="1775" spans="1:16" ht="15.5" x14ac:dyDescent="0.35">
      <c r="A1775" s="17" t="s">
        <v>1823</v>
      </c>
      <c r="B1775" s="35">
        <v>45744</v>
      </c>
      <c r="C1775" s="17" t="s">
        <v>25</v>
      </c>
      <c r="D1775" s="17" t="s">
        <v>32</v>
      </c>
      <c r="E1775" s="17" t="s">
        <v>33</v>
      </c>
      <c r="F1775" s="17" t="s">
        <v>21</v>
      </c>
      <c r="G1775" s="17" t="s">
        <v>38</v>
      </c>
      <c r="H1775" s="17" t="s">
        <v>80</v>
      </c>
      <c r="I1775" s="17" t="s">
        <v>30</v>
      </c>
      <c r="J1775" s="36">
        <v>8064.52</v>
      </c>
      <c r="K1775" s="36">
        <v>18554.259999999998</v>
      </c>
      <c r="L1775" s="36">
        <f t="shared" si="135"/>
        <v>10489.739999999998</v>
      </c>
      <c r="M1775" s="37">
        <f t="shared" si="136"/>
        <v>1.3007271356509746</v>
      </c>
      <c r="N1775" s="17" t="str">
        <f t="shared" si="137"/>
        <v>Over Budget</v>
      </c>
      <c r="O1775" s="38">
        <f t="shared" si="138"/>
        <v>18554.259999999998</v>
      </c>
      <c r="P1775" s="39">
        <f t="shared" si="139"/>
        <v>45717</v>
      </c>
    </row>
    <row r="1776" spans="1:16" ht="15.5" x14ac:dyDescent="0.35">
      <c r="A1776" s="17" t="s">
        <v>1824</v>
      </c>
      <c r="B1776" s="35">
        <v>45843</v>
      </c>
      <c r="C1776" s="17" t="s">
        <v>12</v>
      </c>
      <c r="D1776" s="17" t="s">
        <v>19</v>
      </c>
      <c r="E1776" s="17" t="s">
        <v>14</v>
      </c>
      <c r="F1776" s="17" t="s">
        <v>28</v>
      </c>
      <c r="G1776" s="17" t="s">
        <v>29</v>
      </c>
      <c r="H1776" s="17" t="s">
        <v>2591</v>
      </c>
      <c r="I1776" s="17" t="s">
        <v>39</v>
      </c>
      <c r="J1776" s="36">
        <v>4000</v>
      </c>
      <c r="K1776" s="36">
        <v>1452.89</v>
      </c>
      <c r="L1776" s="36">
        <f t="shared" si="135"/>
        <v>-2547.1099999999997</v>
      </c>
      <c r="M1776" s="37">
        <f t="shared" si="136"/>
        <v>-0.63677749999999989</v>
      </c>
      <c r="N1776" s="17" t="str">
        <f t="shared" si="137"/>
        <v>Under Budget</v>
      </c>
      <c r="O1776" s="38">
        <f t="shared" si="138"/>
        <v>-1452.89</v>
      </c>
      <c r="P1776" s="39">
        <f t="shared" si="139"/>
        <v>45839</v>
      </c>
    </row>
    <row r="1777" spans="1:16" ht="15.5" x14ac:dyDescent="0.35">
      <c r="A1777" s="17" t="s">
        <v>1825</v>
      </c>
      <c r="B1777" s="35">
        <v>45969</v>
      </c>
      <c r="C1777" s="17" t="s">
        <v>12</v>
      </c>
      <c r="D1777" s="17" t="s">
        <v>13</v>
      </c>
      <c r="E1777" s="17" t="s">
        <v>14</v>
      </c>
      <c r="F1777" s="17" t="s">
        <v>52</v>
      </c>
      <c r="G1777" s="17" t="s">
        <v>16</v>
      </c>
      <c r="H1777" s="17" t="s">
        <v>2588</v>
      </c>
      <c r="I1777" s="17" t="s">
        <v>30</v>
      </c>
      <c r="J1777" s="36">
        <v>5600</v>
      </c>
      <c r="K1777" s="36">
        <v>6193.43</v>
      </c>
      <c r="L1777" s="36">
        <f t="shared" si="135"/>
        <v>593.43000000000029</v>
      </c>
      <c r="M1777" s="37">
        <f t="shared" si="136"/>
        <v>0.10596964285714291</v>
      </c>
      <c r="N1777" s="17" t="str">
        <f t="shared" si="137"/>
        <v>Over Budget</v>
      </c>
      <c r="O1777" s="38">
        <f t="shared" si="138"/>
        <v>-6193.43</v>
      </c>
      <c r="P1777" s="39">
        <f t="shared" si="139"/>
        <v>45962</v>
      </c>
    </row>
    <row r="1778" spans="1:16" ht="15.5" x14ac:dyDescent="0.35">
      <c r="A1778" s="17" t="s">
        <v>1826</v>
      </c>
      <c r="B1778" s="35">
        <v>45718</v>
      </c>
      <c r="C1778" s="17" t="s">
        <v>25</v>
      </c>
      <c r="D1778" s="17" t="s">
        <v>36</v>
      </c>
      <c r="E1778" s="17" t="s">
        <v>27</v>
      </c>
      <c r="F1778" s="17" t="s">
        <v>52</v>
      </c>
      <c r="G1778" s="17" t="s">
        <v>38</v>
      </c>
      <c r="H1778" s="17" t="s">
        <v>2597</v>
      </c>
      <c r="I1778" s="17" t="s">
        <v>48</v>
      </c>
      <c r="J1778" s="36">
        <v>11428.57</v>
      </c>
      <c r="K1778" s="36">
        <v>784.29</v>
      </c>
      <c r="L1778" s="36">
        <f t="shared" si="135"/>
        <v>-10644.279999999999</v>
      </c>
      <c r="M1778" s="37">
        <f t="shared" si="136"/>
        <v>-0.93137461642182695</v>
      </c>
      <c r="N1778" s="17" t="str">
        <f t="shared" si="137"/>
        <v>Under Budget</v>
      </c>
      <c r="O1778" s="38">
        <f t="shared" si="138"/>
        <v>784.29</v>
      </c>
      <c r="P1778" s="39">
        <f t="shared" si="139"/>
        <v>45717</v>
      </c>
    </row>
    <row r="1779" spans="1:16" ht="15.5" x14ac:dyDescent="0.35">
      <c r="A1779" s="17" t="s">
        <v>1827</v>
      </c>
      <c r="B1779" s="35">
        <v>45963</v>
      </c>
      <c r="C1779" s="17" t="s">
        <v>12</v>
      </c>
      <c r="D1779" s="17" t="s">
        <v>32</v>
      </c>
      <c r="E1779" s="17" t="s">
        <v>41</v>
      </c>
      <c r="F1779" s="17" t="s">
        <v>28</v>
      </c>
      <c r="G1779" s="17" t="s">
        <v>82</v>
      </c>
      <c r="H1779" s="17" t="s">
        <v>80</v>
      </c>
      <c r="I1779" s="17" t="s">
        <v>30</v>
      </c>
      <c r="J1779" s="36">
        <v>17062.5</v>
      </c>
      <c r="K1779" s="36">
        <v>6561.36</v>
      </c>
      <c r="L1779" s="36">
        <f t="shared" si="135"/>
        <v>-10501.14</v>
      </c>
      <c r="M1779" s="37">
        <f t="shared" si="136"/>
        <v>-0.61545142857142854</v>
      </c>
      <c r="N1779" s="17" t="str">
        <f t="shared" si="137"/>
        <v>Under Budget</v>
      </c>
      <c r="O1779" s="38">
        <f t="shared" si="138"/>
        <v>-6561.36</v>
      </c>
      <c r="P1779" s="39">
        <f t="shared" si="139"/>
        <v>45962</v>
      </c>
    </row>
    <row r="1780" spans="1:16" ht="15.5" x14ac:dyDescent="0.35">
      <c r="A1780" s="17" t="s">
        <v>1828</v>
      </c>
      <c r="B1780" s="35">
        <v>45678</v>
      </c>
      <c r="C1780" s="17" t="s">
        <v>12</v>
      </c>
      <c r="D1780" s="17" t="s">
        <v>26</v>
      </c>
      <c r="E1780" s="17" t="s">
        <v>45</v>
      </c>
      <c r="F1780" s="17" t="s">
        <v>28</v>
      </c>
      <c r="G1780" s="17" t="s">
        <v>29</v>
      </c>
      <c r="H1780" s="17" t="s">
        <v>2590</v>
      </c>
      <c r="I1780" s="17" t="s">
        <v>23</v>
      </c>
      <c r="J1780" s="36">
        <v>7591.3</v>
      </c>
      <c r="K1780" s="36">
        <v>14128.82</v>
      </c>
      <c r="L1780" s="36">
        <f t="shared" si="135"/>
        <v>6537.5199999999995</v>
      </c>
      <c r="M1780" s="37">
        <f t="shared" si="136"/>
        <v>0.86118583114881497</v>
      </c>
      <c r="N1780" s="17" t="str">
        <f t="shared" si="137"/>
        <v>Over Budget</v>
      </c>
      <c r="O1780" s="38">
        <f t="shared" si="138"/>
        <v>-14128.82</v>
      </c>
      <c r="P1780" s="39">
        <f t="shared" si="139"/>
        <v>45658</v>
      </c>
    </row>
    <row r="1781" spans="1:16" ht="15.5" x14ac:dyDescent="0.35">
      <c r="A1781" s="17" t="s">
        <v>1829</v>
      </c>
      <c r="B1781" s="35">
        <v>45870</v>
      </c>
      <c r="C1781" s="17" t="s">
        <v>25</v>
      </c>
      <c r="D1781" s="17" t="s">
        <v>32</v>
      </c>
      <c r="E1781" s="17" t="s">
        <v>33</v>
      </c>
      <c r="F1781" s="17" t="s">
        <v>34</v>
      </c>
      <c r="G1781" s="17" t="s">
        <v>43</v>
      </c>
      <c r="H1781" s="17" t="s">
        <v>2586</v>
      </c>
      <c r="I1781" s="17" t="s">
        <v>23</v>
      </c>
      <c r="J1781" s="36">
        <v>10416.67</v>
      </c>
      <c r="K1781" s="36">
        <v>23645.54</v>
      </c>
      <c r="L1781" s="36">
        <f t="shared" si="135"/>
        <v>13228.87</v>
      </c>
      <c r="M1781" s="37">
        <f t="shared" si="136"/>
        <v>1.2699711136092438</v>
      </c>
      <c r="N1781" s="17" t="str">
        <f t="shared" si="137"/>
        <v>Over Budget</v>
      </c>
      <c r="O1781" s="38">
        <f t="shared" si="138"/>
        <v>23645.54</v>
      </c>
      <c r="P1781" s="39">
        <f t="shared" si="139"/>
        <v>45870</v>
      </c>
    </row>
    <row r="1782" spans="1:16" ht="15.5" x14ac:dyDescent="0.35">
      <c r="A1782" s="17" t="s">
        <v>1830</v>
      </c>
      <c r="B1782" s="35">
        <v>45848</v>
      </c>
      <c r="C1782" s="17" t="s">
        <v>25</v>
      </c>
      <c r="D1782" s="17" t="s">
        <v>32</v>
      </c>
      <c r="E1782" s="17" t="s">
        <v>27</v>
      </c>
      <c r="F1782" s="17" t="s">
        <v>34</v>
      </c>
      <c r="G1782" s="17" t="s">
        <v>22</v>
      </c>
      <c r="H1782" s="17" t="s">
        <v>2597</v>
      </c>
      <c r="I1782" s="17" t="s">
        <v>48</v>
      </c>
      <c r="J1782" s="36">
        <v>13333.33</v>
      </c>
      <c r="K1782" s="36">
        <v>2697.82</v>
      </c>
      <c r="L1782" s="36">
        <f t="shared" si="135"/>
        <v>-10635.51</v>
      </c>
      <c r="M1782" s="37">
        <f t="shared" si="136"/>
        <v>-0.79766344941586242</v>
      </c>
      <c r="N1782" s="17" t="str">
        <f t="shared" si="137"/>
        <v>Under Budget</v>
      </c>
      <c r="O1782" s="38">
        <f t="shared" si="138"/>
        <v>2697.82</v>
      </c>
      <c r="P1782" s="39">
        <f t="shared" si="139"/>
        <v>45839</v>
      </c>
    </row>
    <row r="1783" spans="1:16" ht="15.5" x14ac:dyDescent="0.35">
      <c r="A1783" s="17" t="s">
        <v>1831</v>
      </c>
      <c r="B1783" s="35">
        <v>45813</v>
      </c>
      <c r="C1783" s="17" t="s">
        <v>12</v>
      </c>
      <c r="D1783" s="17" t="s">
        <v>26</v>
      </c>
      <c r="E1783" s="17" t="s">
        <v>41</v>
      </c>
      <c r="F1783" s="17" t="s">
        <v>52</v>
      </c>
      <c r="G1783" s="17" t="s">
        <v>82</v>
      </c>
      <c r="H1783" s="17" t="s">
        <v>2597</v>
      </c>
      <c r="I1783" s="17" t="s">
        <v>30</v>
      </c>
      <c r="J1783" s="36">
        <v>8125</v>
      </c>
      <c r="K1783" s="36">
        <v>9229.4</v>
      </c>
      <c r="L1783" s="36">
        <f t="shared" si="135"/>
        <v>1104.3999999999996</v>
      </c>
      <c r="M1783" s="37">
        <f t="shared" si="136"/>
        <v>0.13592615384615381</v>
      </c>
      <c r="N1783" s="17" t="str">
        <f t="shared" si="137"/>
        <v>Over Budget</v>
      </c>
      <c r="O1783" s="38">
        <f t="shared" si="138"/>
        <v>-9229.4</v>
      </c>
      <c r="P1783" s="39">
        <f t="shared" si="139"/>
        <v>45809</v>
      </c>
    </row>
    <row r="1784" spans="1:16" ht="15.5" x14ac:dyDescent="0.35">
      <c r="A1784" s="17" t="s">
        <v>1832</v>
      </c>
      <c r="B1784" s="35">
        <v>46099</v>
      </c>
      <c r="C1784" s="17" t="s">
        <v>12</v>
      </c>
      <c r="D1784" s="17" t="s">
        <v>19</v>
      </c>
      <c r="E1784" s="17" t="s">
        <v>20</v>
      </c>
      <c r="F1784" s="17" t="s">
        <v>34</v>
      </c>
      <c r="G1784" s="17" t="s">
        <v>38</v>
      </c>
      <c r="H1784" s="17" t="s">
        <v>2597</v>
      </c>
      <c r="I1784" s="17" t="s">
        <v>23</v>
      </c>
      <c r="J1784" s="36">
        <v>2571.4299999999998</v>
      </c>
      <c r="K1784" s="36">
        <v>996.26</v>
      </c>
      <c r="L1784" s="36">
        <f t="shared" si="135"/>
        <v>-1575.1699999999998</v>
      </c>
      <c r="M1784" s="37">
        <f t="shared" si="136"/>
        <v>-0.61256577079679397</v>
      </c>
      <c r="N1784" s="17" t="str">
        <f t="shared" si="137"/>
        <v>Under Budget</v>
      </c>
      <c r="O1784" s="38">
        <f t="shared" si="138"/>
        <v>-996.26</v>
      </c>
      <c r="P1784" s="39">
        <f t="shared" si="139"/>
        <v>46082</v>
      </c>
    </row>
    <row r="1785" spans="1:16" ht="15.5" x14ac:dyDescent="0.35">
      <c r="A1785" s="17" t="s">
        <v>1833</v>
      </c>
      <c r="B1785" s="35">
        <v>45878</v>
      </c>
      <c r="C1785" s="17" t="s">
        <v>12</v>
      </c>
      <c r="D1785" s="17" t="s">
        <v>19</v>
      </c>
      <c r="E1785" s="17" t="s">
        <v>14</v>
      </c>
      <c r="F1785" s="17" t="s">
        <v>34</v>
      </c>
      <c r="G1785" s="17" t="s">
        <v>82</v>
      </c>
      <c r="H1785" s="17" t="s">
        <v>2583</v>
      </c>
      <c r="I1785" s="17" t="s">
        <v>30</v>
      </c>
      <c r="J1785" s="36">
        <v>2285.71</v>
      </c>
      <c r="K1785" s="36">
        <v>4472.59</v>
      </c>
      <c r="L1785" s="36">
        <f t="shared" si="135"/>
        <v>2186.88</v>
      </c>
      <c r="M1785" s="37">
        <f t="shared" si="136"/>
        <v>0.95676179392836369</v>
      </c>
      <c r="N1785" s="17" t="str">
        <f t="shared" si="137"/>
        <v>Over Budget</v>
      </c>
      <c r="O1785" s="38">
        <f t="shared" si="138"/>
        <v>-4472.59</v>
      </c>
      <c r="P1785" s="39">
        <f t="shared" si="139"/>
        <v>45870</v>
      </c>
    </row>
    <row r="1786" spans="1:16" ht="15.5" x14ac:dyDescent="0.35">
      <c r="A1786" s="17" t="s">
        <v>1834</v>
      </c>
      <c r="B1786" s="35">
        <v>45963</v>
      </c>
      <c r="C1786" s="17" t="s">
        <v>12</v>
      </c>
      <c r="D1786" s="17" t="s">
        <v>13</v>
      </c>
      <c r="E1786" s="17" t="s">
        <v>20</v>
      </c>
      <c r="F1786" s="17" t="s">
        <v>52</v>
      </c>
      <c r="G1786" s="17" t="s">
        <v>43</v>
      </c>
      <c r="H1786" s="17" t="s">
        <v>80</v>
      </c>
      <c r="I1786" s="17" t="s">
        <v>48</v>
      </c>
      <c r="J1786" s="36">
        <v>1890</v>
      </c>
      <c r="K1786" s="36">
        <v>1254.1199999999999</v>
      </c>
      <c r="L1786" s="36">
        <f t="shared" si="135"/>
        <v>-635.88000000000011</v>
      </c>
      <c r="M1786" s="37">
        <f t="shared" si="136"/>
        <v>-0.33644444444444449</v>
      </c>
      <c r="N1786" s="17" t="str">
        <f t="shared" si="137"/>
        <v>Under Budget</v>
      </c>
      <c r="O1786" s="38">
        <f t="shared" si="138"/>
        <v>-1254.1199999999999</v>
      </c>
      <c r="P1786" s="39">
        <f t="shared" si="139"/>
        <v>45962</v>
      </c>
    </row>
    <row r="1787" spans="1:16" ht="15.5" x14ac:dyDescent="0.35">
      <c r="A1787" s="17" t="s">
        <v>1835</v>
      </c>
      <c r="B1787" s="35">
        <v>46177</v>
      </c>
      <c r="C1787" s="17" t="s">
        <v>25</v>
      </c>
      <c r="D1787" s="17" t="s">
        <v>26</v>
      </c>
      <c r="E1787" s="17" t="s">
        <v>27</v>
      </c>
      <c r="F1787" s="17" t="s">
        <v>52</v>
      </c>
      <c r="G1787" s="17" t="s">
        <v>22</v>
      </c>
      <c r="H1787" s="17" t="s">
        <v>2590</v>
      </c>
      <c r="I1787" s="17" t="s">
        <v>23</v>
      </c>
      <c r="J1787" s="36">
        <v>7272.73</v>
      </c>
      <c r="K1787" s="36">
        <v>4305.09</v>
      </c>
      <c r="L1787" s="36">
        <f t="shared" si="135"/>
        <v>-2967.6399999999994</v>
      </c>
      <c r="M1787" s="37">
        <f t="shared" si="136"/>
        <v>-0.4080503469811198</v>
      </c>
      <c r="N1787" s="17" t="str">
        <f t="shared" si="137"/>
        <v>Under Budget</v>
      </c>
      <c r="O1787" s="38">
        <f t="shared" si="138"/>
        <v>4305.09</v>
      </c>
      <c r="P1787" s="39">
        <f t="shared" si="139"/>
        <v>46174</v>
      </c>
    </row>
    <row r="1788" spans="1:16" ht="15.5" x14ac:dyDescent="0.35">
      <c r="A1788" s="17" t="s">
        <v>1836</v>
      </c>
      <c r="B1788" s="35">
        <v>45908</v>
      </c>
      <c r="C1788" s="17" t="s">
        <v>12</v>
      </c>
      <c r="D1788" s="17" t="s">
        <v>2584</v>
      </c>
      <c r="E1788" s="17" t="s">
        <v>14</v>
      </c>
      <c r="F1788" s="17" t="s">
        <v>15</v>
      </c>
      <c r="G1788" s="17" t="s">
        <v>22</v>
      </c>
      <c r="H1788" s="17" t="s">
        <v>2594</v>
      </c>
      <c r="I1788" s="17" t="s">
        <v>30</v>
      </c>
      <c r="J1788" s="36">
        <v>5333.33</v>
      </c>
      <c r="K1788" s="36">
        <v>0</v>
      </c>
      <c r="L1788" s="36">
        <f t="shared" si="135"/>
        <v>-5333.33</v>
      </c>
      <c r="M1788" s="37">
        <f t="shared" si="136"/>
        <v>-1</v>
      </c>
      <c r="N1788" s="17" t="str">
        <f t="shared" si="137"/>
        <v>Under Budget</v>
      </c>
      <c r="O1788" s="38">
        <f t="shared" si="138"/>
        <v>0</v>
      </c>
      <c r="P1788" s="39">
        <f t="shared" si="139"/>
        <v>45901</v>
      </c>
    </row>
    <row r="1789" spans="1:16" ht="15.5" x14ac:dyDescent="0.35">
      <c r="A1789" s="17" t="s">
        <v>1837</v>
      </c>
      <c r="B1789" s="35">
        <v>45915</v>
      </c>
      <c r="C1789" s="17" t="s">
        <v>12</v>
      </c>
      <c r="D1789" s="17" t="s">
        <v>2585</v>
      </c>
      <c r="E1789" s="17" t="s">
        <v>45</v>
      </c>
      <c r="F1789" s="17" t="s">
        <v>34</v>
      </c>
      <c r="G1789" s="17" t="s">
        <v>43</v>
      </c>
      <c r="H1789" s="17" t="s">
        <v>2593</v>
      </c>
      <c r="I1789" s="17" t="s">
        <v>23</v>
      </c>
      <c r="J1789" s="36">
        <v>7500</v>
      </c>
      <c r="K1789" s="36">
        <v>17265.25</v>
      </c>
      <c r="L1789" s="36">
        <f t="shared" si="135"/>
        <v>9765.25</v>
      </c>
      <c r="M1789" s="37">
        <f t="shared" si="136"/>
        <v>1.3020333333333334</v>
      </c>
      <c r="N1789" s="17" t="str">
        <f t="shared" si="137"/>
        <v>Over Budget</v>
      </c>
      <c r="O1789" s="38">
        <f t="shared" si="138"/>
        <v>-17265.25</v>
      </c>
      <c r="P1789" s="39">
        <f t="shared" si="139"/>
        <v>45901</v>
      </c>
    </row>
    <row r="1790" spans="1:16" ht="15.5" x14ac:dyDescent="0.35">
      <c r="A1790" s="17" t="s">
        <v>1838</v>
      </c>
      <c r="B1790" s="35">
        <v>45860</v>
      </c>
      <c r="C1790" s="17" t="s">
        <v>12</v>
      </c>
      <c r="D1790" s="17" t="s">
        <v>19</v>
      </c>
      <c r="E1790" s="17" t="s">
        <v>65</v>
      </c>
      <c r="F1790" s="17" t="s">
        <v>28</v>
      </c>
      <c r="G1790" s="17" t="s">
        <v>38</v>
      </c>
      <c r="H1790" s="17" t="s">
        <v>80</v>
      </c>
      <c r="I1790" s="17" t="s">
        <v>23</v>
      </c>
      <c r="J1790" s="36">
        <v>0</v>
      </c>
      <c r="K1790" s="36">
        <v>3981.18</v>
      </c>
      <c r="L1790" s="36">
        <f t="shared" si="135"/>
        <v>3981.18</v>
      </c>
      <c r="M1790" s="37">
        <f t="shared" si="136"/>
        <v>0</v>
      </c>
      <c r="N1790" s="17" t="str">
        <f t="shared" si="137"/>
        <v>No Budget</v>
      </c>
      <c r="O1790" s="38">
        <f t="shared" si="138"/>
        <v>-3981.18</v>
      </c>
      <c r="P1790" s="39">
        <f t="shared" si="139"/>
        <v>45839</v>
      </c>
    </row>
    <row r="1791" spans="1:16" ht="15.5" x14ac:dyDescent="0.35">
      <c r="A1791" s="17" t="s">
        <v>1839</v>
      </c>
      <c r="B1791" s="35">
        <v>45789</v>
      </c>
      <c r="C1791" s="17" t="s">
        <v>12</v>
      </c>
      <c r="D1791" s="17" t="s">
        <v>36</v>
      </c>
      <c r="E1791" s="17" t="s">
        <v>74</v>
      </c>
      <c r="F1791" s="17" t="s">
        <v>21</v>
      </c>
      <c r="G1791" s="17" t="s">
        <v>43</v>
      </c>
      <c r="H1791" s="17" t="s">
        <v>2596</v>
      </c>
      <c r="I1791" s="17" t="s">
        <v>48</v>
      </c>
      <c r="J1791" s="36">
        <v>5000</v>
      </c>
      <c r="K1791" s="36">
        <v>3753.27</v>
      </c>
      <c r="L1791" s="36">
        <f t="shared" si="135"/>
        <v>-1246.73</v>
      </c>
      <c r="M1791" s="37">
        <f t="shared" si="136"/>
        <v>-0.24934600000000001</v>
      </c>
      <c r="N1791" s="17" t="str">
        <f t="shared" si="137"/>
        <v>Under Budget</v>
      </c>
      <c r="O1791" s="38">
        <f t="shared" si="138"/>
        <v>-3753.27</v>
      </c>
      <c r="P1791" s="39">
        <f t="shared" si="139"/>
        <v>45778</v>
      </c>
    </row>
    <row r="1792" spans="1:16" ht="15.5" x14ac:dyDescent="0.35">
      <c r="A1792" s="17" t="s">
        <v>1840</v>
      </c>
      <c r="B1792" s="35">
        <v>45759</v>
      </c>
      <c r="C1792" s="17" t="s">
        <v>12</v>
      </c>
      <c r="D1792" s="17" t="s">
        <v>26</v>
      </c>
      <c r="E1792" s="17" t="s">
        <v>14</v>
      </c>
      <c r="F1792" s="17" t="s">
        <v>34</v>
      </c>
      <c r="G1792" s="17" t="s">
        <v>38</v>
      </c>
      <c r="H1792" s="17" t="s">
        <v>2588</v>
      </c>
      <c r="I1792" s="17" t="s">
        <v>23</v>
      </c>
      <c r="J1792" s="36">
        <v>5333.33</v>
      </c>
      <c r="K1792" s="36">
        <v>3298.63</v>
      </c>
      <c r="L1792" s="36">
        <f t="shared" si="135"/>
        <v>-2034.6999999999998</v>
      </c>
      <c r="M1792" s="37">
        <f t="shared" si="136"/>
        <v>-0.38150648844155527</v>
      </c>
      <c r="N1792" s="17" t="str">
        <f t="shared" si="137"/>
        <v>Under Budget</v>
      </c>
      <c r="O1792" s="38">
        <f t="shared" si="138"/>
        <v>-3298.63</v>
      </c>
      <c r="P1792" s="39">
        <f t="shared" si="139"/>
        <v>45748</v>
      </c>
    </row>
    <row r="1793" spans="1:16" ht="15.5" x14ac:dyDescent="0.35">
      <c r="A1793" s="17" t="s">
        <v>1841</v>
      </c>
      <c r="B1793" s="35">
        <v>46083</v>
      </c>
      <c r="C1793" s="17" t="s">
        <v>25</v>
      </c>
      <c r="D1793" s="17" t="s">
        <v>26</v>
      </c>
      <c r="E1793" s="17" t="s">
        <v>33</v>
      </c>
      <c r="F1793" s="17" t="s">
        <v>52</v>
      </c>
      <c r="G1793" s="17" t="s">
        <v>38</v>
      </c>
      <c r="H1793" s="17" t="s">
        <v>60</v>
      </c>
      <c r="I1793" s="17" t="s">
        <v>23</v>
      </c>
      <c r="J1793" s="36">
        <v>11363.64</v>
      </c>
      <c r="K1793" s="36">
        <v>2303.2600000000002</v>
      </c>
      <c r="L1793" s="36">
        <f t="shared" si="135"/>
        <v>-9060.3799999999992</v>
      </c>
      <c r="M1793" s="37">
        <f t="shared" si="136"/>
        <v>-0.79731318485978087</v>
      </c>
      <c r="N1793" s="17" t="str">
        <f t="shared" si="137"/>
        <v>Under Budget</v>
      </c>
      <c r="O1793" s="38">
        <f t="shared" si="138"/>
        <v>2303.2600000000002</v>
      </c>
      <c r="P1793" s="39">
        <f t="shared" si="139"/>
        <v>46082</v>
      </c>
    </row>
    <row r="1794" spans="1:16" ht="15.5" x14ac:dyDescent="0.35">
      <c r="A1794" s="17" t="s">
        <v>1842</v>
      </c>
      <c r="B1794" s="35">
        <v>45883</v>
      </c>
      <c r="C1794" s="17" t="s">
        <v>12</v>
      </c>
      <c r="D1794" s="17" t="s">
        <v>2584</v>
      </c>
      <c r="E1794" s="17" t="s">
        <v>65</v>
      </c>
      <c r="F1794" s="17" t="s">
        <v>28</v>
      </c>
      <c r="G1794" s="17" t="s">
        <v>22</v>
      </c>
      <c r="H1794" s="17" t="s">
        <v>2590</v>
      </c>
      <c r="I1794" s="17" t="s">
        <v>48</v>
      </c>
      <c r="J1794" s="36">
        <v>3928.57</v>
      </c>
      <c r="K1794" s="36">
        <v>5522.18</v>
      </c>
      <c r="L1794" s="36">
        <f t="shared" si="135"/>
        <v>1593.6100000000001</v>
      </c>
      <c r="M1794" s="37">
        <f t="shared" si="136"/>
        <v>0.40564632932593797</v>
      </c>
      <c r="N1794" s="17" t="str">
        <f t="shared" si="137"/>
        <v>Over Budget</v>
      </c>
      <c r="O1794" s="38">
        <f t="shared" si="138"/>
        <v>-5522.18</v>
      </c>
      <c r="P1794" s="39">
        <f t="shared" si="139"/>
        <v>45870</v>
      </c>
    </row>
    <row r="1795" spans="1:16" ht="15.5" x14ac:dyDescent="0.35">
      <c r="A1795" s="17" t="s">
        <v>1843</v>
      </c>
      <c r="B1795" s="35">
        <v>45891</v>
      </c>
      <c r="C1795" s="17" t="s">
        <v>12</v>
      </c>
      <c r="D1795" s="17" t="s">
        <v>19</v>
      </c>
      <c r="E1795" s="17" t="s">
        <v>45</v>
      </c>
      <c r="F1795" s="17" t="s">
        <v>15</v>
      </c>
      <c r="G1795" s="17" t="s">
        <v>38</v>
      </c>
      <c r="H1795" s="17" t="s">
        <v>2594</v>
      </c>
      <c r="I1795" s="17" t="s">
        <v>17</v>
      </c>
      <c r="J1795" s="36">
        <v>8181.82</v>
      </c>
      <c r="K1795" s="36">
        <v>17610.36</v>
      </c>
      <c r="L1795" s="36">
        <f t="shared" ref="L1795:L1858" si="140">K1795-J1795</f>
        <v>9428.5400000000009</v>
      </c>
      <c r="M1795" s="37">
        <f t="shared" ref="M1795:M1858" si="141">IF(J1795=0,0,L1795/J1795)</f>
        <v>1.1523768550273656</v>
      </c>
      <c r="N1795" s="17" t="str">
        <f t="shared" ref="N1795:N1858" si="142">IF(J1795=0,"No Budget",IF(K1795&gt;J1795,"Over Budget",IF(K1795&lt;J1795,"Under Budget","On Budget")))</f>
        <v>Over Budget</v>
      </c>
      <c r="O1795" s="38">
        <f t="shared" ref="O1795:O1858" si="143">IF(C1795="Revenue",K1795,-K1795)</f>
        <v>-17610.36</v>
      </c>
      <c r="P1795" s="39">
        <f t="shared" ref="P1795:P1858" si="144">DATE(YEAR(B1795),MONTH(B1795),1)</f>
        <v>45870</v>
      </c>
    </row>
    <row r="1796" spans="1:16" ht="15.5" x14ac:dyDescent="0.35">
      <c r="A1796" s="17" t="s">
        <v>1844</v>
      </c>
      <c r="B1796" s="35">
        <v>45981</v>
      </c>
      <c r="C1796" s="17" t="s">
        <v>25</v>
      </c>
      <c r="D1796" s="17" t="s">
        <v>2585</v>
      </c>
      <c r="E1796" s="17" t="s">
        <v>169</v>
      </c>
      <c r="F1796" s="17" t="s">
        <v>15</v>
      </c>
      <c r="G1796" s="17" t="s">
        <v>38</v>
      </c>
      <c r="H1796" s="17" t="s">
        <v>2588</v>
      </c>
      <c r="I1796" s="17" t="s">
        <v>48</v>
      </c>
      <c r="J1796" s="36">
        <v>10500</v>
      </c>
      <c r="K1796" s="36">
        <v>811.95</v>
      </c>
      <c r="L1796" s="36">
        <f t="shared" si="140"/>
        <v>-9688.0499999999993</v>
      </c>
      <c r="M1796" s="37">
        <f t="shared" si="141"/>
        <v>-0.92267142857142848</v>
      </c>
      <c r="N1796" s="17" t="str">
        <f t="shared" si="142"/>
        <v>Under Budget</v>
      </c>
      <c r="O1796" s="38">
        <f t="shared" si="143"/>
        <v>811.95</v>
      </c>
      <c r="P1796" s="39">
        <f t="shared" si="144"/>
        <v>45962</v>
      </c>
    </row>
    <row r="1797" spans="1:16" ht="15.5" x14ac:dyDescent="0.35">
      <c r="A1797" s="17" t="s">
        <v>1845</v>
      </c>
      <c r="B1797" s="35">
        <v>46001</v>
      </c>
      <c r="C1797" s="17" t="s">
        <v>25</v>
      </c>
      <c r="D1797" s="17" t="s">
        <v>36</v>
      </c>
      <c r="E1797" s="17" t="s">
        <v>169</v>
      </c>
      <c r="F1797" s="17" t="s">
        <v>21</v>
      </c>
      <c r="G1797" s="17" t="s">
        <v>82</v>
      </c>
      <c r="H1797" s="17" t="s">
        <v>2593</v>
      </c>
      <c r="I1797" s="17" t="s">
        <v>30</v>
      </c>
      <c r="J1797" s="36">
        <v>3500</v>
      </c>
      <c r="K1797" s="36">
        <v>1369.96</v>
      </c>
      <c r="L1797" s="36">
        <f t="shared" si="140"/>
        <v>-2130.04</v>
      </c>
      <c r="M1797" s="37">
        <f t="shared" si="141"/>
        <v>-0.60858285714285709</v>
      </c>
      <c r="N1797" s="17" t="str">
        <f t="shared" si="142"/>
        <v>Under Budget</v>
      </c>
      <c r="O1797" s="38">
        <f t="shared" si="143"/>
        <v>1369.96</v>
      </c>
      <c r="P1797" s="39">
        <f t="shared" si="144"/>
        <v>45992</v>
      </c>
    </row>
    <row r="1798" spans="1:16" ht="15.5" x14ac:dyDescent="0.35">
      <c r="A1798" s="17" t="s">
        <v>1846</v>
      </c>
      <c r="B1798" s="35">
        <v>46183</v>
      </c>
      <c r="C1798" s="17" t="s">
        <v>12</v>
      </c>
      <c r="D1798" s="17" t="s">
        <v>26</v>
      </c>
      <c r="E1798" s="17" t="s">
        <v>77</v>
      </c>
      <c r="F1798" s="17" t="s">
        <v>52</v>
      </c>
      <c r="G1798" s="17" t="s">
        <v>38</v>
      </c>
      <c r="H1798" s="17" t="s">
        <v>80</v>
      </c>
      <c r="I1798" s="17" t="s">
        <v>48</v>
      </c>
      <c r="J1798" s="36">
        <v>3142.86</v>
      </c>
      <c r="K1798" s="36">
        <v>3717.16</v>
      </c>
      <c r="L1798" s="36">
        <f t="shared" si="140"/>
        <v>574.29999999999973</v>
      </c>
      <c r="M1798" s="37">
        <f t="shared" si="141"/>
        <v>0.1827316520621344</v>
      </c>
      <c r="N1798" s="17" t="str">
        <f t="shared" si="142"/>
        <v>Over Budget</v>
      </c>
      <c r="O1798" s="38">
        <f t="shared" si="143"/>
        <v>-3717.16</v>
      </c>
      <c r="P1798" s="39">
        <f t="shared" si="144"/>
        <v>46174</v>
      </c>
    </row>
    <row r="1799" spans="1:16" ht="15.5" x14ac:dyDescent="0.35">
      <c r="A1799" s="17" t="s">
        <v>1847</v>
      </c>
      <c r="B1799" s="35">
        <v>46109</v>
      </c>
      <c r="C1799" s="17" t="s">
        <v>12</v>
      </c>
      <c r="D1799" s="17" t="s">
        <v>2584</v>
      </c>
      <c r="E1799" s="17" t="s">
        <v>14</v>
      </c>
      <c r="F1799" s="17" t="s">
        <v>28</v>
      </c>
      <c r="G1799" s="17" t="s">
        <v>43</v>
      </c>
      <c r="H1799" s="17" t="s">
        <v>2589</v>
      </c>
      <c r="I1799" s="17" t="s">
        <v>23</v>
      </c>
      <c r="J1799" s="36">
        <v>4000</v>
      </c>
      <c r="K1799" s="36">
        <v>3944.01</v>
      </c>
      <c r="L1799" s="36">
        <f t="shared" si="140"/>
        <v>-55.989999999999782</v>
      </c>
      <c r="M1799" s="37">
        <f t="shared" si="141"/>
        <v>-1.3997499999999946E-2</v>
      </c>
      <c r="N1799" s="17" t="str">
        <f t="shared" si="142"/>
        <v>Under Budget</v>
      </c>
      <c r="O1799" s="38">
        <f t="shared" si="143"/>
        <v>-3944.01</v>
      </c>
      <c r="P1799" s="39">
        <f t="shared" si="144"/>
        <v>46082</v>
      </c>
    </row>
    <row r="1800" spans="1:16" ht="15.5" x14ac:dyDescent="0.35">
      <c r="A1800" s="17" t="s">
        <v>1848</v>
      </c>
      <c r="B1800" s="35">
        <v>46188</v>
      </c>
      <c r="C1800" s="17" t="s">
        <v>12</v>
      </c>
      <c r="D1800" s="17" t="s">
        <v>2584</v>
      </c>
      <c r="E1800" s="17" t="s">
        <v>47</v>
      </c>
      <c r="F1800" s="17" t="s">
        <v>52</v>
      </c>
      <c r="G1800" s="17" t="s">
        <v>43</v>
      </c>
      <c r="H1800" s="17" t="s">
        <v>2597</v>
      </c>
      <c r="I1800" s="17" t="s">
        <v>48</v>
      </c>
      <c r="J1800" s="36">
        <v>5000</v>
      </c>
      <c r="K1800" s="36">
        <v>1736.56</v>
      </c>
      <c r="L1800" s="36">
        <f t="shared" si="140"/>
        <v>-3263.44</v>
      </c>
      <c r="M1800" s="37">
        <f t="shared" si="141"/>
        <v>-0.65268800000000005</v>
      </c>
      <c r="N1800" s="17" t="str">
        <f t="shared" si="142"/>
        <v>Under Budget</v>
      </c>
      <c r="O1800" s="38">
        <f t="shared" si="143"/>
        <v>-1736.56</v>
      </c>
      <c r="P1800" s="39">
        <f t="shared" si="144"/>
        <v>46174</v>
      </c>
    </row>
    <row r="1801" spans="1:16" ht="15.5" x14ac:dyDescent="0.35">
      <c r="A1801" s="17" t="s">
        <v>1849</v>
      </c>
      <c r="B1801" s="35">
        <v>46035</v>
      </c>
      <c r="C1801" s="17" t="s">
        <v>12</v>
      </c>
      <c r="D1801" s="17" t="s">
        <v>26</v>
      </c>
      <c r="E1801" s="17" t="s">
        <v>41</v>
      </c>
      <c r="F1801" s="17" t="s">
        <v>52</v>
      </c>
      <c r="G1801" s="17" t="s">
        <v>38</v>
      </c>
      <c r="H1801" s="17" t="s">
        <v>2590</v>
      </c>
      <c r="I1801" s="17" t="s">
        <v>17</v>
      </c>
      <c r="J1801" s="36">
        <v>6305</v>
      </c>
      <c r="K1801" s="36">
        <v>8743.08</v>
      </c>
      <c r="L1801" s="36">
        <f t="shared" si="140"/>
        <v>2438.08</v>
      </c>
      <c r="M1801" s="37">
        <f t="shared" si="141"/>
        <v>0.38668992862807294</v>
      </c>
      <c r="N1801" s="17" t="str">
        <f t="shared" si="142"/>
        <v>Over Budget</v>
      </c>
      <c r="O1801" s="38">
        <f t="shared" si="143"/>
        <v>-8743.08</v>
      </c>
      <c r="P1801" s="39">
        <f t="shared" si="144"/>
        <v>46023</v>
      </c>
    </row>
    <row r="1802" spans="1:16" ht="15.5" x14ac:dyDescent="0.35">
      <c r="A1802" s="17" t="s">
        <v>1850</v>
      </c>
      <c r="B1802" s="35">
        <v>45801</v>
      </c>
      <c r="C1802" s="17" t="s">
        <v>25</v>
      </c>
      <c r="D1802" s="17" t="s">
        <v>2585</v>
      </c>
      <c r="E1802" s="17" t="s">
        <v>27</v>
      </c>
      <c r="F1802" s="17" t="s">
        <v>15</v>
      </c>
      <c r="G1802" s="17" t="s">
        <v>38</v>
      </c>
      <c r="H1802" s="17" t="s">
        <v>2587</v>
      </c>
      <c r="I1802" s="17" t="s">
        <v>39</v>
      </c>
      <c r="J1802" s="36">
        <v>10000</v>
      </c>
      <c r="K1802" s="36">
        <v>7442.73</v>
      </c>
      <c r="L1802" s="36">
        <f t="shared" si="140"/>
        <v>-2557.2700000000004</v>
      </c>
      <c r="M1802" s="37">
        <f t="shared" si="141"/>
        <v>-0.25572700000000004</v>
      </c>
      <c r="N1802" s="17" t="str">
        <f t="shared" si="142"/>
        <v>Under Budget</v>
      </c>
      <c r="O1802" s="38">
        <f t="shared" si="143"/>
        <v>7442.73</v>
      </c>
      <c r="P1802" s="39">
        <f t="shared" si="144"/>
        <v>45778</v>
      </c>
    </row>
    <row r="1803" spans="1:16" ht="15.5" x14ac:dyDescent="0.35">
      <c r="A1803" s="17" t="s">
        <v>1851</v>
      </c>
      <c r="B1803" s="35">
        <v>46023</v>
      </c>
      <c r="C1803" s="17" t="s">
        <v>12</v>
      </c>
      <c r="D1803" s="17" t="s">
        <v>32</v>
      </c>
      <c r="E1803" s="17" t="s">
        <v>65</v>
      </c>
      <c r="F1803" s="17" t="s">
        <v>21</v>
      </c>
      <c r="G1803" s="17" t="s">
        <v>38</v>
      </c>
      <c r="H1803" s="17" t="s">
        <v>2594</v>
      </c>
      <c r="I1803" s="17" t="s">
        <v>39</v>
      </c>
      <c r="J1803" s="36">
        <v>7621.43</v>
      </c>
      <c r="K1803" s="36">
        <v>1117.26</v>
      </c>
      <c r="L1803" s="36">
        <f t="shared" si="140"/>
        <v>-6504.17</v>
      </c>
      <c r="M1803" s="37">
        <f t="shared" si="141"/>
        <v>-0.85340546327920086</v>
      </c>
      <c r="N1803" s="17" t="str">
        <f t="shared" si="142"/>
        <v>Under Budget</v>
      </c>
      <c r="O1803" s="38">
        <f t="shared" si="143"/>
        <v>-1117.26</v>
      </c>
      <c r="P1803" s="39">
        <f t="shared" si="144"/>
        <v>46023</v>
      </c>
    </row>
    <row r="1804" spans="1:16" ht="15.5" x14ac:dyDescent="0.35">
      <c r="A1804" s="17" t="s">
        <v>1852</v>
      </c>
      <c r="B1804" s="35">
        <v>46091</v>
      </c>
      <c r="C1804" s="17" t="s">
        <v>12</v>
      </c>
      <c r="D1804" s="17" t="s">
        <v>26</v>
      </c>
      <c r="E1804" s="17" t="s">
        <v>20</v>
      </c>
      <c r="F1804" s="17" t="s">
        <v>34</v>
      </c>
      <c r="G1804" s="17" t="s">
        <v>38</v>
      </c>
      <c r="H1804" s="17" t="s">
        <v>2596</v>
      </c>
      <c r="I1804" s="17" t="s">
        <v>30</v>
      </c>
      <c r="J1804" s="36">
        <v>2571.4299999999998</v>
      </c>
      <c r="K1804" s="36">
        <v>1664.44</v>
      </c>
      <c r="L1804" s="36">
        <f t="shared" si="140"/>
        <v>-906.98999999999978</v>
      </c>
      <c r="M1804" s="37">
        <f t="shared" si="141"/>
        <v>-0.35271813737881252</v>
      </c>
      <c r="N1804" s="17" t="str">
        <f t="shared" si="142"/>
        <v>Under Budget</v>
      </c>
      <c r="O1804" s="38">
        <f t="shared" si="143"/>
        <v>-1664.44</v>
      </c>
      <c r="P1804" s="39">
        <f t="shared" si="144"/>
        <v>46082</v>
      </c>
    </row>
    <row r="1805" spans="1:16" ht="15.5" x14ac:dyDescent="0.35">
      <c r="A1805" s="17" t="s">
        <v>1853</v>
      </c>
      <c r="B1805" s="35">
        <v>46198</v>
      </c>
      <c r="C1805" s="17" t="s">
        <v>12</v>
      </c>
      <c r="D1805" s="17" t="s">
        <v>36</v>
      </c>
      <c r="E1805" s="17" t="s">
        <v>45</v>
      </c>
      <c r="F1805" s="17" t="s">
        <v>34</v>
      </c>
      <c r="G1805" s="17" t="s">
        <v>38</v>
      </c>
      <c r="H1805" s="17" t="s">
        <v>2598</v>
      </c>
      <c r="I1805" s="17" t="s">
        <v>39</v>
      </c>
      <c r="J1805" s="36">
        <v>8571.43</v>
      </c>
      <c r="K1805" s="36">
        <v>7655.86</v>
      </c>
      <c r="L1805" s="36">
        <f t="shared" si="140"/>
        <v>-915.57000000000062</v>
      </c>
      <c r="M1805" s="37">
        <f t="shared" si="141"/>
        <v>-0.10681648219725304</v>
      </c>
      <c r="N1805" s="17" t="str">
        <f t="shared" si="142"/>
        <v>Under Budget</v>
      </c>
      <c r="O1805" s="38">
        <f t="shared" si="143"/>
        <v>-7655.86</v>
      </c>
      <c r="P1805" s="39">
        <f t="shared" si="144"/>
        <v>46174</v>
      </c>
    </row>
    <row r="1806" spans="1:16" ht="15.5" x14ac:dyDescent="0.35">
      <c r="A1806" s="17" t="s">
        <v>1854</v>
      </c>
      <c r="B1806" s="35">
        <v>45925</v>
      </c>
      <c r="C1806" s="17" t="s">
        <v>12</v>
      </c>
      <c r="D1806" s="17" t="s">
        <v>19</v>
      </c>
      <c r="E1806" s="17" t="s">
        <v>45</v>
      </c>
      <c r="F1806" s="17" t="s">
        <v>34</v>
      </c>
      <c r="G1806" s="17" t="s">
        <v>38</v>
      </c>
      <c r="H1806" s="17" t="s">
        <v>2596</v>
      </c>
      <c r="I1806" s="17" t="s">
        <v>39</v>
      </c>
      <c r="J1806" s="36">
        <v>7500</v>
      </c>
      <c r="K1806" s="36">
        <v>3330.84</v>
      </c>
      <c r="L1806" s="36">
        <f t="shared" si="140"/>
        <v>-4169.16</v>
      </c>
      <c r="M1806" s="37">
        <f t="shared" si="141"/>
        <v>-0.55588799999999994</v>
      </c>
      <c r="N1806" s="17" t="str">
        <f t="shared" si="142"/>
        <v>Under Budget</v>
      </c>
      <c r="O1806" s="38">
        <f t="shared" si="143"/>
        <v>-3330.84</v>
      </c>
      <c r="P1806" s="39">
        <f t="shared" si="144"/>
        <v>45901</v>
      </c>
    </row>
    <row r="1807" spans="1:16" ht="15.5" x14ac:dyDescent="0.35">
      <c r="A1807" s="17" t="s">
        <v>1855</v>
      </c>
      <c r="B1807" s="35">
        <v>45796</v>
      </c>
      <c r="C1807" s="17" t="s">
        <v>12</v>
      </c>
      <c r="D1807" s="17" t="s">
        <v>36</v>
      </c>
      <c r="E1807" s="17" t="s">
        <v>45</v>
      </c>
      <c r="F1807" s="17" t="s">
        <v>28</v>
      </c>
      <c r="G1807" s="17" t="s">
        <v>43</v>
      </c>
      <c r="H1807" s="17" t="s">
        <v>2598</v>
      </c>
      <c r="I1807" s="17" t="s">
        <v>2583</v>
      </c>
      <c r="J1807" s="36">
        <v>7200</v>
      </c>
      <c r="K1807" s="36">
        <v>11368.75</v>
      </c>
      <c r="L1807" s="36">
        <f t="shared" si="140"/>
        <v>4168.75</v>
      </c>
      <c r="M1807" s="37">
        <f t="shared" si="141"/>
        <v>0.57899305555555558</v>
      </c>
      <c r="N1807" s="17" t="str">
        <f t="shared" si="142"/>
        <v>Over Budget</v>
      </c>
      <c r="O1807" s="38">
        <f t="shared" si="143"/>
        <v>-11368.75</v>
      </c>
      <c r="P1807" s="39">
        <f t="shared" si="144"/>
        <v>45778</v>
      </c>
    </row>
    <row r="1808" spans="1:16" ht="15.5" x14ac:dyDescent="0.35">
      <c r="A1808" s="17" t="s">
        <v>1856</v>
      </c>
      <c r="B1808" s="35">
        <v>45782</v>
      </c>
      <c r="C1808" s="17" t="s">
        <v>12</v>
      </c>
      <c r="D1808" s="17" t="s">
        <v>19</v>
      </c>
      <c r="E1808" s="17" t="s">
        <v>51</v>
      </c>
      <c r="F1808" s="17" t="s">
        <v>34</v>
      </c>
      <c r="G1808" s="17" t="s">
        <v>16</v>
      </c>
      <c r="H1808" s="17" t="s">
        <v>2592</v>
      </c>
      <c r="I1808" s="17" t="s">
        <v>23</v>
      </c>
      <c r="J1808" s="36">
        <v>2307.69</v>
      </c>
      <c r="K1808" s="36">
        <v>1103.8699999999999</v>
      </c>
      <c r="L1808" s="36">
        <f t="shared" si="140"/>
        <v>-1203.8200000000002</v>
      </c>
      <c r="M1808" s="37">
        <f t="shared" si="141"/>
        <v>-0.52165585498918843</v>
      </c>
      <c r="N1808" s="17" t="str">
        <f t="shared" si="142"/>
        <v>Under Budget</v>
      </c>
      <c r="O1808" s="38">
        <f t="shared" si="143"/>
        <v>-1103.8699999999999</v>
      </c>
      <c r="P1808" s="39">
        <f t="shared" si="144"/>
        <v>45778</v>
      </c>
    </row>
    <row r="1809" spans="1:16" ht="15.5" x14ac:dyDescent="0.35">
      <c r="A1809" s="17" t="s">
        <v>1857</v>
      </c>
      <c r="B1809" s="35">
        <v>45996</v>
      </c>
      <c r="C1809" s="17" t="s">
        <v>25</v>
      </c>
      <c r="D1809" s="17" t="s">
        <v>32</v>
      </c>
      <c r="E1809" s="17" t="s">
        <v>109</v>
      </c>
      <c r="F1809" s="17" t="s">
        <v>34</v>
      </c>
      <c r="G1809" s="17" t="s">
        <v>43</v>
      </c>
      <c r="H1809" s="17" t="s">
        <v>2598</v>
      </c>
      <c r="I1809" s="17" t="s">
        <v>23</v>
      </c>
      <c r="J1809" s="36">
        <v>9545.4500000000007</v>
      </c>
      <c r="K1809" s="36">
        <v>12156.66</v>
      </c>
      <c r="L1809" s="36">
        <f t="shared" si="140"/>
        <v>2611.2099999999991</v>
      </c>
      <c r="M1809" s="37">
        <f t="shared" si="141"/>
        <v>0.27355546359783972</v>
      </c>
      <c r="N1809" s="17" t="str">
        <f t="shared" si="142"/>
        <v>Over Budget</v>
      </c>
      <c r="O1809" s="38">
        <f t="shared" si="143"/>
        <v>12156.66</v>
      </c>
      <c r="P1809" s="39">
        <f t="shared" si="144"/>
        <v>45992</v>
      </c>
    </row>
    <row r="1810" spans="1:16" ht="15.5" x14ac:dyDescent="0.35">
      <c r="A1810" s="17" t="s">
        <v>1858</v>
      </c>
      <c r="B1810" s="35">
        <v>45683</v>
      </c>
      <c r="C1810" s="17" t="s">
        <v>12</v>
      </c>
      <c r="D1810" s="17" t="s">
        <v>26</v>
      </c>
      <c r="E1810" s="17" t="s">
        <v>45</v>
      </c>
      <c r="F1810" s="17" t="s">
        <v>15</v>
      </c>
      <c r="G1810" s="17" t="s">
        <v>38</v>
      </c>
      <c r="H1810" s="17" t="s">
        <v>2586</v>
      </c>
      <c r="I1810" s="17" t="s">
        <v>23</v>
      </c>
      <c r="J1810" s="36">
        <v>7591.3</v>
      </c>
      <c r="K1810" s="36">
        <v>5976.6</v>
      </c>
      <c r="L1810" s="36">
        <f t="shared" si="140"/>
        <v>-1614.6999999999998</v>
      </c>
      <c r="M1810" s="37">
        <f t="shared" si="141"/>
        <v>-0.21270401643987194</v>
      </c>
      <c r="N1810" s="17" t="str">
        <f t="shared" si="142"/>
        <v>Under Budget</v>
      </c>
      <c r="O1810" s="38">
        <f t="shared" si="143"/>
        <v>-5976.6</v>
      </c>
      <c r="P1810" s="39">
        <f t="shared" si="144"/>
        <v>45658</v>
      </c>
    </row>
    <row r="1811" spans="1:16" ht="15.5" x14ac:dyDescent="0.35">
      <c r="A1811" s="17" t="s">
        <v>1859</v>
      </c>
      <c r="B1811" s="35">
        <v>45940</v>
      </c>
      <c r="C1811" s="17" t="s">
        <v>25</v>
      </c>
      <c r="D1811" s="17" t="s">
        <v>2585</v>
      </c>
      <c r="E1811" s="17" t="s">
        <v>33</v>
      </c>
      <c r="F1811" s="17" t="s">
        <v>21</v>
      </c>
      <c r="G1811" s="17" t="s">
        <v>38</v>
      </c>
      <c r="H1811" s="17" t="s">
        <v>2593</v>
      </c>
      <c r="I1811" s="17" t="s">
        <v>48</v>
      </c>
      <c r="J1811" s="36">
        <v>8928.57</v>
      </c>
      <c r="K1811" s="36">
        <v>11480.72</v>
      </c>
      <c r="L1811" s="36">
        <f t="shared" si="140"/>
        <v>2552.1499999999996</v>
      </c>
      <c r="M1811" s="37">
        <f t="shared" si="141"/>
        <v>0.28584084573453528</v>
      </c>
      <c r="N1811" s="17" t="str">
        <f t="shared" si="142"/>
        <v>Over Budget</v>
      </c>
      <c r="O1811" s="38">
        <f t="shared" si="143"/>
        <v>11480.72</v>
      </c>
      <c r="P1811" s="39">
        <f t="shared" si="144"/>
        <v>45931</v>
      </c>
    </row>
    <row r="1812" spans="1:16" ht="15.5" x14ac:dyDescent="0.35">
      <c r="A1812" s="17" t="s">
        <v>1860</v>
      </c>
      <c r="B1812" s="35">
        <v>46085</v>
      </c>
      <c r="C1812" s="17" t="s">
        <v>12</v>
      </c>
      <c r="D1812" s="17" t="s">
        <v>26</v>
      </c>
      <c r="E1812" s="17" t="s">
        <v>14</v>
      </c>
      <c r="F1812" s="17" t="s">
        <v>34</v>
      </c>
      <c r="G1812" s="17" t="s">
        <v>38</v>
      </c>
      <c r="H1812" s="17" t="s">
        <v>2586</v>
      </c>
      <c r="I1812" s="17" t="s">
        <v>30</v>
      </c>
      <c r="J1812" s="36">
        <v>4000</v>
      </c>
      <c r="K1812" s="36">
        <v>3580.83</v>
      </c>
      <c r="L1812" s="36">
        <f t="shared" si="140"/>
        <v>-419.17000000000007</v>
      </c>
      <c r="M1812" s="37">
        <f t="shared" si="141"/>
        <v>-0.10479250000000002</v>
      </c>
      <c r="N1812" s="17" t="str">
        <f t="shared" si="142"/>
        <v>Under Budget</v>
      </c>
      <c r="O1812" s="38">
        <f t="shared" si="143"/>
        <v>-3580.83</v>
      </c>
      <c r="P1812" s="39">
        <f t="shared" si="144"/>
        <v>46082</v>
      </c>
    </row>
    <row r="1813" spans="1:16" ht="15.5" x14ac:dyDescent="0.35">
      <c r="A1813" s="17" t="s">
        <v>1861</v>
      </c>
      <c r="B1813" s="35">
        <v>46111</v>
      </c>
      <c r="C1813" s="17" t="s">
        <v>25</v>
      </c>
      <c r="D1813" s="17" t="s">
        <v>2584</v>
      </c>
      <c r="E1813" s="17" t="s">
        <v>2583</v>
      </c>
      <c r="F1813" s="17" t="s">
        <v>15</v>
      </c>
      <c r="G1813" s="17" t="s">
        <v>38</v>
      </c>
      <c r="H1813" s="17" t="s">
        <v>2589</v>
      </c>
      <c r="I1813" s="17" t="s">
        <v>39</v>
      </c>
      <c r="J1813" s="36">
        <v>10000</v>
      </c>
      <c r="K1813" s="36">
        <v>7081.07</v>
      </c>
      <c r="L1813" s="36">
        <f t="shared" si="140"/>
        <v>-2918.9300000000003</v>
      </c>
      <c r="M1813" s="37">
        <f t="shared" si="141"/>
        <v>-0.29189300000000001</v>
      </c>
      <c r="N1813" s="17" t="str">
        <f t="shared" si="142"/>
        <v>Under Budget</v>
      </c>
      <c r="O1813" s="38">
        <f t="shared" si="143"/>
        <v>7081.07</v>
      </c>
      <c r="P1813" s="39">
        <f t="shared" si="144"/>
        <v>46082</v>
      </c>
    </row>
    <row r="1814" spans="1:16" ht="15.5" x14ac:dyDescent="0.35">
      <c r="A1814" s="17" t="s">
        <v>1862</v>
      </c>
      <c r="B1814" s="35">
        <v>45789</v>
      </c>
      <c r="C1814" s="17" t="s">
        <v>25</v>
      </c>
      <c r="D1814" s="17" t="s">
        <v>19</v>
      </c>
      <c r="E1814" s="17" t="s">
        <v>33</v>
      </c>
      <c r="F1814" s="17" t="s">
        <v>15</v>
      </c>
      <c r="G1814" s="17" t="s">
        <v>22</v>
      </c>
      <c r="H1814" s="17" t="s">
        <v>60</v>
      </c>
      <c r="I1814" s="17" t="s">
        <v>30</v>
      </c>
      <c r="J1814" s="36">
        <v>9615.3799999999992</v>
      </c>
      <c r="K1814" s="36">
        <v>2935.76</v>
      </c>
      <c r="L1814" s="36">
        <f t="shared" si="140"/>
        <v>-6679.619999999999</v>
      </c>
      <c r="M1814" s="37">
        <f t="shared" si="141"/>
        <v>-0.69468081344679045</v>
      </c>
      <c r="N1814" s="17" t="str">
        <f t="shared" si="142"/>
        <v>Under Budget</v>
      </c>
      <c r="O1814" s="38">
        <f t="shared" si="143"/>
        <v>2935.76</v>
      </c>
      <c r="P1814" s="39">
        <f t="shared" si="144"/>
        <v>45778</v>
      </c>
    </row>
    <row r="1815" spans="1:16" ht="15.5" x14ac:dyDescent="0.35">
      <c r="A1815" s="17" t="s">
        <v>1863</v>
      </c>
      <c r="B1815" s="35">
        <v>45751</v>
      </c>
      <c r="C1815" s="17" t="s">
        <v>12</v>
      </c>
      <c r="D1815" s="17" t="s">
        <v>36</v>
      </c>
      <c r="E1815" s="17" t="s">
        <v>51</v>
      </c>
      <c r="F1815" s="17" t="s">
        <v>15</v>
      </c>
      <c r="G1815" s="17" t="s">
        <v>29</v>
      </c>
      <c r="H1815" s="17" t="s">
        <v>2592</v>
      </c>
      <c r="I1815" s="17" t="s">
        <v>30</v>
      </c>
      <c r="J1815" s="36">
        <v>3750</v>
      </c>
      <c r="K1815" s="36">
        <v>5208.26</v>
      </c>
      <c r="L1815" s="36">
        <f t="shared" si="140"/>
        <v>1458.2600000000002</v>
      </c>
      <c r="M1815" s="37">
        <f t="shared" si="141"/>
        <v>0.3888693333333334</v>
      </c>
      <c r="N1815" s="17" t="str">
        <f t="shared" si="142"/>
        <v>Over Budget</v>
      </c>
      <c r="O1815" s="38">
        <f t="shared" si="143"/>
        <v>-5208.26</v>
      </c>
      <c r="P1815" s="39">
        <f t="shared" si="144"/>
        <v>45748</v>
      </c>
    </row>
    <row r="1816" spans="1:16" ht="15.5" x14ac:dyDescent="0.35">
      <c r="A1816" s="17" t="s">
        <v>1864</v>
      </c>
      <c r="B1816" s="35">
        <v>45732</v>
      </c>
      <c r="C1816" s="17" t="s">
        <v>12</v>
      </c>
      <c r="D1816" s="17" t="s">
        <v>2585</v>
      </c>
      <c r="E1816" s="17" t="s">
        <v>47</v>
      </c>
      <c r="F1816" s="17" t="s">
        <v>52</v>
      </c>
      <c r="G1816" s="17" t="s">
        <v>38</v>
      </c>
      <c r="H1816" s="17" t="s">
        <v>2592</v>
      </c>
      <c r="I1816" s="17" t="s">
        <v>39</v>
      </c>
      <c r="J1816" s="36">
        <v>4375</v>
      </c>
      <c r="K1816" s="36">
        <v>3099.38</v>
      </c>
      <c r="L1816" s="36">
        <f t="shared" si="140"/>
        <v>-1275.6199999999999</v>
      </c>
      <c r="M1816" s="37">
        <f t="shared" si="141"/>
        <v>-0.29157028571428567</v>
      </c>
      <c r="N1816" s="17" t="str">
        <f t="shared" si="142"/>
        <v>Under Budget</v>
      </c>
      <c r="O1816" s="38">
        <f t="shared" si="143"/>
        <v>-3099.38</v>
      </c>
      <c r="P1816" s="39">
        <f t="shared" si="144"/>
        <v>45717</v>
      </c>
    </row>
    <row r="1817" spans="1:16" ht="15.5" x14ac:dyDescent="0.35">
      <c r="A1817" s="17" t="s">
        <v>1865</v>
      </c>
      <c r="B1817" s="35">
        <v>46139</v>
      </c>
      <c r="C1817" s="17" t="s">
        <v>25</v>
      </c>
      <c r="D1817" s="17" t="s">
        <v>2585</v>
      </c>
      <c r="E1817" s="17" t="s">
        <v>33</v>
      </c>
      <c r="F1817" s="17" t="s">
        <v>34</v>
      </c>
      <c r="G1817" s="17" t="s">
        <v>29</v>
      </c>
      <c r="H1817" s="17" t="s">
        <v>2589</v>
      </c>
      <c r="I1817" s="17" t="s">
        <v>30</v>
      </c>
      <c r="J1817" s="36">
        <v>8333.33</v>
      </c>
      <c r="K1817" s="36">
        <v>24122.48</v>
      </c>
      <c r="L1817" s="36">
        <f t="shared" si="140"/>
        <v>15789.15</v>
      </c>
      <c r="M1817" s="37">
        <f t="shared" si="141"/>
        <v>1.8946987578795031</v>
      </c>
      <c r="N1817" s="17" t="str">
        <f t="shared" si="142"/>
        <v>Over Budget</v>
      </c>
      <c r="O1817" s="38">
        <f t="shared" si="143"/>
        <v>24122.48</v>
      </c>
      <c r="P1817" s="39">
        <f t="shared" si="144"/>
        <v>46113</v>
      </c>
    </row>
    <row r="1818" spans="1:16" ht="15.5" x14ac:dyDescent="0.35">
      <c r="A1818" s="17" t="s">
        <v>1866</v>
      </c>
      <c r="B1818" s="35">
        <v>45814</v>
      </c>
      <c r="C1818" s="17" t="s">
        <v>25</v>
      </c>
      <c r="D1818" s="17" t="s">
        <v>32</v>
      </c>
      <c r="E1818" s="17" t="s">
        <v>33</v>
      </c>
      <c r="F1818" s="17" t="s">
        <v>28</v>
      </c>
      <c r="G1818" s="17" t="s">
        <v>82</v>
      </c>
      <c r="H1818" s="17" t="s">
        <v>2598</v>
      </c>
      <c r="I1818" s="17" t="s">
        <v>39</v>
      </c>
      <c r="J1818" s="36">
        <v>9615.3799999999992</v>
      </c>
      <c r="K1818" s="36">
        <v>14738.83</v>
      </c>
      <c r="L1818" s="36">
        <f t="shared" si="140"/>
        <v>5123.4500000000007</v>
      </c>
      <c r="M1818" s="37">
        <f t="shared" si="141"/>
        <v>0.53283905576274693</v>
      </c>
      <c r="N1818" s="17" t="str">
        <f t="shared" si="142"/>
        <v>Over Budget</v>
      </c>
      <c r="O1818" s="38">
        <f t="shared" si="143"/>
        <v>14738.83</v>
      </c>
      <c r="P1818" s="39">
        <f t="shared" si="144"/>
        <v>45809</v>
      </c>
    </row>
    <row r="1819" spans="1:16" ht="15.5" x14ac:dyDescent="0.35">
      <c r="A1819" s="17" t="s">
        <v>1867</v>
      </c>
      <c r="B1819" s="35">
        <v>45834</v>
      </c>
      <c r="C1819" s="17" t="s">
        <v>12</v>
      </c>
      <c r="D1819" s="17" t="s">
        <v>19</v>
      </c>
      <c r="E1819" s="17" t="s">
        <v>74</v>
      </c>
      <c r="F1819" s="17" t="s">
        <v>15</v>
      </c>
      <c r="G1819" s="17" t="s">
        <v>43</v>
      </c>
      <c r="H1819" s="17" t="s">
        <v>2594</v>
      </c>
      <c r="I1819" s="17" t="s">
        <v>30</v>
      </c>
      <c r="J1819" s="36">
        <v>6666.67</v>
      </c>
      <c r="K1819" s="36">
        <v>4781.3500000000004</v>
      </c>
      <c r="L1819" s="36">
        <f t="shared" si="140"/>
        <v>-1885.3199999999997</v>
      </c>
      <c r="M1819" s="37">
        <f t="shared" si="141"/>
        <v>-0.28279785860107065</v>
      </c>
      <c r="N1819" s="17" t="str">
        <f t="shared" si="142"/>
        <v>Under Budget</v>
      </c>
      <c r="O1819" s="38">
        <f t="shared" si="143"/>
        <v>-4781.3500000000004</v>
      </c>
      <c r="P1819" s="39">
        <f t="shared" si="144"/>
        <v>45809</v>
      </c>
    </row>
    <row r="1820" spans="1:16" ht="15.5" x14ac:dyDescent="0.35">
      <c r="A1820" s="17" t="s">
        <v>1868</v>
      </c>
      <c r="B1820" s="35">
        <v>45741</v>
      </c>
      <c r="C1820" s="17" t="s">
        <v>12</v>
      </c>
      <c r="D1820" s="17" t="s">
        <v>32</v>
      </c>
      <c r="E1820" s="17" t="s">
        <v>47</v>
      </c>
      <c r="F1820" s="17" t="s">
        <v>52</v>
      </c>
      <c r="G1820" s="17" t="s">
        <v>38</v>
      </c>
      <c r="H1820" s="17" t="s">
        <v>2597</v>
      </c>
      <c r="I1820" s="17" t="s">
        <v>23</v>
      </c>
      <c r="J1820" s="36">
        <v>4375</v>
      </c>
      <c r="K1820" s="36">
        <v>526.05999999999995</v>
      </c>
      <c r="L1820" s="36">
        <f t="shared" si="140"/>
        <v>-3848.94</v>
      </c>
      <c r="M1820" s="37">
        <f t="shared" si="141"/>
        <v>-0.87975771428571425</v>
      </c>
      <c r="N1820" s="17" t="str">
        <f t="shared" si="142"/>
        <v>Under Budget</v>
      </c>
      <c r="O1820" s="38">
        <f t="shared" si="143"/>
        <v>-526.05999999999995</v>
      </c>
      <c r="P1820" s="39">
        <f t="shared" si="144"/>
        <v>45717</v>
      </c>
    </row>
    <row r="1821" spans="1:16" ht="15.5" x14ac:dyDescent="0.35">
      <c r="A1821" s="17" t="s">
        <v>1869</v>
      </c>
      <c r="B1821" s="35">
        <v>45676</v>
      </c>
      <c r="C1821" s="17" t="s">
        <v>12</v>
      </c>
      <c r="D1821" s="17" t="s">
        <v>13</v>
      </c>
      <c r="E1821" s="17" t="s">
        <v>77</v>
      </c>
      <c r="F1821" s="17" t="s">
        <v>21</v>
      </c>
      <c r="G1821" s="17" t="s">
        <v>38</v>
      </c>
      <c r="H1821" s="17" t="s">
        <v>2590</v>
      </c>
      <c r="I1821" s="17" t="s">
        <v>48</v>
      </c>
      <c r="J1821" s="36">
        <v>3556.67</v>
      </c>
      <c r="K1821" s="36">
        <v>319.73</v>
      </c>
      <c r="L1821" s="36">
        <f t="shared" si="140"/>
        <v>-3236.94</v>
      </c>
      <c r="M1821" s="37">
        <f t="shared" si="141"/>
        <v>-0.91010411424169235</v>
      </c>
      <c r="N1821" s="17" t="str">
        <f t="shared" si="142"/>
        <v>Under Budget</v>
      </c>
      <c r="O1821" s="38">
        <f t="shared" si="143"/>
        <v>-319.73</v>
      </c>
      <c r="P1821" s="39">
        <f t="shared" si="144"/>
        <v>45658</v>
      </c>
    </row>
    <row r="1822" spans="1:16" ht="15.5" x14ac:dyDescent="0.35">
      <c r="A1822" s="17" t="s">
        <v>1870</v>
      </c>
      <c r="B1822" s="35">
        <v>45937</v>
      </c>
      <c r="C1822" s="17" t="s">
        <v>12</v>
      </c>
      <c r="D1822" s="17" t="s">
        <v>19</v>
      </c>
      <c r="E1822" s="17" t="s">
        <v>74</v>
      </c>
      <c r="F1822" s="17" t="s">
        <v>34</v>
      </c>
      <c r="G1822" s="17" t="s">
        <v>43</v>
      </c>
      <c r="H1822" s="17" t="s">
        <v>2595</v>
      </c>
      <c r="I1822" s="17" t="s">
        <v>23</v>
      </c>
      <c r="J1822" s="36">
        <v>3333.33</v>
      </c>
      <c r="K1822" s="36">
        <v>4416.49</v>
      </c>
      <c r="L1822" s="36">
        <f t="shared" si="140"/>
        <v>1083.1599999999999</v>
      </c>
      <c r="M1822" s="37">
        <f t="shared" si="141"/>
        <v>0.32494832494832493</v>
      </c>
      <c r="N1822" s="17" t="str">
        <f t="shared" si="142"/>
        <v>Over Budget</v>
      </c>
      <c r="O1822" s="38">
        <f t="shared" si="143"/>
        <v>-4416.49</v>
      </c>
      <c r="P1822" s="39">
        <f t="shared" si="144"/>
        <v>45931</v>
      </c>
    </row>
    <row r="1823" spans="1:16" ht="15.5" x14ac:dyDescent="0.35">
      <c r="A1823" s="17" t="s">
        <v>1871</v>
      </c>
      <c r="B1823" s="35">
        <v>45701</v>
      </c>
      <c r="C1823" s="17" t="s">
        <v>12</v>
      </c>
      <c r="D1823" s="17" t="s">
        <v>26</v>
      </c>
      <c r="E1823" s="17" t="s">
        <v>74</v>
      </c>
      <c r="F1823" s="17" t="s">
        <v>52</v>
      </c>
      <c r="G1823" s="17" t="s">
        <v>22</v>
      </c>
      <c r="H1823" s="17" t="s">
        <v>2589</v>
      </c>
      <c r="I1823" s="17" t="s">
        <v>23</v>
      </c>
      <c r="J1823" s="36">
        <v>5542.86</v>
      </c>
      <c r="K1823" s="36">
        <v>1560.13</v>
      </c>
      <c r="L1823" s="36">
        <f t="shared" si="140"/>
        <v>-3982.7299999999996</v>
      </c>
      <c r="M1823" s="37">
        <f t="shared" si="141"/>
        <v>-0.71853339250856052</v>
      </c>
      <c r="N1823" s="17" t="str">
        <f t="shared" si="142"/>
        <v>Under Budget</v>
      </c>
      <c r="O1823" s="38">
        <f t="shared" si="143"/>
        <v>-1560.13</v>
      </c>
      <c r="P1823" s="39">
        <f t="shared" si="144"/>
        <v>45689</v>
      </c>
    </row>
    <row r="1824" spans="1:16" ht="15.5" x14ac:dyDescent="0.35">
      <c r="A1824" s="17" t="s">
        <v>1872</v>
      </c>
      <c r="B1824" s="35">
        <v>45860</v>
      </c>
      <c r="C1824" s="17" t="s">
        <v>25</v>
      </c>
      <c r="D1824" s="17" t="s">
        <v>32</v>
      </c>
      <c r="E1824" s="17" t="s">
        <v>33</v>
      </c>
      <c r="F1824" s="17" t="s">
        <v>28</v>
      </c>
      <c r="G1824" s="17" t="s">
        <v>22</v>
      </c>
      <c r="H1824" s="17" t="s">
        <v>2592</v>
      </c>
      <c r="I1824" s="17" t="s">
        <v>39</v>
      </c>
      <c r="J1824" s="36">
        <v>12500</v>
      </c>
      <c r="K1824" s="36">
        <v>19525.099999999999</v>
      </c>
      <c r="L1824" s="36">
        <f t="shared" si="140"/>
        <v>7025.0999999999985</v>
      </c>
      <c r="M1824" s="37">
        <f t="shared" si="141"/>
        <v>0.56200799999999984</v>
      </c>
      <c r="N1824" s="17" t="str">
        <f t="shared" si="142"/>
        <v>Over Budget</v>
      </c>
      <c r="O1824" s="38">
        <f t="shared" si="143"/>
        <v>19525.099999999999</v>
      </c>
      <c r="P1824" s="39">
        <f t="shared" si="144"/>
        <v>45839</v>
      </c>
    </row>
    <row r="1825" spans="1:16" ht="15.5" x14ac:dyDescent="0.35">
      <c r="A1825" s="17" t="s">
        <v>1873</v>
      </c>
      <c r="B1825" s="35">
        <v>45911</v>
      </c>
      <c r="C1825" s="17" t="s">
        <v>25</v>
      </c>
      <c r="D1825" s="17" t="s">
        <v>32</v>
      </c>
      <c r="E1825" s="17" t="s">
        <v>27</v>
      </c>
      <c r="F1825" s="17" t="s">
        <v>28</v>
      </c>
      <c r="G1825" s="17" t="s">
        <v>29</v>
      </c>
      <c r="H1825" s="17" t="s">
        <v>2586</v>
      </c>
      <c r="I1825" s="17" t="s">
        <v>30</v>
      </c>
      <c r="J1825" s="36">
        <v>10000</v>
      </c>
      <c r="K1825" s="36">
        <v>5191.28</v>
      </c>
      <c r="L1825" s="36">
        <f t="shared" si="140"/>
        <v>-4808.72</v>
      </c>
      <c r="M1825" s="37">
        <f t="shared" si="141"/>
        <v>-0.48087200000000002</v>
      </c>
      <c r="N1825" s="17" t="str">
        <f t="shared" si="142"/>
        <v>Under Budget</v>
      </c>
      <c r="O1825" s="38">
        <f t="shared" si="143"/>
        <v>5191.28</v>
      </c>
      <c r="P1825" s="39">
        <f t="shared" si="144"/>
        <v>45901</v>
      </c>
    </row>
    <row r="1826" spans="1:16" ht="15.5" x14ac:dyDescent="0.35">
      <c r="A1826" s="17" t="s">
        <v>1874</v>
      </c>
      <c r="B1826" s="35">
        <v>45989</v>
      </c>
      <c r="C1826" s="17" t="s">
        <v>12</v>
      </c>
      <c r="D1826" s="17" t="s">
        <v>13</v>
      </c>
      <c r="E1826" s="17" t="s">
        <v>45</v>
      </c>
      <c r="F1826" s="17" t="s">
        <v>52</v>
      </c>
      <c r="G1826" s="17" t="s">
        <v>22</v>
      </c>
      <c r="H1826" s="17" t="s">
        <v>2586</v>
      </c>
      <c r="I1826" s="17" t="s">
        <v>17</v>
      </c>
      <c r="J1826" s="36">
        <v>9947.3700000000008</v>
      </c>
      <c r="K1826" s="36">
        <v>4211.93</v>
      </c>
      <c r="L1826" s="36">
        <f t="shared" si="140"/>
        <v>-5735.4400000000005</v>
      </c>
      <c r="M1826" s="37">
        <f t="shared" si="141"/>
        <v>-0.57657853281822236</v>
      </c>
      <c r="N1826" s="17" t="str">
        <f t="shared" si="142"/>
        <v>Under Budget</v>
      </c>
      <c r="O1826" s="38">
        <f t="shared" si="143"/>
        <v>-4211.93</v>
      </c>
      <c r="P1826" s="39">
        <f t="shared" si="144"/>
        <v>45962</v>
      </c>
    </row>
    <row r="1827" spans="1:16" ht="15.5" x14ac:dyDescent="0.35">
      <c r="A1827" s="17" t="s">
        <v>1875</v>
      </c>
      <c r="B1827" s="35">
        <v>46164</v>
      </c>
      <c r="C1827" s="17" t="s">
        <v>12</v>
      </c>
      <c r="D1827" s="17" t="s">
        <v>19</v>
      </c>
      <c r="E1827" s="17" t="s">
        <v>47</v>
      </c>
      <c r="F1827" s="17" t="s">
        <v>21</v>
      </c>
      <c r="G1827" s="17" t="s">
        <v>38</v>
      </c>
      <c r="H1827" s="17" t="s">
        <v>2591</v>
      </c>
      <c r="I1827" s="17" t="s">
        <v>39</v>
      </c>
      <c r="J1827" s="36">
        <v>2692.31</v>
      </c>
      <c r="K1827" s="36">
        <v>4450.6499999999996</v>
      </c>
      <c r="L1827" s="36">
        <f t="shared" si="140"/>
        <v>1758.3399999999997</v>
      </c>
      <c r="M1827" s="37">
        <f t="shared" si="141"/>
        <v>0.6530971544881532</v>
      </c>
      <c r="N1827" s="17" t="str">
        <f t="shared" si="142"/>
        <v>Over Budget</v>
      </c>
      <c r="O1827" s="38">
        <f t="shared" si="143"/>
        <v>-4450.6499999999996</v>
      </c>
      <c r="P1827" s="39">
        <f t="shared" si="144"/>
        <v>46143</v>
      </c>
    </row>
    <row r="1828" spans="1:16" ht="15.5" x14ac:dyDescent="0.35">
      <c r="A1828" s="17" t="s">
        <v>1876</v>
      </c>
      <c r="B1828" s="35">
        <v>45887</v>
      </c>
      <c r="C1828" s="17" t="s">
        <v>12</v>
      </c>
      <c r="D1828" s="17" t="s">
        <v>26</v>
      </c>
      <c r="E1828" s="17" t="s">
        <v>45</v>
      </c>
      <c r="F1828" s="17" t="s">
        <v>28</v>
      </c>
      <c r="G1828" s="17" t="s">
        <v>16</v>
      </c>
      <c r="H1828" s="17" t="s">
        <v>2586</v>
      </c>
      <c r="I1828" s="17" t="s">
        <v>23</v>
      </c>
      <c r="J1828" s="36">
        <v>8181.82</v>
      </c>
      <c r="K1828" s="36">
        <v>6688.42</v>
      </c>
      <c r="L1828" s="36">
        <f t="shared" si="140"/>
        <v>-1493.3999999999996</v>
      </c>
      <c r="M1828" s="37">
        <f t="shared" si="141"/>
        <v>-0.18252662610519416</v>
      </c>
      <c r="N1828" s="17" t="str">
        <f t="shared" si="142"/>
        <v>Under Budget</v>
      </c>
      <c r="O1828" s="38">
        <f t="shared" si="143"/>
        <v>-6688.42</v>
      </c>
      <c r="P1828" s="39">
        <f t="shared" si="144"/>
        <v>45870</v>
      </c>
    </row>
    <row r="1829" spans="1:16" ht="15.5" x14ac:dyDescent="0.35">
      <c r="A1829" s="17" t="s">
        <v>1877</v>
      </c>
      <c r="B1829" s="35">
        <v>45839</v>
      </c>
      <c r="C1829" s="17" t="s">
        <v>12</v>
      </c>
      <c r="D1829" s="17" t="s">
        <v>36</v>
      </c>
      <c r="E1829" s="17" t="s">
        <v>2583</v>
      </c>
      <c r="F1829" s="17" t="s">
        <v>34</v>
      </c>
      <c r="G1829" s="17" t="s">
        <v>29</v>
      </c>
      <c r="H1829" s="17" t="s">
        <v>2594</v>
      </c>
      <c r="I1829" s="17" t="s">
        <v>17</v>
      </c>
      <c r="J1829" s="36">
        <v>2250</v>
      </c>
      <c r="K1829" s="36">
        <v>1118.99</v>
      </c>
      <c r="L1829" s="36">
        <f t="shared" si="140"/>
        <v>-1131.01</v>
      </c>
      <c r="M1829" s="37">
        <f t="shared" si="141"/>
        <v>-0.50267111111111107</v>
      </c>
      <c r="N1829" s="17" t="str">
        <f t="shared" si="142"/>
        <v>Under Budget</v>
      </c>
      <c r="O1829" s="38">
        <f t="shared" si="143"/>
        <v>-1118.99</v>
      </c>
      <c r="P1829" s="39">
        <f t="shared" si="144"/>
        <v>45839</v>
      </c>
    </row>
    <row r="1830" spans="1:16" ht="15.5" x14ac:dyDescent="0.35">
      <c r="A1830" s="17" t="s">
        <v>1878</v>
      </c>
      <c r="B1830" s="35">
        <v>46148</v>
      </c>
      <c r="C1830" s="17" t="s">
        <v>25</v>
      </c>
      <c r="D1830" s="17" t="s">
        <v>36</v>
      </c>
      <c r="E1830" s="17" t="s">
        <v>27</v>
      </c>
      <c r="F1830" s="17" t="s">
        <v>34</v>
      </c>
      <c r="G1830" s="17" t="s">
        <v>38</v>
      </c>
      <c r="H1830" s="17" t="s">
        <v>60</v>
      </c>
      <c r="I1830" s="17" t="s">
        <v>23</v>
      </c>
      <c r="J1830" s="36">
        <v>6153.85</v>
      </c>
      <c r="K1830" s="36">
        <v>5728.83</v>
      </c>
      <c r="L1830" s="36">
        <f t="shared" si="140"/>
        <v>-425.02000000000044</v>
      </c>
      <c r="M1830" s="37">
        <f t="shared" si="141"/>
        <v>-6.9065706833933302E-2</v>
      </c>
      <c r="N1830" s="17" t="str">
        <f t="shared" si="142"/>
        <v>Under Budget</v>
      </c>
      <c r="O1830" s="38">
        <f t="shared" si="143"/>
        <v>5728.83</v>
      </c>
      <c r="P1830" s="39">
        <f t="shared" si="144"/>
        <v>46143</v>
      </c>
    </row>
    <row r="1831" spans="1:16" ht="15.5" x14ac:dyDescent="0.35">
      <c r="A1831" s="17" t="s">
        <v>1879</v>
      </c>
      <c r="B1831" s="35">
        <v>46116</v>
      </c>
      <c r="C1831" s="17" t="s">
        <v>12</v>
      </c>
      <c r="D1831" s="17" t="s">
        <v>2585</v>
      </c>
      <c r="E1831" s="17" t="s">
        <v>45</v>
      </c>
      <c r="F1831" s="17" t="s">
        <v>34</v>
      </c>
      <c r="G1831" s="17" t="s">
        <v>38</v>
      </c>
      <c r="H1831" s="17" t="s">
        <v>2596</v>
      </c>
      <c r="I1831" s="17" t="s">
        <v>30</v>
      </c>
      <c r="J1831" s="36">
        <v>8571.43</v>
      </c>
      <c r="K1831" s="36">
        <v>13489.02</v>
      </c>
      <c r="L1831" s="36">
        <f t="shared" si="140"/>
        <v>4917.59</v>
      </c>
      <c r="M1831" s="37">
        <f t="shared" si="141"/>
        <v>0.57371873771354376</v>
      </c>
      <c r="N1831" s="17" t="str">
        <f t="shared" si="142"/>
        <v>Over Budget</v>
      </c>
      <c r="O1831" s="38">
        <f t="shared" si="143"/>
        <v>-13489.02</v>
      </c>
      <c r="P1831" s="39">
        <f t="shared" si="144"/>
        <v>46113</v>
      </c>
    </row>
    <row r="1832" spans="1:16" ht="15.5" x14ac:dyDescent="0.35">
      <c r="A1832" s="17" t="s">
        <v>1880</v>
      </c>
      <c r="B1832" s="35">
        <v>46128</v>
      </c>
      <c r="C1832" s="17" t="s">
        <v>12</v>
      </c>
      <c r="D1832" s="17" t="s">
        <v>13</v>
      </c>
      <c r="E1832" s="17" t="s">
        <v>77</v>
      </c>
      <c r="F1832" s="17" t="s">
        <v>15</v>
      </c>
      <c r="G1832" s="17" t="s">
        <v>38</v>
      </c>
      <c r="H1832" s="17" t="s">
        <v>2592</v>
      </c>
      <c r="I1832" s="17" t="s">
        <v>30</v>
      </c>
      <c r="J1832" s="36">
        <v>2750</v>
      </c>
      <c r="K1832" s="36">
        <v>751.26</v>
      </c>
      <c r="L1832" s="36">
        <f t="shared" si="140"/>
        <v>-1998.74</v>
      </c>
      <c r="M1832" s="37">
        <f t="shared" si="141"/>
        <v>-0.72681454545454549</v>
      </c>
      <c r="N1832" s="17" t="str">
        <f t="shared" si="142"/>
        <v>Under Budget</v>
      </c>
      <c r="O1832" s="38">
        <f t="shared" si="143"/>
        <v>-751.26</v>
      </c>
      <c r="P1832" s="39">
        <f t="shared" si="144"/>
        <v>46113</v>
      </c>
    </row>
    <row r="1833" spans="1:16" ht="15.5" x14ac:dyDescent="0.35">
      <c r="A1833" s="17" t="s">
        <v>1881</v>
      </c>
      <c r="B1833" s="35">
        <v>45854</v>
      </c>
      <c r="C1833" s="17" t="s">
        <v>12</v>
      </c>
      <c r="D1833" s="17" t="s">
        <v>36</v>
      </c>
      <c r="E1833" s="17" t="s">
        <v>77</v>
      </c>
      <c r="F1833" s="17" t="s">
        <v>34</v>
      </c>
      <c r="G1833" s="17" t="s">
        <v>38</v>
      </c>
      <c r="H1833" s="17" t="s">
        <v>80</v>
      </c>
      <c r="I1833" s="17" t="s">
        <v>23</v>
      </c>
      <c r="J1833" s="36">
        <v>2750</v>
      </c>
      <c r="K1833" s="36">
        <v>1857.64</v>
      </c>
      <c r="L1833" s="36">
        <f t="shared" si="140"/>
        <v>-892.3599999999999</v>
      </c>
      <c r="M1833" s="37">
        <f t="shared" si="141"/>
        <v>-0.32449454545454542</v>
      </c>
      <c r="N1833" s="17" t="str">
        <f t="shared" si="142"/>
        <v>Under Budget</v>
      </c>
      <c r="O1833" s="38">
        <f t="shared" si="143"/>
        <v>-1857.64</v>
      </c>
      <c r="P1833" s="39">
        <f t="shared" si="144"/>
        <v>45839</v>
      </c>
    </row>
    <row r="1834" spans="1:16" ht="15.5" x14ac:dyDescent="0.35">
      <c r="A1834" s="17" t="s">
        <v>1882</v>
      </c>
      <c r="B1834" s="35">
        <v>46135</v>
      </c>
      <c r="C1834" s="17" t="s">
        <v>25</v>
      </c>
      <c r="D1834" s="17" t="s">
        <v>32</v>
      </c>
      <c r="E1834" s="17" t="s">
        <v>33</v>
      </c>
      <c r="F1834" s="17" t="s">
        <v>34</v>
      </c>
      <c r="G1834" s="17" t="s">
        <v>16</v>
      </c>
      <c r="H1834" s="17" t="s">
        <v>60</v>
      </c>
      <c r="I1834" s="17" t="s">
        <v>48</v>
      </c>
      <c r="J1834" s="36">
        <v>8333.33</v>
      </c>
      <c r="K1834" s="36">
        <v>16292.09</v>
      </c>
      <c r="L1834" s="36">
        <f t="shared" si="140"/>
        <v>7958.76</v>
      </c>
      <c r="M1834" s="37">
        <f t="shared" si="141"/>
        <v>0.95505158202063289</v>
      </c>
      <c r="N1834" s="17" t="str">
        <f t="shared" si="142"/>
        <v>Over Budget</v>
      </c>
      <c r="O1834" s="38">
        <f t="shared" si="143"/>
        <v>16292.09</v>
      </c>
      <c r="P1834" s="39">
        <f t="shared" si="144"/>
        <v>46113</v>
      </c>
    </row>
    <row r="1835" spans="1:16" ht="15.5" x14ac:dyDescent="0.35">
      <c r="A1835" s="17" t="s">
        <v>1883</v>
      </c>
      <c r="B1835" s="35">
        <v>45742</v>
      </c>
      <c r="C1835" s="17" t="s">
        <v>12</v>
      </c>
      <c r="D1835" s="17" t="s">
        <v>19</v>
      </c>
      <c r="E1835" s="17" t="s">
        <v>45</v>
      </c>
      <c r="F1835" s="17" t="s">
        <v>52</v>
      </c>
      <c r="G1835" s="17" t="s">
        <v>22</v>
      </c>
      <c r="H1835" s="17" t="s">
        <v>2597</v>
      </c>
      <c r="I1835" s="17" t="s">
        <v>23</v>
      </c>
      <c r="J1835" s="36">
        <v>6000</v>
      </c>
      <c r="K1835" s="36">
        <v>2754.92</v>
      </c>
      <c r="L1835" s="36">
        <f t="shared" si="140"/>
        <v>-3245.08</v>
      </c>
      <c r="M1835" s="37">
        <f t="shared" si="141"/>
        <v>-0.5408466666666667</v>
      </c>
      <c r="N1835" s="17" t="str">
        <f t="shared" si="142"/>
        <v>Under Budget</v>
      </c>
      <c r="O1835" s="38">
        <f t="shared" si="143"/>
        <v>-2754.92</v>
      </c>
      <c r="P1835" s="39">
        <f t="shared" si="144"/>
        <v>45717</v>
      </c>
    </row>
    <row r="1836" spans="1:16" ht="15.5" x14ac:dyDescent="0.35">
      <c r="A1836" s="17" t="s">
        <v>1884</v>
      </c>
      <c r="B1836" s="35">
        <v>45874</v>
      </c>
      <c r="C1836" s="17" t="s">
        <v>12</v>
      </c>
      <c r="D1836" s="17" t="s">
        <v>36</v>
      </c>
      <c r="E1836" s="17" t="s">
        <v>74</v>
      </c>
      <c r="F1836" s="17" t="s">
        <v>21</v>
      </c>
      <c r="G1836" s="17" t="s">
        <v>38</v>
      </c>
      <c r="H1836" s="17" t="s">
        <v>2588</v>
      </c>
      <c r="I1836" s="17" t="s">
        <v>39</v>
      </c>
      <c r="J1836" s="36">
        <v>5714.29</v>
      </c>
      <c r="K1836" s="36">
        <v>3523.88</v>
      </c>
      <c r="L1836" s="36">
        <f t="shared" si="140"/>
        <v>-2190.41</v>
      </c>
      <c r="M1836" s="37">
        <f t="shared" si="141"/>
        <v>-0.38332146250890309</v>
      </c>
      <c r="N1836" s="17" t="str">
        <f t="shared" si="142"/>
        <v>Under Budget</v>
      </c>
      <c r="O1836" s="38">
        <f t="shared" si="143"/>
        <v>-3523.88</v>
      </c>
      <c r="P1836" s="39">
        <f t="shared" si="144"/>
        <v>45870</v>
      </c>
    </row>
    <row r="1837" spans="1:16" ht="15.5" x14ac:dyDescent="0.35">
      <c r="A1837" s="17" t="s">
        <v>1885</v>
      </c>
      <c r="B1837" s="35">
        <v>45977</v>
      </c>
      <c r="C1837" s="17" t="s">
        <v>12</v>
      </c>
      <c r="D1837" s="17" t="s">
        <v>13</v>
      </c>
      <c r="E1837" s="17" t="s">
        <v>74</v>
      </c>
      <c r="F1837" s="17" t="s">
        <v>15</v>
      </c>
      <c r="G1837" s="17" t="s">
        <v>38</v>
      </c>
      <c r="H1837" s="17" t="s">
        <v>2596</v>
      </c>
      <c r="I1837" s="17" t="s">
        <v>39</v>
      </c>
      <c r="J1837" s="36">
        <v>4666.67</v>
      </c>
      <c r="K1837" s="36">
        <v>2454.8200000000002</v>
      </c>
      <c r="L1837" s="36">
        <f t="shared" si="140"/>
        <v>-2211.85</v>
      </c>
      <c r="M1837" s="37">
        <f t="shared" si="141"/>
        <v>-0.47396751859462954</v>
      </c>
      <c r="N1837" s="17" t="str">
        <f t="shared" si="142"/>
        <v>Under Budget</v>
      </c>
      <c r="O1837" s="38">
        <f t="shared" si="143"/>
        <v>-2454.8200000000002</v>
      </c>
      <c r="P1837" s="39">
        <f t="shared" si="144"/>
        <v>45962</v>
      </c>
    </row>
    <row r="1838" spans="1:16" ht="15.5" x14ac:dyDescent="0.35">
      <c r="A1838" s="17" t="s">
        <v>1886</v>
      </c>
      <c r="B1838" s="35">
        <v>45714</v>
      </c>
      <c r="C1838" s="17" t="s">
        <v>12</v>
      </c>
      <c r="D1838" s="17" t="s">
        <v>36</v>
      </c>
      <c r="E1838" s="17" t="s">
        <v>74</v>
      </c>
      <c r="F1838" s="17" t="s">
        <v>52</v>
      </c>
      <c r="G1838" s="17" t="s">
        <v>16</v>
      </c>
      <c r="H1838" s="17" t="s">
        <v>2586</v>
      </c>
      <c r="I1838" s="17" t="s">
        <v>39</v>
      </c>
      <c r="J1838" s="36">
        <v>5542.86</v>
      </c>
      <c r="K1838" s="36">
        <v>4397.45</v>
      </c>
      <c r="L1838" s="36">
        <f t="shared" si="140"/>
        <v>-1145.4099999999999</v>
      </c>
      <c r="M1838" s="37">
        <f t="shared" si="141"/>
        <v>-0.20664602750204766</v>
      </c>
      <c r="N1838" s="17" t="str">
        <f t="shared" si="142"/>
        <v>Under Budget</v>
      </c>
      <c r="O1838" s="38">
        <f t="shared" si="143"/>
        <v>-4397.45</v>
      </c>
      <c r="P1838" s="39">
        <f t="shared" si="144"/>
        <v>45689</v>
      </c>
    </row>
    <row r="1839" spans="1:16" ht="15.5" x14ac:dyDescent="0.35">
      <c r="A1839" s="17" t="s">
        <v>1887</v>
      </c>
      <c r="B1839" s="35">
        <v>45789</v>
      </c>
      <c r="C1839" s="17" t="s">
        <v>12</v>
      </c>
      <c r="D1839" s="17" t="s">
        <v>2585</v>
      </c>
      <c r="E1839" s="17" t="s">
        <v>37</v>
      </c>
      <c r="F1839" s="17" t="s">
        <v>34</v>
      </c>
      <c r="G1839" s="17" t="s">
        <v>22</v>
      </c>
      <c r="H1839" s="17" t="s">
        <v>2593</v>
      </c>
      <c r="I1839" s="17" t="s">
        <v>23</v>
      </c>
      <c r="J1839" s="36">
        <v>4000</v>
      </c>
      <c r="K1839" s="36">
        <v>3402.2</v>
      </c>
      <c r="L1839" s="36">
        <f t="shared" si="140"/>
        <v>-597.80000000000018</v>
      </c>
      <c r="M1839" s="37">
        <f t="shared" si="141"/>
        <v>-0.14945000000000006</v>
      </c>
      <c r="N1839" s="17" t="str">
        <f t="shared" si="142"/>
        <v>Under Budget</v>
      </c>
      <c r="O1839" s="38">
        <f t="shared" si="143"/>
        <v>-3402.2</v>
      </c>
      <c r="P1839" s="39">
        <f t="shared" si="144"/>
        <v>45778</v>
      </c>
    </row>
    <row r="1840" spans="1:16" ht="15.5" x14ac:dyDescent="0.35">
      <c r="A1840" s="17" t="s">
        <v>1888</v>
      </c>
      <c r="B1840" s="35">
        <v>45989</v>
      </c>
      <c r="C1840" s="17" t="s">
        <v>25</v>
      </c>
      <c r="D1840" s="17" t="s">
        <v>32</v>
      </c>
      <c r="E1840" s="17" t="s">
        <v>33</v>
      </c>
      <c r="F1840" s="17" t="s">
        <v>34</v>
      </c>
      <c r="G1840" s="17" t="s">
        <v>38</v>
      </c>
      <c r="H1840" s="17" t="s">
        <v>2593</v>
      </c>
      <c r="I1840" s="17" t="s">
        <v>39</v>
      </c>
      <c r="J1840" s="36">
        <v>13125</v>
      </c>
      <c r="K1840" s="36">
        <v>13446.12</v>
      </c>
      <c r="L1840" s="36">
        <f t="shared" si="140"/>
        <v>321.1200000000008</v>
      </c>
      <c r="M1840" s="37">
        <f t="shared" si="141"/>
        <v>2.4466285714285774E-2</v>
      </c>
      <c r="N1840" s="17" t="str">
        <f t="shared" si="142"/>
        <v>Over Budget</v>
      </c>
      <c r="O1840" s="38">
        <f t="shared" si="143"/>
        <v>13446.12</v>
      </c>
      <c r="P1840" s="39">
        <f t="shared" si="144"/>
        <v>45962</v>
      </c>
    </row>
    <row r="1841" spans="1:16" ht="15.5" x14ac:dyDescent="0.35">
      <c r="A1841" s="17" t="s">
        <v>1889</v>
      </c>
      <c r="B1841" s="35">
        <v>45827</v>
      </c>
      <c r="C1841" s="17" t="s">
        <v>25</v>
      </c>
      <c r="D1841" s="17" t="s">
        <v>32</v>
      </c>
      <c r="E1841" s="17" t="s">
        <v>109</v>
      </c>
      <c r="F1841" s="17" t="s">
        <v>21</v>
      </c>
      <c r="G1841" s="17" t="s">
        <v>38</v>
      </c>
      <c r="H1841" s="17" t="s">
        <v>80</v>
      </c>
      <c r="I1841" s="17" t="s">
        <v>48</v>
      </c>
      <c r="J1841" s="36">
        <v>6250</v>
      </c>
      <c r="K1841" s="36">
        <v>9795.08</v>
      </c>
      <c r="L1841" s="36">
        <f t="shared" si="140"/>
        <v>3545.08</v>
      </c>
      <c r="M1841" s="37">
        <f t="shared" si="141"/>
        <v>0.56721279999999996</v>
      </c>
      <c r="N1841" s="17" t="str">
        <f t="shared" si="142"/>
        <v>Over Budget</v>
      </c>
      <c r="O1841" s="38">
        <f t="shared" si="143"/>
        <v>9795.08</v>
      </c>
      <c r="P1841" s="39">
        <f t="shared" si="144"/>
        <v>45809</v>
      </c>
    </row>
    <row r="1842" spans="1:16" ht="15.5" x14ac:dyDescent="0.35">
      <c r="A1842" s="17" t="s">
        <v>1890</v>
      </c>
      <c r="B1842" s="35">
        <v>45960</v>
      </c>
      <c r="C1842" s="17" t="s">
        <v>25</v>
      </c>
      <c r="D1842" s="17" t="s">
        <v>26</v>
      </c>
      <c r="E1842" s="17" t="s">
        <v>109</v>
      </c>
      <c r="F1842" s="17" t="s">
        <v>21</v>
      </c>
      <c r="G1842" s="17" t="s">
        <v>22</v>
      </c>
      <c r="H1842" s="17" t="s">
        <v>80</v>
      </c>
      <c r="I1842" s="17" t="s">
        <v>23</v>
      </c>
      <c r="J1842" s="36">
        <v>7692.31</v>
      </c>
      <c r="K1842" s="36">
        <v>3364.53</v>
      </c>
      <c r="L1842" s="36">
        <f t="shared" si="140"/>
        <v>-4327.7800000000007</v>
      </c>
      <c r="M1842" s="37">
        <f t="shared" si="141"/>
        <v>-0.5626112312166307</v>
      </c>
      <c r="N1842" s="17" t="str">
        <f t="shared" si="142"/>
        <v>Under Budget</v>
      </c>
      <c r="O1842" s="38">
        <f t="shared" si="143"/>
        <v>3364.53</v>
      </c>
      <c r="P1842" s="39">
        <f t="shared" si="144"/>
        <v>45931</v>
      </c>
    </row>
    <row r="1843" spans="1:16" ht="15.5" x14ac:dyDescent="0.35">
      <c r="A1843" s="17" t="s">
        <v>1891</v>
      </c>
      <c r="B1843" s="35">
        <v>46084</v>
      </c>
      <c r="C1843" s="17" t="s">
        <v>12</v>
      </c>
      <c r="D1843" s="17" t="s">
        <v>26</v>
      </c>
      <c r="E1843" s="17" t="s">
        <v>41</v>
      </c>
      <c r="F1843" s="17" t="s">
        <v>21</v>
      </c>
      <c r="G1843" s="17" t="s">
        <v>43</v>
      </c>
      <c r="H1843" s="17" t="s">
        <v>60</v>
      </c>
      <c r="I1843" s="17" t="s">
        <v>23</v>
      </c>
      <c r="J1843" s="36">
        <v>6500</v>
      </c>
      <c r="K1843" s="36">
        <v>3803.24</v>
      </c>
      <c r="L1843" s="36">
        <f t="shared" si="140"/>
        <v>-2696.76</v>
      </c>
      <c r="M1843" s="37">
        <f t="shared" si="141"/>
        <v>-0.4148861538461539</v>
      </c>
      <c r="N1843" s="17" t="str">
        <f t="shared" si="142"/>
        <v>Under Budget</v>
      </c>
      <c r="O1843" s="38">
        <f t="shared" si="143"/>
        <v>-3803.24</v>
      </c>
      <c r="P1843" s="39">
        <f t="shared" si="144"/>
        <v>46082</v>
      </c>
    </row>
    <row r="1844" spans="1:16" ht="15.5" x14ac:dyDescent="0.35">
      <c r="A1844" s="17" t="s">
        <v>1892</v>
      </c>
      <c r="B1844" s="35">
        <v>45705</v>
      </c>
      <c r="C1844" s="17" t="s">
        <v>12</v>
      </c>
      <c r="D1844" s="17" t="s">
        <v>2583</v>
      </c>
      <c r="E1844" s="17" t="s">
        <v>65</v>
      </c>
      <c r="F1844" s="17" t="s">
        <v>34</v>
      </c>
      <c r="G1844" s="17" t="s">
        <v>16</v>
      </c>
      <c r="H1844" s="17" t="s">
        <v>2586</v>
      </c>
      <c r="I1844" s="17" t="s">
        <v>39</v>
      </c>
      <c r="J1844" s="36">
        <v>7621.43</v>
      </c>
      <c r="K1844" s="36">
        <v>5666.01</v>
      </c>
      <c r="L1844" s="36">
        <f t="shared" si="140"/>
        <v>-1955.42</v>
      </c>
      <c r="M1844" s="37">
        <f t="shared" si="141"/>
        <v>-0.25656864919050626</v>
      </c>
      <c r="N1844" s="17" t="str">
        <f t="shared" si="142"/>
        <v>Under Budget</v>
      </c>
      <c r="O1844" s="38">
        <f t="shared" si="143"/>
        <v>-5666.01</v>
      </c>
      <c r="P1844" s="39">
        <f t="shared" si="144"/>
        <v>45689</v>
      </c>
    </row>
    <row r="1845" spans="1:16" ht="15.5" x14ac:dyDescent="0.35">
      <c r="A1845" s="17" t="s">
        <v>1893</v>
      </c>
      <c r="B1845" s="35">
        <v>45996</v>
      </c>
      <c r="C1845" s="17" t="s">
        <v>12</v>
      </c>
      <c r="D1845" s="17" t="s">
        <v>2584</v>
      </c>
      <c r="E1845" s="17" t="s">
        <v>65</v>
      </c>
      <c r="F1845" s="17" t="s">
        <v>15</v>
      </c>
      <c r="G1845" s="17" t="s">
        <v>38</v>
      </c>
      <c r="H1845" s="17" t="s">
        <v>60</v>
      </c>
      <c r="I1845" s="17" t="s">
        <v>23</v>
      </c>
      <c r="J1845" s="36">
        <v>4125</v>
      </c>
      <c r="K1845" s="36">
        <v>8628.7999999999993</v>
      </c>
      <c r="L1845" s="36">
        <f t="shared" si="140"/>
        <v>4503.7999999999993</v>
      </c>
      <c r="M1845" s="37">
        <f t="shared" si="141"/>
        <v>1.0918303030303029</v>
      </c>
      <c r="N1845" s="17" t="str">
        <f t="shared" si="142"/>
        <v>Over Budget</v>
      </c>
      <c r="O1845" s="38">
        <f t="shared" si="143"/>
        <v>-8628.7999999999993</v>
      </c>
      <c r="P1845" s="39">
        <f t="shared" si="144"/>
        <v>45992</v>
      </c>
    </row>
    <row r="1846" spans="1:16" ht="15.5" x14ac:dyDescent="0.35">
      <c r="A1846" s="17" t="s">
        <v>1894</v>
      </c>
      <c r="B1846" s="35">
        <v>46013</v>
      </c>
      <c r="C1846" s="17" t="s">
        <v>12</v>
      </c>
      <c r="D1846" s="17" t="s">
        <v>19</v>
      </c>
      <c r="E1846" s="17" t="s">
        <v>74</v>
      </c>
      <c r="F1846" s="17" t="s">
        <v>15</v>
      </c>
      <c r="G1846" s="17" t="s">
        <v>38</v>
      </c>
      <c r="H1846" s="17" t="s">
        <v>2594</v>
      </c>
      <c r="I1846" s="17" t="s">
        <v>48</v>
      </c>
      <c r="J1846" s="36">
        <v>8400</v>
      </c>
      <c r="K1846" s="36">
        <v>1762.89</v>
      </c>
      <c r="L1846" s="36">
        <f t="shared" si="140"/>
        <v>-6637.11</v>
      </c>
      <c r="M1846" s="37">
        <f t="shared" si="141"/>
        <v>-0.79013214285714284</v>
      </c>
      <c r="N1846" s="17" t="str">
        <f t="shared" si="142"/>
        <v>Under Budget</v>
      </c>
      <c r="O1846" s="38">
        <f t="shared" si="143"/>
        <v>-1762.89</v>
      </c>
      <c r="P1846" s="39">
        <f t="shared" si="144"/>
        <v>45992</v>
      </c>
    </row>
    <row r="1847" spans="1:16" ht="15.5" x14ac:dyDescent="0.35">
      <c r="A1847" s="17" t="s">
        <v>1895</v>
      </c>
      <c r="B1847" s="35">
        <v>46148</v>
      </c>
      <c r="C1847" s="17" t="s">
        <v>12</v>
      </c>
      <c r="D1847" s="17" t="s">
        <v>26</v>
      </c>
      <c r="E1847" s="17" t="s">
        <v>47</v>
      </c>
      <c r="F1847" s="17" t="s">
        <v>21</v>
      </c>
      <c r="G1847" s="17" t="s">
        <v>38</v>
      </c>
      <c r="H1847" s="17" t="s">
        <v>2594</v>
      </c>
      <c r="I1847" s="17" t="s">
        <v>48</v>
      </c>
      <c r="J1847" s="36">
        <v>2692.31</v>
      </c>
      <c r="K1847" s="36">
        <v>1102.32</v>
      </c>
      <c r="L1847" s="36">
        <f t="shared" si="140"/>
        <v>-1589.99</v>
      </c>
      <c r="M1847" s="37">
        <f t="shared" si="141"/>
        <v>-0.59056720808525021</v>
      </c>
      <c r="N1847" s="17" t="str">
        <f t="shared" si="142"/>
        <v>Under Budget</v>
      </c>
      <c r="O1847" s="38">
        <f t="shared" si="143"/>
        <v>-1102.32</v>
      </c>
      <c r="P1847" s="39">
        <f t="shared" si="144"/>
        <v>46143</v>
      </c>
    </row>
    <row r="1848" spans="1:16" ht="15.5" x14ac:dyDescent="0.35">
      <c r="A1848" s="17" t="s">
        <v>1896</v>
      </c>
      <c r="B1848" s="35">
        <v>46058</v>
      </c>
      <c r="C1848" s="17" t="s">
        <v>25</v>
      </c>
      <c r="D1848" s="17" t="s">
        <v>2584</v>
      </c>
      <c r="E1848" s="17" t="s">
        <v>33</v>
      </c>
      <c r="F1848" s="17" t="s">
        <v>28</v>
      </c>
      <c r="G1848" s="17" t="s">
        <v>16</v>
      </c>
      <c r="H1848" s="17" t="s">
        <v>2593</v>
      </c>
      <c r="I1848" s="17" t="s">
        <v>23</v>
      </c>
      <c r="J1848" s="36">
        <v>12125</v>
      </c>
      <c r="K1848" s="36">
        <v>11618.11</v>
      </c>
      <c r="L1848" s="36">
        <f t="shared" si="140"/>
        <v>-506.88999999999942</v>
      </c>
      <c r="M1848" s="37">
        <f t="shared" si="141"/>
        <v>-4.1805360824742219E-2</v>
      </c>
      <c r="N1848" s="17" t="str">
        <f t="shared" si="142"/>
        <v>Under Budget</v>
      </c>
      <c r="O1848" s="38">
        <f t="shared" si="143"/>
        <v>11618.11</v>
      </c>
      <c r="P1848" s="39">
        <f t="shared" si="144"/>
        <v>46054</v>
      </c>
    </row>
    <row r="1849" spans="1:16" ht="15.5" x14ac:dyDescent="0.35">
      <c r="A1849" s="17" t="s">
        <v>1897</v>
      </c>
      <c r="B1849" s="35">
        <v>45794</v>
      </c>
      <c r="C1849" s="17" t="s">
        <v>25</v>
      </c>
      <c r="D1849" s="17" t="s">
        <v>32</v>
      </c>
      <c r="E1849" s="17" t="s">
        <v>27</v>
      </c>
      <c r="F1849" s="17" t="s">
        <v>34</v>
      </c>
      <c r="G1849" s="17" t="s">
        <v>22</v>
      </c>
      <c r="H1849" s="17" t="s">
        <v>2586</v>
      </c>
      <c r="I1849" s="17" t="s">
        <v>30</v>
      </c>
      <c r="J1849" s="36">
        <v>10000</v>
      </c>
      <c r="K1849" s="36">
        <v>4497.6400000000003</v>
      </c>
      <c r="L1849" s="36">
        <f t="shared" si="140"/>
        <v>-5502.36</v>
      </c>
      <c r="M1849" s="37">
        <f t="shared" si="141"/>
        <v>-0.55023599999999995</v>
      </c>
      <c r="N1849" s="17" t="str">
        <f t="shared" si="142"/>
        <v>Under Budget</v>
      </c>
      <c r="O1849" s="38">
        <f t="shared" si="143"/>
        <v>4497.6400000000003</v>
      </c>
      <c r="P1849" s="39">
        <f t="shared" si="144"/>
        <v>45778</v>
      </c>
    </row>
    <row r="1850" spans="1:16" ht="15.5" x14ac:dyDescent="0.35">
      <c r="A1850" s="17" t="s">
        <v>1898</v>
      </c>
      <c r="B1850" s="35">
        <v>45935</v>
      </c>
      <c r="C1850" s="17" t="s">
        <v>12</v>
      </c>
      <c r="D1850" s="17" t="s">
        <v>19</v>
      </c>
      <c r="E1850" s="17" t="s">
        <v>14</v>
      </c>
      <c r="F1850" s="17" t="s">
        <v>34</v>
      </c>
      <c r="G1850" s="17" t="s">
        <v>16</v>
      </c>
      <c r="H1850" s="17" t="s">
        <v>2587</v>
      </c>
      <c r="I1850" s="17" t="s">
        <v>17</v>
      </c>
      <c r="J1850" s="36">
        <v>2666.67</v>
      </c>
      <c r="K1850" s="36">
        <v>3563.66</v>
      </c>
      <c r="L1850" s="36">
        <f t="shared" si="140"/>
        <v>896.98999999999978</v>
      </c>
      <c r="M1850" s="37">
        <f t="shared" si="141"/>
        <v>0.33637082953646297</v>
      </c>
      <c r="N1850" s="17" t="str">
        <f t="shared" si="142"/>
        <v>Over Budget</v>
      </c>
      <c r="O1850" s="38">
        <f t="shared" si="143"/>
        <v>-3563.66</v>
      </c>
      <c r="P1850" s="39">
        <f t="shared" si="144"/>
        <v>45931</v>
      </c>
    </row>
    <row r="1851" spans="1:16" ht="15.5" x14ac:dyDescent="0.35">
      <c r="A1851" s="17" t="s">
        <v>1899</v>
      </c>
      <c r="B1851" s="35">
        <v>45967</v>
      </c>
      <c r="C1851" s="17" t="s">
        <v>12</v>
      </c>
      <c r="D1851" s="17" t="s">
        <v>2585</v>
      </c>
      <c r="E1851" s="17" t="s">
        <v>20</v>
      </c>
      <c r="F1851" s="17" t="s">
        <v>52</v>
      </c>
      <c r="G1851" s="17" t="s">
        <v>16</v>
      </c>
      <c r="H1851" s="17" t="s">
        <v>80</v>
      </c>
      <c r="I1851" s="17" t="s">
        <v>39</v>
      </c>
      <c r="J1851" s="36">
        <v>1890</v>
      </c>
      <c r="K1851" s="36">
        <v>895.66</v>
      </c>
      <c r="L1851" s="36">
        <f t="shared" si="140"/>
        <v>-994.34</v>
      </c>
      <c r="M1851" s="37">
        <f t="shared" si="141"/>
        <v>-0.52610582010582008</v>
      </c>
      <c r="N1851" s="17" t="str">
        <f t="shared" si="142"/>
        <v>Under Budget</v>
      </c>
      <c r="O1851" s="38">
        <f t="shared" si="143"/>
        <v>-895.66</v>
      </c>
      <c r="P1851" s="39">
        <f t="shared" si="144"/>
        <v>45962</v>
      </c>
    </row>
    <row r="1852" spans="1:16" ht="15.5" x14ac:dyDescent="0.35">
      <c r="A1852" s="17" t="s">
        <v>1900</v>
      </c>
      <c r="B1852" s="35">
        <v>45845</v>
      </c>
      <c r="C1852" s="17" t="s">
        <v>12</v>
      </c>
      <c r="D1852" s="17" t="s">
        <v>36</v>
      </c>
      <c r="E1852" s="17" t="s">
        <v>65</v>
      </c>
      <c r="F1852" s="17" t="s">
        <v>21</v>
      </c>
      <c r="G1852" s="17" t="s">
        <v>22</v>
      </c>
      <c r="H1852" s="17" t="s">
        <v>2597</v>
      </c>
      <c r="I1852" s="17" t="s">
        <v>23</v>
      </c>
      <c r="J1852" s="36">
        <v>3437.5</v>
      </c>
      <c r="K1852" s="36">
        <v>5577.32</v>
      </c>
      <c r="L1852" s="36">
        <f t="shared" si="140"/>
        <v>2139.8199999999997</v>
      </c>
      <c r="M1852" s="37">
        <f t="shared" si="141"/>
        <v>0.62249309090909077</v>
      </c>
      <c r="N1852" s="17" t="str">
        <f t="shared" si="142"/>
        <v>Over Budget</v>
      </c>
      <c r="O1852" s="38">
        <f t="shared" si="143"/>
        <v>-5577.32</v>
      </c>
      <c r="P1852" s="39">
        <f t="shared" si="144"/>
        <v>45839</v>
      </c>
    </row>
    <row r="1853" spans="1:16" ht="15.5" x14ac:dyDescent="0.35">
      <c r="A1853" s="17" t="s">
        <v>1901</v>
      </c>
      <c r="B1853" s="35">
        <v>46092</v>
      </c>
      <c r="C1853" s="17" t="s">
        <v>25</v>
      </c>
      <c r="D1853" s="17" t="s">
        <v>32</v>
      </c>
      <c r="E1853" s="17" t="s">
        <v>27</v>
      </c>
      <c r="F1853" s="17" t="s">
        <v>52</v>
      </c>
      <c r="G1853" s="17" t="s">
        <v>38</v>
      </c>
      <c r="H1853" s="17" t="s">
        <v>2588</v>
      </c>
      <c r="I1853" s="17" t="s">
        <v>48</v>
      </c>
      <c r="J1853" s="36">
        <v>10000</v>
      </c>
      <c r="K1853" s="36">
        <v>6980.95</v>
      </c>
      <c r="L1853" s="36">
        <f t="shared" si="140"/>
        <v>-3019.05</v>
      </c>
      <c r="M1853" s="37">
        <f t="shared" si="141"/>
        <v>-0.30190500000000003</v>
      </c>
      <c r="N1853" s="17" t="str">
        <f t="shared" si="142"/>
        <v>Under Budget</v>
      </c>
      <c r="O1853" s="38">
        <f t="shared" si="143"/>
        <v>6980.95</v>
      </c>
      <c r="P1853" s="39">
        <f t="shared" si="144"/>
        <v>46082</v>
      </c>
    </row>
    <row r="1854" spans="1:16" ht="15.5" x14ac:dyDescent="0.35">
      <c r="A1854" s="17" t="s">
        <v>1902</v>
      </c>
      <c r="B1854" s="35">
        <v>45950</v>
      </c>
      <c r="C1854" s="17" t="s">
        <v>12</v>
      </c>
      <c r="D1854" s="17" t="s">
        <v>26</v>
      </c>
      <c r="E1854" s="17" t="s">
        <v>47</v>
      </c>
      <c r="F1854" s="17" t="s">
        <v>34</v>
      </c>
      <c r="G1854" s="17" t="s">
        <v>38</v>
      </c>
      <c r="H1854" s="17" t="s">
        <v>2586</v>
      </c>
      <c r="I1854" s="17" t="s">
        <v>30</v>
      </c>
      <c r="J1854" s="36">
        <v>3500</v>
      </c>
      <c r="K1854" s="36">
        <v>318.32</v>
      </c>
      <c r="L1854" s="36">
        <f t="shared" si="140"/>
        <v>-3181.68</v>
      </c>
      <c r="M1854" s="37">
        <f t="shared" si="141"/>
        <v>-0.90905142857142851</v>
      </c>
      <c r="N1854" s="17" t="str">
        <f t="shared" si="142"/>
        <v>Under Budget</v>
      </c>
      <c r="O1854" s="38">
        <f t="shared" si="143"/>
        <v>-318.32</v>
      </c>
      <c r="P1854" s="39">
        <f t="shared" si="144"/>
        <v>45931</v>
      </c>
    </row>
    <row r="1855" spans="1:16" ht="15.5" x14ac:dyDescent="0.35">
      <c r="A1855" s="17" t="s">
        <v>1903</v>
      </c>
      <c r="B1855" s="35">
        <v>45789</v>
      </c>
      <c r="C1855" s="17" t="s">
        <v>12</v>
      </c>
      <c r="D1855" s="17" t="s">
        <v>36</v>
      </c>
      <c r="E1855" s="17" t="s">
        <v>14</v>
      </c>
      <c r="F1855" s="17" t="s">
        <v>15</v>
      </c>
      <c r="G1855" s="17" t="s">
        <v>22</v>
      </c>
      <c r="H1855" s="17" t="s">
        <v>2595</v>
      </c>
      <c r="I1855" s="17" t="s">
        <v>39</v>
      </c>
      <c r="J1855" s="36">
        <v>2909.09</v>
      </c>
      <c r="K1855" s="36">
        <v>3169.8</v>
      </c>
      <c r="L1855" s="36">
        <f t="shared" si="140"/>
        <v>260.71000000000004</v>
      </c>
      <c r="M1855" s="37">
        <f t="shared" si="141"/>
        <v>8.9619090505965796E-2</v>
      </c>
      <c r="N1855" s="17" t="str">
        <f t="shared" si="142"/>
        <v>Over Budget</v>
      </c>
      <c r="O1855" s="38">
        <f t="shared" si="143"/>
        <v>-3169.8</v>
      </c>
      <c r="P1855" s="39">
        <f t="shared" si="144"/>
        <v>45778</v>
      </c>
    </row>
    <row r="1856" spans="1:16" ht="15.5" x14ac:dyDescent="0.35">
      <c r="A1856" s="17" t="s">
        <v>1904</v>
      </c>
      <c r="B1856" s="35">
        <v>46016</v>
      </c>
      <c r="C1856" s="17" t="s">
        <v>25</v>
      </c>
      <c r="D1856" s="17" t="s">
        <v>32</v>
      </c>
      <c r="E1856" s="17" t="s">
        <v>27</v>
      </c>
      <c r="F1856" s="17" t="s">
        <v>28</v>
      </c>
      <c r="G1856" s="17" t="s">
        <v>22</v>
      </c>
      <c r="H1856" s="17" t="s">
        <v>80</v>
      </c>
      <c r="I1856" s="17" t="s">
        <v>23</v>
      </c>
      <c r="J1856" s="36">
        <v>9333.33</v>
      </c>
      <c r="K1856" s="36">
        <v>4784.96</v>
      </c>
      <c r="L1856" s="36">
        <f t="shared" si="140"/>
        <v>-4548.37</v>
      </c>
      <c r="M1856" s="37">
        <f t="shared" si="141"/>
        <v>-0.48732553118768968</v>
      </c>
      <c r="N1856" s="17" t="str">
        <f t="shared" si="142"/>
        <v>Under Budget</v>
      </c>
      <c r="O1856" s="38">
        <f t="shared" si="143"/>
        <v>4784.96</v>
      </c>
      <c r="P1856" s="39">
        <f t="shared" si="144"/>
        <v>45992</v>
      </c>
    </row>
    <row r="1857" spans="1:16" ht="15.5" x14ac:dyDescent="0.35">
      <c r="A1857" s="17" t="s">
        <v>1905</v>
      </c>
      <c r="B1857" s="35">
        <v>45869</v>
      </c>
      <c r="C1857" s="17" t="s">
        <v>12</v>
      </c>
      <c r="D1857" s="17" t="s">
        <v>2585</v>
      </c>
      <c r="E1857" s="17" t="s">
        <v>65</v>
      </c>
      <c r="F1857" s="17" t="s">
        <v>52</v>
      </c>
      <c r="G1857" s="17" t="s">
        <v>38</v>
      </c>
      <c r="H1857" s="17" t="s">
        <v>2597</v>
      </c>
      <c r="I1857" s="17" t="s">
        <v>48</v>
      </c>
      <c r="J1857" s="36">
        <v>3437.5</v>
      </c>
      <c r="K1857" s="36">
        <v>629.82000000000005</v>
      </c>
      <c r="L1857" s="36">
        <f t="shared" si="140"/>
        <v>-2807.68</v>
      </c>
      <c r="M1857" s="37">
        <f t="shared" si="141"/>
        <v>-0.81677963636363626</v>
      </c>
      <c r="N1857" s="17" t="str">
        <f t="shared" si="142"/>
        <v>Under Budget</v>
      </c>
      <c r="O1857" s="38">
        <f t="shared" si="143"/>
        <v>-629.82000000000005</v>
      </c>
      <c r="P1857" s="39">
        <f t="shared" si="144"/>
        <v>45839</v>
      </c>
    </row>
    <row r="1858" spans="1:16" ht="15.5" x14ac:dyDescent="0.35">
      <c r="A1858" s="17" t="s">
        <v>1906</v>
      </c>
      <c r="B1858" s="35">
        <v>46167</v>
      </c>
      <c r="C1858" s="17" t="s">
        <v>25</v>
      </c>
      <c r="D1858" s="17" t="s">
        <v>2585</v>
      </c>
      <c r="E1858" s="17" t="s">
        <v>109</v>
      </c>
      <c r="F1858" s="17" t="s">
        <v>52</v>
      </c>
      <c r="G1858" s="17" t="s">
        <v>82</v>
      </c>
      <c r="H1858" s="17" t="s">
        <v>2598</v>
      </c>
      <c r="I1858" s="17" t="s">
        <v>39</v>
      </c>
      <c r="J1858" s="36">
        <v>5882.35</v>
      </c>
      <c r="K1858" s="36">
        <v>12492.19</v>
      </c>
      <c r="L1858" s="36">
        <f t="shared" si="140"/>
        <v>6609.84</v>
      </c>
      <c r="M1858" s="37">
        <f t="shared" si="141"/>
        <v>1.123673361836681</v>
      </c>
      <c r="N1858" s="17" t="str">
        <f t="shared" si="142"/>
        <v>Over Budget</v>
      </c>
      <c r="O1858" s="38">
        <f t="shared" si="143"/>
        <v>12492.19</v>
      </c>
      <c r="P1858" s="39">
        <f t="shared" si="144"/>
        <v>46143</v>
      </c>
    </row>
    <row r="1859" spans="1:16" ht="15.5" x14ac:dyDescent="0.35">
      <c r="A1859" s="17" t="s">
        <v>1907</v>
      </c>
      <c r="B1859" s="35">
        <v>46076</v>
      </c>
      <c r="C1859" s="17" t="s">
        <v>25</v>
      </c>
      <c r="D1859" s="17" t="s">
        <v>32</v>
      </c>
      <c r="E1859" s="17" t="s">
        <v>33</v>
      </c>
      <c r="F1859" s="17" t="s">
        <v>34</v>
      </c>
      <c r="G1859" s="17" t="s">
        <v>38</v>
      </c>
      <c r="H1859" s="17" t="s">
        <v>2592</v>
      </c>
      <c r="I1859" s="17" t="s">
        <v>23</v>
      </c>
      <c r="J1859" s="36">
        <v>12125</v>
      </c>
      <c r="K1859" s="36">
        <v>6250.4</v>
      </c>
      <c r="L1859" s="36">
        <f t="shared" ref="L1859:L1922" si="145">K1859-J1859</f>
        <v>-5874.6</v>
      </c>
      <c r="M1859" s="37">
        <f t="shared" ref="M1859:M1922" si="146">IF(J1859=0,0,L1859/J1859)</f>
        <v>-0.48450309278350517</v>
      </c>
      <c r="N1859" s="17" t="str">
        <f t="shared" ref="N1859:N1922" si="147">IF(J1859=0,"No Budget",IF(K1859&gt;J1859,"Over Budget",IF(K1859&lt;J1859,"Under Budget","On Budget")))</f>
        <v>Under Budget</v>
      </c>
      <c r="O1859" s="38">
        <f t="shared" ref="O1859:O1922" si="148">IF(C1859="Revenue",K1859,-K1859)</f>
        <v>6250.4</v>
      </c>
      <c r="P1859" s="39">
        <f t="shared" ref="P1859:P1922" si="149">DATE(YEAR(B1859),MONTH(B1859),1)</f>
        <v>46054</v>
      </c>
    </row>
    <row r="1860" spans="1:16" ht="15.5" x14ac:dyDescent="0.35">
      <c r="A1860" s="17" t="s">
        <v>1908</v>
      </c>
      <c r="B1860" s="35">
        <v>45973</v>
      </c>
      <c r="C1860" s="17" t="s">
        <v>25</v>
      </c>
      <c r="D1860" s="17" t="s">
        <v>32</v>
      </c>
      <c r="E1860" s="17" t="s">
        <v>33</v>
      </c>
      <c r="F1860" s="17" t="s">
        <v>28</v>
      </c>
      <c r="G1860" s="17" t="s">
        <v>22</v>
      </c>
      <c r="H1860" s="17" t="s">
        <v>2593</v>
      </c>
      <c r="I1860" s="17" t="s">
        <v>30</v>
      </c>
      <c r="J1860" s="36">
        <v>13125</v>
      </c>
      <c r="K1860" s="36">
        <v>13742.36</v>
      </c>
      <c r="L1860" s="36">
        <f t="shared" si="145"/>
        <v>617.36000000000058</v>
      </c>
      <c r="M1860" s="37">
        <f t="shared" si="146"/>
        <v>4.7036952380952422E-2</v>
      </c>
      <c r="N1860" s="17" t="str">
        <f t="shared" si="147"/>
        <v>Over Budget</v>
      </c>
      <c r="O1860" s="38">
        <f t="shared" si="148"/>
        <v>13742.36</v>
      </c>
      <c r="P1860" s="39">
        <f t="shared" si="149"/>
        <v>45962</v>
      </c>
    </row>
    <row r="1861" spans="1:16" ht="15.5" x14ac:dyDescent="0.35">
      <c r="A1861" s="17" t="s">
        <v>1909</v>
      </c>
      <c r="B1861" s="35">
        <v>45879</v>
      </c>
      <c r="C1861" s="17" t="s">
        <v>12</v>
      </c>
      <c r="D1861" s="17" t="s">
        <v>13</v>
      </c>
      <c r="E1861" s="17" t="s">
        <v>20</v>
      </c>
      <c r="F1861" s="17" t="s">
        <v>34</v>
      </c>
      <c r="G1861" s="17" t="s">
        <v>38</v>
      </c>
      <c r="H1861" s="17" t="s">
        <v>80</v>
      </c>
      <c r="I1861" s="17" t="s">
        <v>17</v>
      </c>
      <c r="J1861" s="36">
        <v>3000</v>
      </c>
      <c r="K1861" s="36">
        <v>1665.49</v>
      </c>
      <c r="L1861" s="36">
        <f t="shared" si="145"/>
        <v>-1334.51</v>
      </c>
      <c r="M1861" s="37">
        <f t="shared" si="146"/>
        <v>-0.44483666666666666</v>
      </c>
      <c r="N1861" s="17" t="str">
        <f t="shared" si="147"/>
        <v>Under Budget</v>
      </c>
      <c r="O1861" s="38">
        <f t="shared" si="148"/>
        <v>-1665.49</v>
      </c>
      <c r="P1861" s="39">
        <f t="shared" si="149"/>
        <v>45870</v>
      </c>
    </row>
    <row r="1862" spans="1:16" ht="15.5" x14ac:dyDescent="0.35">
      <c r="A1862" s="17" t="s">
        <v>1910</v>
      </c>
      <c r="B1862" s="35">
        <v>45803</v>
      </c>
      <c r="C1862" s="17" t="s">
        <v>12</v>
      </c>
      <c r="D1862" s="17" t="s">
        <v>36</v>
      </c>
      <c r="E1862" s="17" t="s">
        <v>45</v>
      </c>
      <c r="F1862" s="17" t="s">
        <v>34</v>
      </c>
      <c r="G1862" s="17" t="s">
        <v>22</v>
      </c>
      <c r="H1862" s="17" t="s">
        <v>2597</v>
      </c>
      <c r="I1862" s="17" t="s">
        <v>30</v>
      </c>
      <c r="J1862" s="36">
        <v>7200</v>
      </c>
      <c r="K1862" s="36">
        <v>14245.36</v>
      </c>
      <c r="L1862" s="36">
        <f t="shared" si="145"/>
        <v>7045.3600000000006</v>
      </c>
      <c r="M1862" s="37">
        <f t="shared" si="146"/>
        <v>0.97852222222222229</v>
      </c>
      <c r="N1862" s="17" t="str">
        <f t="shared" si="147"/>
        <v>Over Budget</v>
      </c>
      <c r="O1862" s="38">
        <f t="shared" si="148"/>
        <v>-14245.36</v>
      </c>
      <c r="P1862" s="39">
        <f t="shared" si="149"/>
        <v>45778</v>
      </c>
    </row>
    <row r="1863" spans="1:16" ht="15.5" x14ac:dyDescent="0.35">
      <c r="A1863" s="17" t="s">
        <v>1911</v>
      </c>
      <c r="B1863" s="35">
        <v>45924</v>
      </c>
      <c r="C1863" s="17" t="s">
        <v>12</v>
      </c>
      <c r="D1863" s="17" t="s">
        <v>26</v>
      </c>
      <c r="E1863" s="17" t="s">
        <v>74</v>
      </c>
      <c r="F1863" s="17" t="s">
        <v>21</v>
      </c>
      <c r="G1863" s="17" t="s">
        <v>38</v>
      </c>
      <c r="H1863" s="17" t="s">
        <v>2596</v>
      </c>
      <c r="I1863" s="17" t="s">
        <v>30</v>
      </c>
      <c r="J1863" s="36">
        <v>5000</v>
      </c>
      <c r="K1863" s="36">
        <v>1153.32</v>
      </c>
      <c r="L1863" s="36">
        <f t="shared" si="145"/>
        <v>-3846.6800000000003</v>
      </c>
      <c r="M1863" s="37">
        <f t="shared" si="146"/>
        <v>-0.76933600000000002</v>
      </c>
      <c r="N1863" s="17" t="str">
        <f t="shared" si="147"/>
        <v>Under Budget</v>
      </c>
      <c r="O1863" s="38">
        <f t="shared" si="148"/>
        <v>-1153.32</v>
      </c>
      <c r="P1863" s="39">
        <f t="shared" si="149"/>
        <v>45901</v>
      </c>
    </row>
    <row r="1864" spans="1:16" ht="15.5" x14ac:dyDescent="0.35">
      <c r="A1864" s="17" t="s">
        <v>1912</v>
      </c>
      <c r="B1864" s="35">
        <v>45768</v>
      </c>
      <c r="C1864" s="17" t="s">
        <v>25</v>
      </c>
      <c r="D1864" s="17" t="s">
        <v>26</v>
      </c>
      <c r="E1864" s="17" t="s">
        <v>33</v>
      </c>
      <c r="F1864" s="17" t="s">
        <v>28</v>
      </c>
      <c r="G1864" s="17" t="s">
        <v>38</v>
      </c>
      <c r="H1864" s="17" t="s">
        <v>2597</v>
      </c>
      <c r="I1864" s="17" t="s">
        <v>48</v>
      </c>
      <c r="J1864" s="36">
        <v>11363.64</v>
      </c>
      <c r="K1864" s="36">
        <v>20863.86</v>
      </c>
      <c r="L1864" s="36">
        <f t="shared" si="145"/>
        <v>9500.2200000000012</v>
      </c>
      <c r="M1864" s="37">
        <f t="shared" si="146"/>
        <v>0.8360190924738905</v>
      </c>
      <c r="N1864" s="17" t="str">
        <f t="shared" si="147"/>
        <v>Over Budget</v>
      </c>
      <c r="O1864" s="38">
        <f t="shared" si="148"/>
        <v>20863.86</v>
      </c>
      <c r="P1864" s="39">
        <f t="shared" si="149"/>
        <v>45748</v>
      </c>
    </row>
    <row r="1865" spans="1:16" ht="15.5" x14ac:dyDescent="0.35">
      <c r="A1865" s="17" t="s">
        <v>1913</v>
      </c>
      <c r="B1865" s="35">
        <v>46148</v>
      </c>
      <c r="C1865" s="17" t="s">
        <v>12</v>
      </c>
      <c r="D1865" s="17" t="s">
        <v>36</v>
      </c>
      <c r="E1865" s="17" t="s">
        <v>77</v>
      </c>
      <c r="F1865" s="17" t="s">
        <v>34</v>
      </c>
      <c r="G1865" s="17" t="s">
        <v>38</v>
      </c>
      <c r="H1865" s="17" t="s">
        <v>2594</v>
      </c>
      <c r="I1865" s="17" t="s">
        <v>48</v>
      </c>
      <c r="J1865" s="36">
        <v>4400</v>
      </c>
      <c r="K1865" s="36">
        <v>1796.67</v>
      </c>
      <c r="L1865" s="36">
        <f t="shared" si="145"/>
        <v>-2603.33</v>
      </c>
      <c r="M1865" s="37">
        <f t="shared" si="146"/>
        <v>-0.5916659090909091</v>
      </c>
      <c r="N1865" s="17" t="str">
        <f t="shared" si="147"/>
        <v>Under Budget</v>
      </c>
      <c r="O1865" s="38">
        <f t="shared" si="148"/>
        <v>-1796.67</v>
      </c>
      <c r="P1865" s="39">
        <f t="shared" si="149"/>
        <v>46143</v>
      </c>
    </row>
    <row r="1866" spans="1:16" ht="15.5" x14ac:dyDescent="0.35">
      <c r="A1866" s="17" t="s">
        <v>1914</v>
      </c>
      <c r="B1866" s="35">
        <v>45732</v>
      </c>
      <c r="C1866" s="17" t="s">
        <v>12</v>
      </c>
      <c r="D1866" s="17" t="s">
        <v>26</v>
      </c>
      <c r="E1866" s="17" t="s">
        <v>45</v>
      </c>
      <c r="F1866" s="17" t="s">
        <v>52</v>
      </c>
      <c r="G1866" s="17" t="s">
        <v>16</v>
      </c>
      <c r="H1866" s="17" t="s">
        <v>2592</v>
      </c>
      <c r="I1866" s="17" t="s">
        <v>48</v>
      </c>
      <c r="J1866" s="36">
        <v>6000</v>
      </c>
      <c r="K1866" s="36">
        <v>14148.59</v>
      </c>
      <c r="L1866" s="36">
        <f t="shared" si="145"/>
        <v>8148.59</v>
      </c>
      <c r="M1866" s="37">
        <f t="shared" si="146"/>
        <v>1.3580983333333334</v>
      </c>
      <c r="N1866" s="17" t="str">
        <f t="shared" si="147"/>
        <v>Over Budget</v>
      </c>
      <c r="O1866" s="38">
        <f t="shared" si="148"/>
        <v>-14148.59</v>
      </c>
      <c r="P1866" s="39">
        <f t="shared" si="149"/>
        <v>45717</v>
      </c>
    </row>
    <row r="1867" spans="1:16" ht="15.5" x14ac:dyDescent="0.35">
      <c r="A1867" s="17" t="s">
        <v>1915</v>
      </c>
      <c r="B1867" s="35">
        <v>46121</v>
      </c>
      <c r="C1867" s="17" t="s">
        <v>12</v>
      </c>
      <c r="D1867" s="17" t="s">
        <v>26</v>
      </c>
      <c r="E1867" s="17" t="s">
        <v>20</v>
      </c>
      <c r="F1867" s="17" t="s">
        <v>34</v>
      </c>
      <c r="G1867" s="17" t="s">
        <v>22</v>
      </c>
      <c r="H1867" s="17" t="s">
        <v>2595</v>
      </c>
      <c r="I1867" s="17" t="s">
        <v>30</v>
      </c>
      <c r="J1867" s="36">
        <v>2250</v>
      </c>
      <c r="K1867" s="36">
        <v>233.81</v>
      </c>
      <c r="L1867" s="36">
        <f t="shared" si="145"/>
        <v>-2016.19</v>
      </c>
      <c r="M1867" s="37">
        <f t="shared" si="146"/>
        <v>-0.89608444444444446</v>
      </c>
      <c r="N1867" s="17" t="str">
        <f t="shared" si="147"/>
        <v>Under Budget</v>
      </c>
      <c r="O1867" s="38">
        <f t="shared" si="148"/>
        <v>-233.81</v>
      </c>
      <c r="P1867" s="39">
        <f t="shared" si="149"/>
        <v>46113</v>
      </c>
    </row>
    <row r="1868" spans="1:16" ht="15.5" x14ac:dyDescent="0.35">
      <c r="A1868" s="17" t="s">
        <v>1916</v>
      </c>
      <c r="B1868" s="35">
        <v>45949</v>
      </c>
      <c r="C1868" s="17" t="s">
        <v>12</v>
      </c>
      <c r="D1868" s="17" t="s">
        <v>36</v>
      </c>
      <c r="E1868" s="17" t="s">
        <v>65</v>
      </c>
      <c r="F1868" s="17" t="s">
        <v>52</v>
      </c>
      <c r="G1868" s="17" t="s">
        <v>82</v>
      </c>
      <c r="H1868" s="17" t="s">
        <v>2590</v>
      </c>
      <c r="I1868" s="17" t="s">
        <v>23</v>
      </c>
      <c r="J1868" s="36">
        <v>3928.57</v>
      </c>
      <c r="K1868" s="36">
        <v>7524.8</v>
      </c>
      <c r="L1868" s="36">
        <f t="shared" si="145"/>
        <v>3596.23</v>
      </c>
      <c r="M1868" s="37">
        <f t="shared" si="146"/>
        <v>0.91540433287430278</v>
      </c>
      <c r="N1868" s="17" t="str">
        <f t="shared" si="147"/>
        <v>Over Budget</v>
      </c>
      <c r="O1868" s="38">
        <f t="shared" si="148"/>
        <v>-7524.8</v>
      </c>
      <c r="P1868" s="39">
        <f t="shared" si="149"/>
        <v>45931</v>
      </c>
    </row>
    <row r="1869" spans="1:16" ht="15.5" x14ac:dyDescent="0.35">
      <c r="A1869" s="17" t="s">
        <v>1917</v>
      </c>
      <c r="B1869" s="35">
        <v>45702</v>
      </c>
      <c r="C1869" s="17" t="s">
        <v>25</v>
      </c>
      <c r="D1869" s="17" t="s">
        <v>32</v>
      </c>
      <c r="E1869" s="17" t="s">
        <v>27</v>
      </c>
      <c r="F1869" s="17" t="s">
        <v>15</v>
      </c>
      <c r="G1869" s="17" t="s">
        <v>43</v>
      </c>
      <c r="H1869" s="17" t="s">
        <v>2595</v>
      </c>
      <c r="I1869" s="17" t="s">
        <v>23</v>
      </c>
      <c r="J1869" s="36">
        <v>4850</v>
      </c>
      <c r="K1869" s="36">
        <v>4570.79</v>
      </c>
      <c r="L1869" s="36">
        <f t="shared" si="145"/>
        <v>-279.21000000000004</v>
      </c>
      <c r="M1869" s="37">
        <f t="shared" si="146"/>
        <v>-5.7569072164948464E-2</v>
      </c>
      <c r="N1869" s="17" t="str">
        <f t="shared" si="147"/>
        <v>Under Budget</v>
      </c>
      <c r="O1869" s="38">
        <f t="shared" si="148"/>
        <v>4570.79</v>
      </c>
      <c r="P1869" s="39">
        <f t="shared" si="149"/>
        <v>45689</v>
      </c>
    </row>
    <row r="1870" spans="1:16" ht="15.5" x14ac:dyDescent="0.35">
      <c r="A1870" s="17" t="s">
        <v>1918</v>
      </c>
      <c r="B1870" s="35">
        <v>45795</v>
      </c>
      <c r="C1870" s="17" t="s">
        <v>12</v>
      </c>
      <c r="D1870" s="17" t="s">
        <v>2584</v>
      </c>
      <c r="E1870" s="17" t="s">
        <v>45</v>
      </c>
      <c r="F1870" s="17" t="s">
        <v>28</v>
      </c>
      <c r="G1870" s="17" t="s">
        <v>16</v>
      </c>
      <c r="H1870" s="17" t="s">
        <v>2586</v>
      </c>
      <c r="I1870" s="17" t="s">
        <v>39</v>
      </c>
      <c r="J1870" s="36">
        <v>7200</v>
      </c>
      <c r="K1870" s="36">
        <v>14774.74</v>
      </c>
      <c r="L1870" s="36">
        <f t="shared" si="145"/>
        <v>7574.74</v>
      </c>
      <c r="M1870" s="37">
        <f t="shared" si="146"/>
        <v>1.0520472222222221</v>
      </c>
      <c r="N1870" s="17" t="str">
        <f t="shared" si="147"/>
        <v>Over Budget</v>
      </c>
      <c r="O1870" s="38">
        <f t="shared" si="148"/>
        <v>-14774.74</v>
      </c>
      <c r="P1870" s="39">
        <f t="shared" si="149"/>
        <v>45778</v>
      </c>
    </row>
    <row r="1871" spans="1:16" ht="15.5" x14ac:dyDescent="0.35">
      <c r="A1871" s="17" t="s">
        <v>1919</v>
      </c>
      <c r="B1871" s="35">
        <v>45716</v>
      </c>
      <c r="C1871" s="17" t="s">
        <v>25</v>
      </c>
      <c r="D1871" s="17" t="s">
        <v>32</v>
      </c>
      <c r="E1871" s="17" t="s">
        <v>109</v>
      </c>
      <c r="F1871" s="17" t="s">
        <v>28</v>
      </c>
      <c r="G1871" s="17" t="s">
        <v>82</v>
      </c>
      <c r="H1871" s="17" t="s">
        <v>2590</v>
      </c>
      <c r="I1871" s="17" t="s">
        <v>23</v>
      </c>
      <c r="J1871" s="36">
        <v>13857.14</v>
      </c>
      <c r="K1871" s="36">
        <v>3476.52</v>
      </c>
      <c r="L1871" s="36">
        <f t="shared" si="145"/>
        <v>-10380.619999999999</v>
      </c>
      <c r="M1871" s="37">
        <f t="shared" si="146"/>
        <v>-0.74911706167362091</v>
      </c>
      <c r="N1871" s="17" t="str">
        <f t="shared" si="147"/>
        <v>Under Budget</v>
      </c>
      <c r="O1871" s="38">
        <f t="shared" si="148"/>
        <v>3476.52</v>
      </c>
      <c r="P1871" s="39">
        <f t="shared" si="149"/>
        <v>45689</v>
      </c>
    </row>
    <row r="1872" spans="1:16" ht="15.5" x14ac:dyDescent="0.35">
      <c r="A1872" s="17" t="s">
        <v>1920</v>
      </c>
      <c r="B1872" s="35">
        <v>45662</v>
      </c>
      <c r="C1872" s="17" t="s">
        <v>25</v>
      </c>
      <c r="D1872" s="17" t="s">
        <v>19</v>
      </c>
      <c r="E1872" s="17" t="s">
        <v>33</v>
      </c>
      <c r="F1872" s="17" t="s">
        <v>21</v>
      </c>
      <c r="G1872" s="17" t="s">
        <v>16</v>
      </c>
      <c r="H1872" s="17" t="s">
        <v>2598</v>
      </c>
      <c r="I1872" s="17" t="s">
        <v>48</v>
      </c>
      <c r="J1872" s="36">
        <v>11022.73</v>
      </c>
      <c r="K1872" s="36">
        <v>13604.71</v>
      </c>
      <c r="L1872" s="36">
        <f t="shared" si="145"/>
        <v>2581.9799999999996</v>
      </c>
      <c r="M1872" s="37">
        <f t="shared" si="146"/>
        <v>0.2342414265794408</v>
      </c>
      <c r="N1872" s="17" t="str">
        <f t="shared" si="147"/>
        <v>Over Budget</v>
      </c>
      <c r="O1872" s="38">
        <f t="shared" si="148"/>
        <v>13604.71</v>
      </c>
      <c r="P1872" s="39">
        <f t="shared" si="149"/>
        <v>45658</v>
      </c>
    </row>
    <row r="1873" spans="1:16" ht="15.5" x14ac:dyDescent="0.35">
      <c r="A1873" s="17" t="s">
        <v>1921</v>
      </c>
      <c r="B1873" s="35">
        <v>46053</v>
      </c>
      <c r="C1873" s="17" t="s">
        <v>12</v>
      </c>
      <c r="D1873" s="17" t="s">
        <v>13</v>
      </c>
      <c r="E1873" s="17" t="s">
        <v>41</v>
      </c>
      <c r="F1873" s="17" t="s">
        <v>21</v>
      </c>
      <c r="G1873" s="17" t="s">
        <v>38</v>
      </c>
      <c r="H1873" s="17" t="s">
        <v>2586</v>
      </c>
      <c r="I1873" s="17" t="s">
        <v>17</v>
      </c>
      <c r="J1873" s="36">
        <v>6305</v>
      </c>
      <c r="K1873" s="36">
        <v>6606.22</v>
      </c>
      <c r="L1873" s="36">
        <f t="shared" si="145"/>
        <v>301.22000000000025</v>
      </c>
      <c r="M1873" s="37">
        <f t="shared" si="146"/>
        <v>4.7774781919111858E-2</v>
      </c>
      <c r="N1873" s="17" t="str">
        <f t="shared" si="147"/>
        <v>Over Budget</v>
      </c>
      <c r="O1873" s="38">
        <f t="shared" si="148"/>
        <v>-6606.22</v>
      </c>
      <c r="P1873" s="39">
        <f t="shared" si="149"/>
        <v>46023</v>
      </c>
    </row>
    <row r="1874" spans="1:16" ht="15.5" x14ac:dyDescent="0.35">
      <c r="A1874" s="17" t="s">
        <v>1922</v>
      </c>
      <c r="B1874" s="35">
        <v>46131</v>
      </c>
      <c r="C1874" s="17" t="s">
        <v>12</v>
      </c>
      <c r="D1874" s="17" t="s">
        <v>2585</v>
      </c>
      <c r="E1874" s="17" t="s">
        <v>14</v>
      </c>
      <c r="F1874" s="17" t="s">
        <v>21</v>
      </c>
      <c r="G1874" s="17" t="s">
        <v>29</v>
      </c>
      <c r="H1874" s="17" t="s">
        <v>2594</v>
      </c>
      <c r="I1874" s="17" t="s">
        <v>39</v>
      </c>
      <c r="J1874" s="36">
        <v>5333.33</v>
      </c>
      <c r="K1874" s="36">
        <v>325.23</v>
      </c>
      <c r="L1874" s="36">
        <f t="shared" si="145"/>
        <v>-5008.1000000000004</v>
      </c>
      <c r="M1874" s="37">
        <f t="shared" si="146"/>
        <v>-0.93901933688708561</v>
      </c>
      <c r="N1874" s="17" t="str">
        <f t="shared" si="147"/>
        <v>Under Budget</v>
      </c>
      <c r="O1874" s="38">
        <f t="shared" si="148"/>
        <v>-325.23</v>
      </c>
      <c r="P1874" s="39">
        <f t="shared" si="149"/>
        <v>46113</v>
      </c>
    </row>
    <row r="1875" spans="1:16" ht="15.5" x14ac:dyDescent="0.35">
      <c r="A1875" s="17" t="s">
        <v>1923</v>
      </c>
      <c r="B1875" s="35">
        <v>46098</v>
      </c>
      <c r="C1875" s="17" t="s">
        <v>12</v>
      </c>
      <c r="D1875" s="17" t="s">
        <v>26</v>
      </c>
      <c r="E1875" s="17" t="s">
        <v>14</v>
      </c>
      <c r="F1875" s="17" t="s">
        <v>21</v>
      </c>
      <c r="G1875" s="17" t="s">
        <v>82</v>
      </c>
      <c r="H1875" s="17" t="s">
        <v>2596</v>
      </c>
      <c r="I1875" s="17" t="s">
        <v>2583</v>
      </c>
      <c r="J1875" s="36">
        <v>4000</v>
      </c>
      <c r="K1875" s="36">
        <v>3398.02</v>
      </c>
      <c r="L1875" s="36">
        <f t="shared" si="145"/>
        <v>-601.98</v>
      </c>
      <c r="M1875" s="37">
        <f t="shared" si="146"/>
        <v>-0.15049500000000002</v>
      </c>
      <c r="N1875" s="17" t="str">
        <f t="shared" si="147"/>
        <v>Under Budget</v>
      </c>
      <c r="O1875" s="38">
        <f t="shared" si="148"/>
        <v>-3398.02</v>
      </c>
      <c r="P1875" s="39">
        <f t="shared" si="149"/>
        <v>46082</v>
      </c>
    </row>
    <row r="1876" spans="1:16" ht="15.5" x14ac:dyDescent="0.35">
      <c r="A1876" s="17" t="s">
        <v>1924</v>
      </c>
      <c r="B1876" s="35">
        <v>45936</v>
      </c>
      <c r="C1876" s="17" t="s">
        <v>25</v>
      </c>
      <c r="D1876" s="17" t="s">
        <v>13</v>
      </c>
      <c r="E1876" s="17" t="s">
        <v>27</v>
      </c>
      <c r="F1876" s="17" t="s">
        <v>52</v>
      </c>
      <c r="G1876" s="17" t="s">
        <v>38</v>
      </c>
      <c r="H1876" s="17" t="s">
        <v>2593</v>
      </c>
      <c r="I1876" s="17" t="s">
        <v>30</v>
      </c>
      <c r="J1876" s="36">
        <v>4705.88</v>
      </c>
      <c r="K1876" s="36">
        <v>4683.8999999999996</v>
      </c>
      <c r="L1876" s="36">
        <f t="shared" si="145"/>
        <v>-21.980000000000473</v>
      </c>
      <c r="M1876" s="37">
        <f t="shared" si="146"/>
        <v>-4.6707523353762678E-3</v>
      </c>
      <c r="N1876" s="17" t="str">
        <f t="shared" si="147"/>
        <v>Under Budget</v>
      </c>
      <c r="O1876" s="38">
        <f t="shared" si="148"/>
        <v>4683.8999999999996</v>
      </c>
      <c r="P1876" s="39">
        <f t="shared" si="149"/>
        <v>45931</v>
      </c>
    </row>
    <row r="1877" spans="1:16" ht="15.5" x14ac:dyDescent="0.35">
      <c r="A1877" s="17" t="s">
        <v>1925</v>
      </c>
      <c r="B1877" s="35">
        <v>45784</v>
      </c>
      <c r="C1877" s="17" t="s">
        <v>25</v>
      </c>
      <c r="D1877" s="17" t="s">
        <v>2585</v>
      </c>
      <c r="E1877" s="17" t="s">
        <v>33</v>
      </c>
      <c r="F1877" s="17" t="s">
        <v>52</v>
      </c>
      <c r="G1877" s="17" t="s">
        <v>38</v>
      </c>
      <c r="H1877" s="17" t="s">
        <v>2594</v>
      </c>
      <c r="I1877" s="17" t="s">
        <v>30</v>
      </c>
      <c r="J1877" s="36">
        <v>9615.3799999999992</v>
      </c>
      <c r="K1877" s="36">
        <v>12539.6</v>
      </c>
      <c r="L1877" s="36">
        <f t="shared" si="145"/>
        <v>2924.2200000000012</v>
      </c>
      <c r="M1877" s="37">
        <f t="shared" si="146"/>
        <v>0.30411902597713264</v>
      </c>
      <c r="N1877" s="17" t="str">
        <f t="shared" si="147"/>
        <v>Over Budget</v>
      </c>
      <c r="O1877" s="38">
        <f t="shared" si="148"/>
        <v>12539.6</v>
      </c>
      <c r="P1877" s="39">
        <f t="shared" si="149"/>
        <v>45778</v>
      </c>
    </row>
    <row r="1878" spans="1:16" ht="15.5" x14ac:dyDescent="0.35">
      <c r="A1878" s="17" t="s">
        <v>1926</v>
      </c>
      <c r="B1878" s="35">
        <v>46010</v>
      </c>
      <c r="C1878" s="17" t="s">
        <v>12</v>
      </c>
      <c r="D1878" s="17" t="s">
        <v>26</v>
      </c>
      <c r="E1878" s="17" t="s">
        <v>45</v>
      </c>
      <c r="F1878" s="17" t="s">
        <v>21</v>
      </c>
      <c r="G1878" s="17" t="s">
        <v>22</v>
      </c>
      <c r="H1878" s="17" t="s">
        <v>2590</v>
      </c>
      <c r="I1878" s="17" t="s">
        <v>30</v>
      </c>
      <c r="J1878" s="36">
        <v>7875</v>
      </c>
      <c r="K1878" s="36">
        <v>14812.6</v>
      </c>
      <c r="L1878" s="36">
        <f t="shared" si="145"/>
        <v>6937.6</v>
      </c>
      <c r="M1878" s="37">
        <f t="shared" si="146"/>
        <v>0.8809650793650794</v>
      </c>
      <c r="N1878" s="17" t="str">
        <f t="shared" si="147"/>
        <v>Over Budget</v>
      </c>
      <c r="O1878" s="38">
        <f t="shared" si="148"/>
        <v>-14812.6</v>
      </c>
      <c r="P1878" s="39">
        <f t="shared" si="149"/>
        <v>45992</v>
      </c>
    </row>
    <row r="1879" spans="1:16" ht="15.5" x14ac:dyDescent="0.35">
      <c r="A1879" s="17" t="s">
        <v>1927</v>
      </c>
      <c r="B1879" s="35">
        <v>46093</v>
      </c>
      <c r="C1879" s="17" t="s">
        <v>12</v>
      </c>
      <c r="D1879" s="17" t="s">
        <v>26</v>
      </c>
      <c r="E1879" s="17" t="s">
        <v>45</v>
      </c>
      <c r="F1879" s="17" t="s">
        <v>15</v>
      </c>
      <c r="G1879" s="17" t="s">
        <v>16</v>
      </c>
      <c r="H1879" s="17" t="s">
        <v>2594</v>
      </c>
      <c r="I1879" s="17" t="s">
        <v>39</v>
      </c>
      <c r="J1879" s="36">
        <v>7200</v>
      </c>
      <c r="K1879" s="36">
        <v>15507.18</v>
      </c>
      <c r="L1879" s="36">
        <f t="shared" si="145"/>
        <v>8307.18</v>
      </c>
      <c r="M1879" s="37">
        <f t="shared" si="146"/>
        <v>1.153775</v>
      </c>
      <c r="N1879" s="17" t="str">
        <f t="shared" si="147"/>
        <v>Over Budget</v>
      </c>
      <c r="O1879" s="38">
        <f t="shared" si="148"/>
        <v>-15507.18</v>
      </c>
      <c r="P1879" s="39">
        <f t="shared" si="149"/>
        <v>46082</v>
      </c>
    </row>
    <row r="1880" spans="1:16" ht="15.5" x14ac:dyDescent="0.35">
      <c r="A1880" s="17" t="s">
        <v>1928</v>
      </c>
      <c r="B1880" s="35">
        <v>46131</v>
      </c>
      <c r="C1880" s="17" t="s">
        <v>12</v>
      </c>
      <c r="D1880" s="17" t="s">
        <v>2584</v>
      </c>
      <c r="E1880" s="17" t="s">
        <v>65</v>
      </c>
      <c r="F1880" s="17" t="s">
        <v>34</v>
      </c>
      <c r="G1880" s="17" t="s">
        <v>82</v>
      </c>
      <c r="H1880" s="17" t="s">
        <v>2596</v>
      </c>
      <c r="I1880" s="17" t="s">
        <v>48</v>
      </c>
      <c r="J1880" s="36">
        <v>9166.67</v>
      </c>
      <c r="K1880" s="36">
        <v>6048.13</v>
      </c>
      <c r="L1880" s="36">
        <f t="shared" si="145"/>
        <v>-3118.54</v>
      </c>
      <c r="M1880" s="37">
        <f t="shared" si="146"/>
        <v>-0.34020423992573096</v>
      </c>
      <c r="N1880" s="17" t="str">
        <f t="shared" si="147"/>
        <v>Under Budget</v>
      </c>
      <c r="O1880" s="38">
        <f t="shared" si="148"/>
        <v>-6048.13</v>
      </c>
      <c r="P1880" s="39">
        <f t="shared" si="149"/>
        <v>46113</v>
      </c>
    </row>
    <row r="1881" spans="1:16" ht="15.5" x14ac:dyDescent="0.35">
      <c r="A1881" s="17" t="s">
        <v>1929</v>
      </c>
      <c r="B1881" s="35">
        <v>46045</v>
      </c>
      <c r="C1881" s="17" t="s">
        <v>25</v>
      </c>
      <c r="D1881" s="17" t="s">
        <v>32</v>
      </c>
      <c r="E1881" s="17" t="s">
        <v>27</v>
      </c>
      <c r="F1881" s="17" t="s">
        <v>52</v>
      </c>
      <c r="G1881" s="17" t="s">
        <v>38</v>
      </c>
      <c r="H1881" s="17" t="s">
        <v>2593</v>
      </c>
      <c r="I1881" s="17" t="s">
        <v>30</v>
      </c>
      <c r="J1881" s="36">
        <v>8622.2199999999993</v>
      </c>
      <c r="K1881" s="36">
        <v>6966.13</v>
      </c>
      <c r="L1881" s="36">
        <f t="shared" si="145"/>
        <v>-1656.0899999999992</v>
      </c>
      <c r="M1881" s="37">
        <f t="shared" si="146"/>
        <v>-0.19207234331761419</v>
      </c>
      <c r="N1881" s="17" t="str">
        <f t="shared" si="147"/>
        <v>Under Budget</v>
      </c>
      <c r="O1881" s="38">
        <f t="shared" si="148"/>
        <v>6966.13</v>
      </c>
      <c r="P1881" s="39">
        <f t="shared" si="149"/>
        <v>46023</v>
      </c>
    </row>
    <row r="1882" spans="1:16" ht="15.5" x14ac:dyDescent="0.35">
      <c r="A1882" s="17" t="s">
        <v>1930</v>
      </c>
      <c r="B1882" s="35">
        <v>46094</v>
      </c>
      <c r="C1882" s="17" t="s">
        <v>12</v>
      </c>
      <c r="D1882" s="17" t="s">
        <v>2584</v>
      </c>
      <c r="E1882" s="17" t="s">
        <v>45</v>
      </c>
      <c r="F1882" s="17" t="s">
        <v>15</v>
      </c>
      <c r="G1882" s="17" t="s">
        <v>38</v>
      </c>
      <c r="H1882" s="17" t="s">
        <v>2590</v>
      </c>
      <c r="I1882" s="17" t="s">
        <v>48</v>
      </c>
      <c r="J1882" s="36">
        <v>7200</v>
      </c>
      <c r="K1882" s="36">
        <v>10818.55</v>
      </c>
      <c r="L1882" s="36">
        <f t="shared" si="145"/>
        <v>3618.5499999999993</v>
      </c>
      <c r="M1882" s="37">
        <f t="shared" si="146"/>
        <v>0.50257638888888878</v>
      </c>
      <c r="N1882" s="17" t="str">
        <f t="shared" si="147"/>
        <v>Over Budget</v>
      </c>
      <c r="O1882" s="38">
        <f t="shared" si="148"/>
        <v>-10818.55</v>
      </c>
      <c r="P1882" s="39">
        <f t="shared" si="149"/>
        <v>46082</v>
      </c>
    </row>
    <row r="1883" spans="1:16" ht="15.5" x14ac:dyDescent="0.35">
      <c r="A1883" s="17" t="s">
        <v>1931</v>
      </c>
      <c r="B1883" s="35">
        <v>45800</v>
      </c>
      <c r="C1883" s="17" t="s">
        <v>12</v>
      </c>
      <c r="D1883" s="17" t="s">
        <v>19</v>
      </c>
      <c r="E1883" s="17" t="s">
        <v>14</v>
      </c>
      <c r="F1883" s="17" t="s">
        <v>34</v>
      </c>
      <c r="G1883" s="17" t="s">
        <v>82</v>
      </c>
      <c r="H1883" s="17" t="s">
        <v>2592</v>
      </c>
      <c r="I1883" s="17" t="s">
        <v>30</v>
      </c>
      <c r="J1883" s="36">
        <v>2909.09</v>
      </c>
      <c r="K1883" s="36">
        <v>3692.7</v>
      </c>
      <c r="L1883" s="36">
        <f t="shared" si="145"/>
        <v>783.60999999999967</v>
      </c>
      <c r="M1883" s="37">
        <f t="shared" si="146"/>
        <v>0.26936602167688167</v>
      </c>
      <c r="N1883" s="17" t="str">
        <f t="shared" si="147"/>
        <v>Over Budget</v>
      </c>
      <c r="O1883" s="38">
        <f t="shared" si="148"/>
        <v>-3692.7</v>
      </c>
      <c r="P1883" s="39">
        <f t="shared" si="149"/>
        <v>45778</v>
      </c>
    </row>
    <row r="1884" spans="1:16" ht="15.5" x14ac:dyDescent="0.35">
      <c r="A1884" s="17" t="s">
        <v>1932</v>
      </c>
      <c r="B1884" s="35">
        <v>45720</v>
      </c>
      <c r="C1884" s="17" t="s">
        <v>12</v>
      </c>
      <c r="D1884" s="17" t="s">
        <v>36</v>
      </c>
      <c r="E1884" s="17" t="s">
        <v>14</v>
      </c>
      <c r="F1884" s="17" t="s">
        <v>15</v>
      </c>
      <c r="G1884" s="17" t="s">
        <v>22</v>
      </c>
      <c r="H1884" s="17" t="s">
        <v>2596</v>
      </c>
      <c r="I1884" s="17" t="s">
        <v>23</v>
      </c>
      <c r="J1884" s="36">
        <v>4571.43</v>
      </c>
      <c r="K1884" s="36">
        <v>2154.58</v>
      </c>
      <c r="L1884" s="36">
        <f t="shared" si="145"/>
        <v>-2416.8500000000004</v>
      </c>
      <c r="M1884" s="37">
        <f t="shared" si="146"/>
        <v>-0.52868577228569624</v>
      </c>
      <c r="N1884" s="17" t="str">
        <f t="shared" si="147"/>
        <v>Under Budget</v>
      </c>
      <c r="O1884" s="38">
        <f t="shared" si="148"/>
        <v>-2154.58</v>
      </c>
      <c r="P1884" s="39">
        <f t="shared" si="149"/>
        <v>45717</v>
      </c>
    </row>
    <row r="1885" spans="1:16" ht="15.5" x14ac:dyDescent="0.35">
      <c r="A1885" s="17" t="s">
        <v>1933</v>
      </c>
      <c r="B1885" s="35">
        <v>46018</v>
      </c>
      <c r="C1885" s="17" t="s">
        <v>12</v>
      </c>
      <c r="D1885" s="17" t="s">
        <v>19</v>
      </c>
      <c r="E1885" s="17" t="s">
        <v>51</v>
      </c>
      <c r="F1885" s="17" t="s">
        <v>28</v>
      </c>
      <c r="G1885" s="17" t="s">
        <v>38</v>
      </c>
      <c r="H1885" s="17" t="s">
        <v>2595</v>
      </c>
      <c r="I1885" s="17" t="s">
        <v>30</v>
      </c>
      <c r="J1885" s="36">
        <v>4500</v>
      </c>
      <c r="K1885" s="36">
        <v>869.31</v>
      </c>
      <c r="L1885" s="36">
        <f t="shared" si="145"/>
        <v>-3630.69</v>
      </c>
      <c r="M1885" s="37">
        <f t="shared" si="146"/>
        <v>-0.80681999999999998</v>
      </c>
      <c r="N1885" s="17" t="str">
        <f t="shared" si="147"/>
        <v>Under Budget</v>
      </c>
      <c r="O1885" s="38">
        <f t="shared" si="148"/>
        <v>-869.31</v>
      </c>
      <c r="P1885" s="39">
        <f t="shared" si="149"/>
        <v>45992</v>
      </c>
    </row>
    <row r="1886" spans="1:16" ht="15.5" x14ac:dyDescent="0.35">
      <c r="A1886" s="17" t="s">
        <v>1934</v>
      </c>
      <c r="B1886" s="35">
        <v>46164</v>
      </c>
      <c r="C1886" s="17" t="s">
        <v>12</v>
      </c>
      <c r="D1886" s="17" t="s">
        <v>2585</v>
      </c>
      <c r="E1886" s="17" t="s">
        <v>47</v>
      </c>
      <c r="F1886" s="17" t="s">
        <v>21</v>
      </c>
      <c r="G1886" s="17" t="s">
        <v>43</v>
      </c>
      <c r="H1886" s="17" t="s">
        <v>2593</v>
      </c>
      <c r="I1886" s="17" t="s">
        <v>23</v>
      </c>
      <c r="J1886" s="36">
        <v>2692.31</v>
      </c>
      <c r="K1886" s="36">
        <v>2860.74</v>
      </c>
      <c r="L1886" s="36">
        <f t="shared" si="145"/>
        <v>168.42999999999984</v>
      </c>
      <c r="M1886" s="37">
        <f t="shared" si="146"/>
        <v>6.2559660663147942E-2</v>
      </c>
      <c r="N1886" s="17" t="str">
        <f t="shared" si="147"/>
        <v>Over Budget</v>
      </c>
      <c r="O1886" s="38">
        <f t="shared" si="148"/>
        <v>-2860.74</v>
      </c>
      <c r="P1886" s="39">
        <f t="shared" si="149"/>
        <v>46143</v>
      </c>
    </row>
    <row r="1887" spans="1:16" ht="15.5" x14ac:dyDescent="0.35">
      <c r="A1887" s="17" t="s">
        <v>1935</v>
      </c>
      <c r="B1887" s="35">
        <v>46093</v>
      </c>
      <c r="C1887" s="17" t="s">
        <v>12</v>
      </c>
      <c r="D1887" s="17" t="s">
        <v>19</v>
      </c>
      <c r="E1887" s="17" t="s">
        <v>65</v>
      </c>
      <c r="F1887" s="17" t="s">
        <v>21</v>
      </c>
      <c r="G1887" s="17" t="s">
        <v>38</v>
      </c>
      <c r="H1887" s="17" t="s">
        <v>2594</v>
      </c>
      <c r="I1887" s="17" t="s">
        <v>17</v>
      </c>
      <c r="J1887" s="36">
        <v>5000</v>
      </c>
      <c r="K1887" s="36">
        <v>3065.71</v>
      </c>
      <c r="L1887" s="36">
        <f t="shared" si="145"/>
        <v>-1934.29</v>
      </c>
      <c r="M1887" s="37">
        <f t="shared" si="146"/>
        <v>-0.38685799999999998</v>
      </c>
      <c r="N1887" s="17" t="str">
        <f t="shared" si="147"/>
        <v>Under Budget</v>
      </c>
      <c r="O1887" s="38">
        <f t="shared" si="148"/>
        <v>-3065.71</v>
      </c>
      <c r="P1887" s="39">
        <f t="shared" si="149"/>
        <v>46082</v>
      </c>
    </row>
    <row r="1888" spans="1:16" ht="15.5" x14ac:dyDescent="0.35">
      <c r="A1888" s="17" t="s">
        <v>1936</v>
      </c>
      <c r="B1888" s="35">
        <v>45722</v>
      </c>
      <c r="C1888" s="17" t="s">
        <v>12</v>
      </c>
      <c r="D1888" s="17" t="s">
        <v>2585</v>
      </c>
      <c r="E1888" s="17" t="s">
        <v>65</v>
      </c>
      <c r="F1888" s="17" t="s">
        <v>21</v>
      </c>
      <c r="G1888" s="17" t="s">
        <v>22</v>
      </c>
      <c r="H1888" s="17" t="s">
        <v>2593</v>
      </c>
      <c r="I1888" s="17" t="s">
        <v>30</v>
      </c>
      <c r="J1888" s="36">
        <v>3928.57</v>
      </c>
      <c r="K1888" s="36">
        <v>2150.84</v>
      </c>
      <c r="L1888" s="36">
        <f t="shared" si="145"/>
        <v>-1777.73</v>
      </c>
      <c r="M1888" s="37">
        <f t="shared" si="146"/>
        <v>-0.4525132554593656</v>
      </c>
      <c r="N1888" s="17" t="str">
        <f t="shared" si="147"/>
        <v>Under Budget</v>
      </c>
      <c r="O1888" s="38">
        <f t="shared" si="148"/>
        <v>-2150.84</v>
      </c>
      <c r="P1888" s="39">
        <f t="shared" si="149"/>
        <v>45717</v>
      </c>
    </row>
    <row r="1889" spans="1:16" ht="15.5" x14ac:dyDescent="0.35">
      <c r="A1889" s="17" t="s">
        <v>1937</v>
      </c>
      <c r="B1889" s="35">
        <v>46180</v>
      </c>
      <c r="C1889" s="17" t="s">
        <v>12</v>
      </c>
      <c r="D1889" s="17" t="s">
        <v>26</v>
      </c>
      <c r="E1889" s="17" t="s">
        <v>51</v>
      </c>
      <c r="F1889" s="17" t="s">
        <v>28</v>
      </c>
      <c r="G1889" s="17" t="s">
        <v>16</v>
      </c>
      <c r="H1889" s="17" t="s">
        <v>2591</v>
      </c>
      <c r="I1889" s="17" t="s">
        <v>23</v>
      </c>
      <c r="J1889" s="36">
        <v>6000</v>
      </c>
      <c r="K1889" s="36">
        <v>5245.57</v>
      </c>
      <c r="L1889" s="36">
        <f t="shared" si="145"/>
        <v>-754.43000000000029</v>
      </c>
      <c r="M1889" s="37">
        <f t="shared" si="146"/>
        <v>-0.12573833333333337</v>
      </c>
      <c r="N1889" s="17" t="str">
        <f t="shared" si="147"/>
        <v>Under Budget</v>
      </c>
      <c r="O1889" s="38">
        <f t="shared" si="148"/>
        <v>-5245.57</v>
      </c>
      <c r="P1889" s="39">
        <f t="shared" si="149"/>
        <v>46174</v>
      </c>
    </row>
    <row r="1890" spans="1:16" ht="15.5" x14ac:dyDescent="0.35">
      <c r="A1890" s="17" t="s">
        <v>1938</v>
      </c>
      <c r="B1890" s="35">
        <v>46032</v>
      </c>
      <c r="C1890" s="17" t="s">
        <v>12</v>
      </c>
      <c r="D1890" s="17" t="s">
        <v>26</v>
      </c>
      <c r="E1890" s="17" t="s">
        <v>37</v>
      </c>
      <c r="F1890" s="17" t="s">
        <v>21</v>
      </c>
      <c r="G1890" s="17" t="s">
        <v>38</v>
      </c>
      <c r="H1890" s="17" t="s">
        <v>2590</v>
      </c>
      <c r="I1890" s="17" t="s">
        <v>48</v>
      </c>
      <c r="J1890" s="36">
        <v>5432</v>
      </c>
      <c r="K1890" s="36">
        <v>1668.07</v>
      </c>
      <c r="L1890" s="36">
        <f t="shared" si="145"/>
        <v>-3763.9300000000003</v>
      </c>
      <c r="M1890" s="37">
        <f t="shared" si="146"/>
        <v>-0.69291789396170844</v>
      </c>
      <c r="N1890" s="17" t="str">
        <f t="shared" si="147"/>
        <v>Under Budget</v>
      </c>
      <c r="O1890" s="38">
        <f t="shared" si="148"/>
        <v>-1668.07</v>
      </c>
      <c r="P1890" s="39">
        <f t="shared" si="149"/>
        <v>46023</v>
      </c>
    </row>
    <row r="1891" spans="1:16" ht="15.5" x14ac:dyDescent="0.35">
      <c r="A1891" s="17" t="s">
        <v>1939</v>
      </c>
      <c r="B1891" s="35">
        <v>46154</v>
      </c>
      <c r="C1891" s="17" t="s">
        <v>12</v>
      </c>
      <c r="D1891" s="17" t="s">
        <v>2585</v>
      </c>
      <c r="E1891" s="17" t="s">
        <v>45</v>
      </c>
      <c r="F1891" s="17" t="s">
        <v>15</v>
      </c>
      <c r="G1891" s="17" t="s">
        <v>22</v>
      </c>
      <c r="H1891" s="17" t="s">
        <v>60</v>
      </c>
      <c r="I1891" s="17" t="s">
        <v>48</v>
      </c>
      <c r="J1891" s="36">
        <v>16363.64</v>
      </c>
      <c r="K1891" s="36">
        <v>1925.1</v>
      </c>
      <c r="L1891" s="36">
        <f t="shared" si="145"/>
        <v>-14438.539999999999</v>
      </c>
      <c r="M1891" s="37">
        <f t="shared" si="146"/>
        <v>-0.8823550261433275</v>
      </c>
      <c r="N1891" s="17" t="str">
        <f t="shared" si="147"/>
        <v>Under Budget</v>
      </c>
      <c r="O1891" s="38">
        <f t="shared" si="148"/>
        <v>-1925.1</v>
      </c>
      <c r="P1891" s="39">
        <f t="shared" si="149"/>
        <v>46143</v>
      </c>
    </row>
    <row r="1892" spans="1:16" ht="15.5" x14ac:dyDescent="0.35">
      <c r="A1892" s="17" t="s">
        <v>1940</v>
      </c>
      <c r="B1892" s="35">
        <v>45834</v>
      </c>
      <c r="C1892" s="17" t="s">
        <v>12</v>
      </c>
      <c r="D1892" s="17" t="s">
        <v>19</v>
      </c>
      <c r="E1892" s="17" t="s">
        <v>45</v>
      </c>
      <c r="F1892" s="17" t="s">
        <v>34</v>
      </c>
      <c r="G1892" s="17" t="s">
        <v>82</v>
      </c>
      <c r="H1892" s="17" t="s">
        <v>2589</v>
      </c>
      <c r="I1892" s="17" t="s">
        <v>23</v>
      </c>
      <c r="J1892" s="36">
        <v>6428.57</v>
      </c>
      <c r="K1892" s="36">
        <v>9248.82</v>
      </c>
      <c r="L1892" s="36">
        <f t="shared" si="145"/>
        <v>2820.25</v>
      </c>
      <c r="M1892" s="37">
        <f t="shared" si="146"/>
        <v>0.43870565304570069</v>
      </c>
      <c r="N1892" s="17" t="str">
        <f t="shared" si="147"/>
        <v>Over Budget</v>
      </c>
      <c r="O1892" s="38">
        <f t="shared" si="148"/>
        <v>-9248.82</v>
      </c>
      <c r="P1892" s="39">
        <f t="shared" si="149"/>
        <v>45809</v>
      </c>
    </row>
    <row r="1893" spans="1:16" ht="15.5" x14ac:dyDescent="0.35">
      <c r="A1893" s="17" t="s">
        <v>1941</v>
      </c>
      <c r="B1893" s="35">
        <v>46104</v>
      </c>
      <c r="C1893" s="17" t="s">
        <v>12</v>
      </c>
      <c r="D1893" s="17" t="s">
        <v>32</v>
      </c>
      <c r="E1893" s="17" t="s">
        <v>51</v>
      </c>
      <c r="F1893" s="17" t="s">
        <v>34</v>
      </c>
      <c r="G1893" s="17" t="s">
        <v>22</v>
      </c>
      <c r="H1893" s="17" t="s">
        <v>2593</v>
      </c>
      <c r="I1893" s="17" t="s">
        <v>39</v>
      </c>
      <c r="J1893" s="36">
        <v>6000</v>
      </c>
      <c r="K1893" s="36">
        <v>6463.78</v>
      </c>
      <c r="L1893" s="36">
        <f t="shared" si="145"/>
        <v>463.77999999999975</v>
      </c>
      <c r="M1893" s="37">
        <f t="shared" si="146"/>
        <v>7.7296666666666625E-2</v>
      </c>
      <c r="N1893" s="17" t="str">
        <f t="shared" si="147"/>
        <v>Over Budget</v>
      </c>
      <c r="O1893" s="38">
        <f t="shared" si="148"/>
        <v>-6463.78</v>
      </c>
      <c r="P1893" s="39">
        <f t="shared" si="149"/>
        <v>46082</v>
      </c>
    </row>
    <row r="1894" spans="1:16" ht="15.5" x14ac:dyDescent="0.35">
      <c r="A1894" s="17" t="s">
        <v>1942</v>
      </c>
      <c r="B1894" s="35">
        <v>46026</v>
      </c>
      <c r="C1894" s="17" t="s">
        <v>25</v>
      </c>
      <c r="D1894" s="17" t="s">
        <v>32</v>
      </c>
      <c r="E1894" s="17" t="s">
        <v>27</v>
      </c>
      <c r="F1894" s="17" t="s">
        <v>15</v>
      </c>
      <c r="G1894" s="17" t="s">
        <v>38</v>
      </c>
      <c r="H1894" s="17" t="s">
        <v>2597</v>
      </c>
      <c r="I1894" s="17" t="s">
        <v>48</v>
      </c>
      <c r="J1894" s="36">
        <v>8622.2199999999993</v>
      </c>
      <c r="K1894" s="36">
        <v>4528.08</v>
      </c>
      <c r="L1894" s="36">
        <f t="shared" si="145"/>
        <v>-4094.1399999999994</v>
      </c>
      <c r="M1894" s="37">
        <f t="shared" si="146"/>
        <v>-0.47483594712266675</v>
      </c>
      <c r="N1894" s="17" t="str">
        <f t="shared" si="147"/>
        <v>Under Budget</v>
      </c>
      <c r="O1894" s="38">
        <f t="shared" si="148"/>
        <v>4528.08</v>
      </c>
      <c r="P1894" s="39">
        <f t="shared" si="149"/>
        <v>46023</v>
      </c>
    </row>
    <row r="1895" spans="1:16" ht="15.5" x14ac:dyDescent="0.35">
      <c r="A1895" s="17" t="s">
        <v>1943</v>
      </c>
      <c r="B1895" s="35">
        <v>45915</v>
      </c>
      <c r="C1895" s="17" t="s">
        <v>25</v>
      </c>
      <c r="D1895" s="17" t="s">
        <v>19</v>
      </c>
      <c r="E1895" s="17" t="s">
        <v>169</v>
      </c>
      <c r="F1895" s="17" t="s">
        <v>15</v>
      </c>
      <c r="G1895" s="17" t="s">
        <v>38</v>
      </c>
      <c r="H1895" s="17" t="s">
        <v>2594</v>
      </c>
      <c r="I1895" s="17" t="s">
        <v>30</v>
      </c>
      <c r="J1895" s="36">
        <v>3333.33</v>
      </c>
      <c r="K1895" s="36">
        <v>1626.29</v>
      </c>
      <c r="L1895" s="36">
        <f t="shared" si="145"/>
        <v>-1707.04</v>
      </c>
      <c r="M1895" s="37">
        <f t="shared" si="146"/>
        <v>-0.51211251211251207</v>
      </c>
      <c r="N1895" s="17" t="str">
        <f t="shared" si="147"/>
        <v>Under Budget</v>
      </c>
      <c r="O1895" s="38">
        <f t="shared" si="148"/>
        <v>1626.29</v>
      </c>
      <c r="P1895" s="39">
        <f t="shared" si="149"/>
        <v>45901</v>
      </c>
    </row>
    <row r="1896" spans="1:16" ht="15.5" x14ac:dyDescent="0.35">
      <c r="A1896" s="17" t="s">
        <v>1944</v>
      </c>
      <c r="B1896" s="35">
        <v>45742</v>
      </c>
      <c r="C1896" s="17" t="s">
        <v>25</v>
      </c>
      <c r="D1896" s="17" t="s">
        <v>2585</v>
      </c>
      <c r="E1896" s="17" t="s">
        <v>109</v>
      </c>
      <c r="F1896" s="17" t="s">
        <v>28</v>
      </c>
      <c r="G1896" s="17" t="s">
        <v>43</v>
      </c>
      <c r="H1896" s="17" t="s">
        <v>2596</v>
      </c>
      <c r="I1896" s="17" t="s">
        <v>23</v>
      </c>
      <c r="J1896" s="36">
        <v>9090.91</v>
      </c>
      <c r="K1896" s="36">
        <v>6087.73</v>
      </c>
      <c r="L1896" s="36">
        <f t="shared" si="145"/>
        <v>-3003.1800000000003</v>
      </c>
      <c r="M1896" s="37">
        <f t="shared" si="146"/>
        <v>-0.33034976696502333</v>
      </c>
      <c r="N1896" s="17" t="str">
        <f t="shared" si="147"/>
        <v>Under Budget</v>
      </c>
      <c r="O1896" s="38">
        <f t="shared" si="148"/>
        <v>6087.73</v>
      </c>
      <c r="P1896" s="39">
        <f t="shared" si="149"/>
        <v>45717</v>
      </c>
    </row>
    <row r="1897" spans="1:16" ht="15.5" x14ac:dyDescent="0.35">
      <c r="A1897" s="17" t="s">
        <v>1945</v>
      </c>
      <c r="B1897" s="35">
        <v>46093</v>
      </c>
      <c r="C1897" s="17" t="s">
        <v>25</v>
      </c>
      <c r="D1897" s="17" t="s">
        <v>32</v>
      </c>
      <c r="E1897" s="17" t="s">
        <v>27</v>
      </c>
      <c r="F1897" s="17" t="s">
        <v>52</v>
      </c>
      <c r="G1897" s="17" t="s">
        <v>38</v>
      </c>
      <c r="H1897" s="17" t="s">
        <v>2587</v>
      </c>
      <c r="I1897" s="17" t="s">
        <v>39</v>
      </c>
      <c r="J1897" s="36">
        <v>10000</v>
      </c>
      <c r="K1897" s="36">
        <v>4108.13</v>
      </c>
      <c r="L1897" s="36">
        <f t="shared" si="145"/>
        <v>-5891.87</v>
      </c>
      <c r="M1897" s="37">
        <f t="shared" si="146"/>
        <v>-0.58918700000000002</v>
      </c>
      <c r="N1897" s="17" t="str">
        <f t="shared" si="147"/>
        <v>Under Budget</v>
      </c>
      <c r="O1897" s="38">
        <f t="shared" si="148"/>
        <v>4108.13</v>
      </c>
      <c r="P1897" s="39">
        <f t="shared" si="149"/>
        <v>46082</v>
      </c>
    </row>
    <row r="1898" spans="1:16" ht="15.5" x14ac:dyDescent="0.35">
      <c r="A1898" s="17" t="s">
        <v>1946</v>
      </c>
      <c r="B1898" s="35">
        <v>45915</v>
      </c>
      <c r="C1898" s="17" t="s">
        <v>12</v>
      </c>
      <c r="D1898" s="17" t="s">
        <v>13</v>
      </c>
      <c r="E1898" s="17" t="s">
        <v>20</v>
      </c>
      <c r="F1898" s="17" t="s">
        <v>21</v>
      </c>
      <c r="G1898" s="17" t="s">
        <v>38</v>
      </c>
      <c r="H1898" s="17" t="s">
        <v>2587</v>
      </c>
      <c r="I1898" s="17" t="s">
        <v>30</v>
      </c>
      <c r="J1898" s="36">
        <v>3600</v>
      </c>
      <c r="K1898" s="36">
        <v>718.03</v>
      </c>
      <c r="L1898" s="36">
        <f t="shared" si="145"/>
        <v>-2881.9700000000003</v>
      </c>
      <c r="M1898" s="37">
        <f t="shared" si="146"/>
        <v>-0.8005472222222223</v>
      </c>
      <c r="N1898" s="17" t="str">
        <f t="shared" si="147"/>
        <v>Under Budget</v>
      </c>
      <c r="O1898" s="38">
        <f t="shared" si="148"/>
        <v>-718.03</v>
      </c>
      <c r="P1898" s="39">
        <f t="shared" si="149"/>
        <v>45901</v>
      </c>
    </row>
    <row r="1899" spans="1:16" ht="15.5" x14ac:dyDescent="0.35">
      <c r="A1899" s="17" t="s">
        <v>1947</v>
      </c>
      <c r="B1899" s="35">
        <v>46172</v>
      </c>
      <c r="C1899" s="17" t="s">
        <v>25</v>
      </c>
      <c r="D1899" s="17" t="s">
        <v>32</v>
      </c>
      <c r="E1899" s="17" t="s">
        <v>109</v>
      </c>
      <c r="F1899" s="17" t="s">
        <v>21</v>
      </c>
      <c r="G1899" s="17" t="s">
        <v>16</v>
      </c>
      <c r="H1899" s="17" t="s">
        <v>2589</v>
      </c>
      <c r="I1899" s="17" t="s">
        <v>39</v>
      </c>
      <c r="J1899" s="36">
        <v>5882.35</v>
      </c>
      <c r="K1899" s="36">
        <v>8536.0499999999993</v>
      </c>
      <c r="L1899" s="36">
        <f t="shared" si="145"/>
        <v>2653.6999999999989</v>
      </c>
      <c r="M1899" s="37">
        <f t="shared" si="146"/>
        <v>0.45112922556461255</v>
      </c>
      <c r="N1899" s="17" t="str">
        <f t="shared" si="147"/>
        <v>Over Budget</v>
      </c>
      <c r="O1899" s="38">
        <f t="shared" si="148"/>
        <v>8536.0499999999993</v>
      </c>
      <c r="P1899" s="39">
        <f t="shared" si="149"/>
        <v>46143</v>
      </c>
    </row>
    <row r="1900" spans="1:16" ht="15.5" x14ac:dyDescent="0.35">
      <c r="A1900" s="17" t="s">
        <v>1948</v>
      </c>
      <c r="B1900" s="35">
        <v>45855</v>
      </c>
      <c r="C1900" s="17" t="s">
        <v>12</v>
      </c>
      <c r="D1900" s="17" t="s">
        <v>19</v>
      </c>
      <c r="E1900" s="17" t="s">
        <v>45</v>
      </c>
      <c r="F1900" s="17" t="s">
        <v>52</v>
      </c>
      <c r="G1900" s="17" t="s">
        <v>38</v>
      </c>
      <c r="H1900" s="17" t="s">
        <v>60</v>
      </c>
      <c r="I1900" s="17" t="s">
        <v>48</v>
      </c>
      <c r="J1900" s="36">
        <v>6923.08</v>
      </c>
      <c r="K1900" s="36">
        <v>4606.25</v>
      </c>
      <c r="L1900" s="36">
        <f t="shared" si="145"/>
        <v>-2316.83</v>
      </c>
      <c r="M1900" s="37">
        <f t="shared" si="146"/>
        <v>-0.33465307348752288</v>
      </c>
      <c r="N1900" s="17" t="str">
        <f t="shared" si="147"/>
        <v>Under Budget</v>
      </c>
      <c r="O1900" s="38">
        <f t="shared" si="148"/>
        <v>-4606.25</v>
      </c>
      <c r="P1900" s="39">
        <f t="shared" si="149"/>
        <v>45839</v>
      </c>
    </row>
    <row r="1901" spans="1:16" ht="15.5" x14ac:dyDescent="0.35">
      <c r="A1901" s="17" t="s">
        <v>1949</v>
      </c>
      <c r="B1901" s="35">
        <v>46092</v>
      </c>
      <c r="C1901" s="17" t="s">
        <v>25</v>
      </c>
      <c r="D1901" s="17" t="s">
        <v>2585</v>
      </c>
      <c r="E1901" s="17" t="s">
        <v>109</v>
      </c>
      <c r="F1901" s="17" t="s">
        <v>52</v>
      </c>
      <c r="G1901" s="17" t="s">
        <v>38</v>
      </c>
      <c r="H1901" s="17" t="s">
        <v>2589</v>
      </c>
      <c r="I1901" s="17" t="s">
        <v>39</v>
      </c>
      <c r="J1901" s="36">
        <v>10000</v>
      </c>
      <c r="K1901" s="36">
        <v>16910.919999999998</v>
      </c>
      <c r="L1901" s="36">
        <f t="shared" si="145"/>
        <v>6910.9199999999983</v>
      </c>
      <c r="M1901" s="37">
        <f t="shared" si="146"/>
        <v>0.69109199999999982</v>
      </c>
      <c r="N1901" s="17" t="str">
        <f t="shared" si="147"/>
        <v>Over Budget</v>
      </c>
      <c r="O1901" s="38">
        <f t="shared" si="148"/>
        <v>16910.919999999998</v>
      </c>
      <c r="P1901" s="39">
        <f t="shared" si="149"/>
        <v>46082</v>
      </c>
    </row>
    <row r="1902" spans="1:16" ht="15.5" x14ac:dyDescent="0.35">
      <c r="A1902" s="17" t="s">
        <v>1950</v>
      </c>
      <c r="B1902" s="35">
        <v>45808</v>
      </c>
      <c r="C1902" s="17" t="s">
        <v>12</v>
      </c>
      <c r="D1902" s="17" t="s">
        <v>19</v>
      </c>
      <c r="E1902" s="17" t="s">
        <v>77</v>
      </c>
      <c r="F1902" s="17" t="s">
        <v>34</v>
      </c>
      <c r="G1902" s="17" t="s">
        <v>43</v>
      </c>
      <c r="H1902" s="17" t="s">
        <v>2587</v>
      </c>
      <c r="I1902" s="17" t="s">
        <v>30</v>
      </c>
      <c r="J1902" s="36">
        <v>5500</v>
      </c>
      <c r="K1902" s="36">
        <v>1026.8800000000001</v>
      </c>
      <c r="L1902" s="36">
        <f t="shared" si="145"/>
        <v>-4473.12</v>
      </c>
      <c r="M1902" s="37">
        <f t="shared" si="146"/>
        <v>-0.81329454545454538</v>
      </c>
      <c r="N1902" s="17" t="str">
        <f t="shared" si="147"/>
        <v>Under Budget</v>
      </c>
      <c r="O1902" s="38">
        <f t="shared" si="148"/>
        <v>-1026.8800000000001</v>
      </c>
      <c r="P1902" s="39">
        <f t="shared" si="149"/>
        <v>45778</v>
      </c>
    </row>
    <row r="1903" spans="1:16" ht="15.5" x14ac:dyDescent="0.35">
      <c r="A1903" s="17" t="s">
        <v>1951</v>
      </c>
      <c r="B1903" s="35">
        <v>45935</v>
      </c>
      <c r="C1903" s="17" t="s">
        <v>12</v>
      </c>
      <c r="D1903" s="17" t="s">
        <v>26</v>
      </c>
      <c r="E1903" s="17" t="s">
        <v>41</v>
      </c>
      <c r="F1903" s="17" t="s">
        <v>34</v>
      </c>
      <c r="G1903" s="17" t="s">
        <v>38</v>
      </c>
      <c r="H1903" s="17" t="s">
        <v>2589</v>
      </c>
      <c r="I1903" s="17" t="s">
        <v>48</v>
      </c>
      <c r="J1903" s="36">
        <v>9285.7099999999991</v>
      </c>
      <c r="K1903" s="36">
        <v>8401</v>
      </c>
      <c r="L1903" s="36">
        <f t="shared" si="145"/>
        <v>-884.70999999999913</v>
      </c>
      <c r="M1903" s="37">
        <f t="shared" si="146"/>
        <v>-9.5276505512233226E-2</v>
      </c>
      <c r="N1903" s="17" t="str">
        <f t="shared" si="147"/>
        <v>Under Budget</v>
      </c>
      <c r="O1903" s="38">
        <f t="shared" si="148"/>
        <v>-8401</v>
      </c>
      <c r="P1903" s="39">
        <f t="shared" si="149"/>
        <v>45931</v>
      </c>
    </row>
    <row r="1904" spans="1:16" ht="15.5" x14ac:dyDescent="0.35">
      <c r="A1904" s="17" t="s">
        <v>1952</v>
      </c>
      <c r="B1904" s="35">
        <v>46144</v>
      </c>
      <c r="C1904" s="17" t="s">
        <v>12</v>
      </c>
      <c r="D1904" s="17" t="s">
        <v>2584</v>
      </c>
      <c r="E1904" s="17" t="s">
        <v>45</v>
      </c>
      <c r="F1904" s="17" t="s">
        <v>34</v>
      </c>
      <c r="G1904" s="17" t="s">
        <v>43</v>
      </c>
      <c r="H1904" s="17" t="s">
        <v>2590</v>
      </c>
      <c r="I1904" s="17" t="s">
        <v>48</v>
      </c>
      <c r="J1904" s="36">
        <v>16363.64</v>
      </c>
      <c r="K1904" s="36">
        <v>3970.66</v>
      </c>
      <c r="L1904" s="36">
        <f t="shared" si="145"/>
        <v>-12392.98</v>
      </c>
      <c r="M1904" s="37">
        <f t="shared" si="146"/>
        <v>-0.7573486094780868</v>
      </c>
      <c r="N1904" s="17" t="str">
        <f t="shared" si="147"/>
        <v>Under Budget</v>
      </c>
      <c r="O1904" s="38">
        <f t="shared" si="148"/>
        <v>-3970.66</v>
      </c>
      <c r="P1904" s="39">
        <f t="shared" si="149"/>
        <v>46143</v>
      </c>
    </row>
    <row r="1905" spans="1:16" ht="15.5" x14ac:dyDescent="0.35">
      <c r="A1905" s="17" t="s">
        <v>1953</v>
      </c>
      <c r="B1905" s="35">
        <v>45892</v>
      </c>
      <c r="C1905" s="17" t="s">
        <v>25</v>
      </c>
      <c r="D1905" s="17" t="s">
        <v>2585</v>
      </c>
      <c r="E1905" s="17" t="s">
        <v>33</v>
      </c>
      <c r="F1905" s="17" t="s">
        <v>21</v>
      </c>
      <c r="G1905" s="17" t="s">
        <v>43</v>
      </c>
      <c r="H1905" s="17" t="s">
        <v>2588</v>
      </c>
      <c r="I1905" s="17" t="s">
        <v>30</v>
      </c>
      <c r="J1905" s="36">
        <v>10416.67</v>
      </c>
      <c r="K1905" s="36">
        <v>3640.59</v>
      </c>
      <c r="L1905" s="36">
        <f t="shared" si="145"/>
        <v>-6776.08</v>
      </c>
      <c r="M1905" s="37">
        <f t="shared" si="146"/>
        <v>-0.65050347183888901</v>
      </c>
      <c r="N1905" s="17" t="str">
        <f t="shared" si="147"/>
        <v>Under Budget</v>
      </c>
      <c r="O1905" s="38">
        <f t="shared" si="148"/>
        <v>3640.59</v>
      </c>
      <c r="P1905" s="39">
        <f t="shared" si="149"/>
        <v>45870</v>
      </c>
    </row>
    <row r="1906" spans="1:16" ht="15.5" x14ac:dyDescent="0.35">
      <c r="A1906" s="17" t="s">
        <v>1954</v>
      </c>
      <c r="B1906" s="35">
        <v>45781</v>
      </c>
      <c r="C1906" s="17" t="s">
        <v>12</v>
      </c>
      <c r="D1906" s="17" t="s">
        <v>19</v>
      </c>
      <c r="E1906" s="17" t="s">
        <v>45</v>
      </c>
      <c r="F1906" s="17" t="s">
        <v>34</v>
      </c>
      <c r="G1906" s="17" t="s">
        <v>43</v>
      </c>
      <c r="H1906" s="17" t="s">
        <v>2598</v>
      </c>
      <c r="I1906" s="17" t="s">
        <v>23</v>
      </c>
      <c r="J1906" s="36">
        <v>7200</v>
      </c>
      <c r="K1906" s="36">
        <v>12416.73</v>
      </c>
      <c r="L1906" s="36">
        <f t="shared" si="145"/>
        <v>5216.7299999999996</v>
      </c>
      <c r="M1906" s="37">
        <f t="shared" si="146"/>
        <v>0.72454583333333322</v>
      </c>
      <c r="N1906" s="17" t="str">
        <f t="shared" si="147"/>
        <v>Over Budget</v>
      </c>
      <c r="O1906" s="38">
        <f t="shared" si="148"/>
        <v>-12416.73</v>
      </c>
      <c r="P1906" s="39">
        <f t="shared" si="149"/>
        <v>45778</v>
      </c>
    </row>
    <row r="1907" spans="1:16" ht="15.5" x14ac:dyDescent="0.35">
      <c r="A1907" s="17" t="s">
        <v>1955</v>
      </c>
      <c r="B1907" s="35">
        <v>46009</v>
      </c>
      <c r="C1907" s="17" t="s">
        <v>12</v>
      </c>
      <c r="D1907" s="17" t="s">
        <v>19</v>
      </c>
      <c r="E1907" s="17" t="s">
        <v>45</v>
      </c>
      <c r="F1907" s="17" t="s">
        <v>15</v>
      </c>
      <c r="G1907" s="17" t="s">
        <v>16</v>
      </c>
      <c r="H1907" s="17" t="s">
        <v>2592</v>
      </c>
      <c r="I1907" s="17" t="s">
        <v>23</v>
      </c>
      <c r="J1907" s="36">
        <v>7875</v>
      </c>
      <c r="K1907" s="36">
        <v>16140.45</v>
      </c>
      <c r="L1907" s="36">
        <f t="shared" si="145"/>
        <v>8265.4500000000007</v>
      </c>
      <c r="M1907" s="37">
        <f t="shared" si="146"/>
        <v>1.0495809523809525</v>
      </c>
      <c r="N1907" s="17" t="str">
        <f t="shared" si="147"/>
        <v>Over Budget</v>
      </c>
      <c r="O1907" s="38">
        <f t="shared" si="148"/>
        <v>-16140.45</v>
      </c>
      <c r="P1907" s="39">
        <f t="shared" si="149"/>
        <v>45992</v>
      </c>
    </row>
    <row r="1908" spans="1:16" ht="15.5" x14ac:dyDescent="0.35">
      <c r="A1908" s="17" t="s">
        <v>1956</v>
      </c>
      <c r="B1908" s="35">
        <v>45822</v>
      </c>
      <c r="C1908" s="17" t="s">
        <v>25</v>
      </c>
      <c r="D1908" s="17" t="s">
        <v>32</v>
      </c>
      <c r="E1908" s="17" t="s">
        <v>27</v>
      </c>
      <c r="F1908" s="17" t="s">
        <v>52</v>
      </c>
      <c r="G1908" s="17" t="s">
        <v>38</v>
      </c>
      <c r="H1908" s="17" t="s">
        <v>2588</v>
      </c>
      <c r="I1908" s="17" t="s">
        <v>23</v>
      </c>
      <c r="J1908" s="36">
        <v>5333.33</v>
      </c>
      <c r="K1908" s="36">
        <v>6947.91</v>
      </c>
      <c r="L1908" s="36">
        <f t="shared" si="145"/>
        <v>1614.58</v>
      </c>
      <c r="M1908" s="37">
        <f t="shared" si="146"/>
        <v>0.302733939208712</v>
      </c>
      <c r="N1908" s="17" t="str">
        <f t="shared" si="147"/>
        <v>Over Budget</v>
      </c>
      <c r="O1908" s="38">
        <f t="shared" si="148"/>
        <v>6947.91</v>
      </c>
      <c r="P1908" s="39">
        <f t="shared" si="149"/>
        <v>45809</v>
      </c>
    </row>
    <row r="1909" spans="1:16" ht="15.5" x14ac:dyDescent="0.35">
      <c r="A1909" s="17" t="s">
        <v>1957</v>
      </c>
      <c r="B1909" s="35">
        <v>45927</v>
      </c>
      <c r="C1909" s="17" t="s">
        <v>25</v>
      </c>
      <c r="D1909" s="17" t="s">
        <v>32</v>
      </c>
      <c r="E1909" s="17" t="s">
        <v>33</v>
      </c>
      <c r="F1909" s="17" t="s">
        <v>15</v>
      </c>
      <c r="G1909" s="17" t="s">
        <v>22</v>
      </c>
      <c r="H1909" s="17" t="s">
        <v>2591</v>
      </c>
      <c r="I1909" s="17" t="s">
        <v>23</v>
      </c>
      <c r="J1909" s="36">
        <v>11904.76</v>
      </c>
      <c r="K1909" s="36">
        <v>7922.56</v>
      </c>
      <c r="L1909" s="36">
        <f t="shared" si="145"/>
        <v>-3982.2</v>
      </c>
      <c r="M1909" s="37">
        <f t="shared" si="146"/>
        <v>-0.33450485352077652</v>
      </c>
      <c r="N1909" s="17" t="str">
        <f t="shared" si="147"/>
        <v>Under Budget</v>
      </c>
      <c r="O1909" s="38">
        <f t="shared" si="148"/>
        <v>7922.56</v>
      </c>
      <c r="P1909" s="39">
        <f t="shared" si="149"/>
        <v>45901</v>
      </c>
    </row>
    <row r="1910" spans="1:16" ht="15.5" x14ac:dyDescent="0.35">
      <c r="A1910" s="17" t="s">
        <v>1958</v>
      </c>
      <c r="B1910" s="35">
        <v>45915</v>
      </c>
      <c r="C1910" s="17" t="s">
        <v>25</v>
      </c>
      <c r="D1910" s="17" t="s">
        <v>32</v>
      </c>
      <c r="E1910" s="17" t="s">
        <v>33</v>
      </c>
      <c r="F1910" s="17" t="s">
        <v>52</v>
      </c>
      <c r="G1910" s="17" t="s">
        <v>38</v>
      </c>
      <c r="H1910" s="17" t="s">
        <v>2593</v>
      </c>
      <c r="I1910" s="17" t="s">
        <v>17</v>
      </c>
      <c r="J1910" s="36">
        <v>11904.76</v>
      </c>
      <c r="K1910" s="36">
        <v>1064.5</v>
      </c>
      <c r="L1910" s="36">
        <f t="shared" si="145"/>
        <v>-10840.26</v>
      </c>
      <c r="M1910" s="37">
        <f t="shared" si="146"/>
        <v>-0.91058198569311766</v>
      </c>
      <c r="N1910" s="17" t="str">
        <f t="shared" si="147"/>
        <v>Under Budget</v>
      </c>
      <c r="O1910" s="38">
        <f t="shared" si="148"/>
        <v>1064.5</v>
      </c>
      <c r="P1910" s="39">
        <f t="shared" si="149"/>
        <v>45901</v>
      </c>
    </row>
    <row r="1911" spans="1:16" ht="15.5" x14ac:dyDescent="0.35">
      <c r="A1911" s="17" t="s">
        <v>1959</v>
      </c>
      <c r="B1911" s="35">
        <v>45685</v>
      </c>
      <c r="C1911" s="17" t="s">
        <v>12</v>
      </c>
      <c r="D1911" s="17" t="s">
        <v>19</v>
      </c>
      <c r="E1911" s="17" t="s">
        <v>77</v>
      </c>
      <c r="F1911" s="17" t="s">
        <v>21</v>
      </c>
      <c r="G1911" s="17" t="s">
        <v>82</v>
      </c>
      <c r="H1911" s="17" t="s">
        <v>2587</v>
      </c>
      <c r="I1911" s="17" t="s">
        <v>30</v>
      </c>
      <c r="J1911" s="36">
        <v>3556.67</v>
      </c>
      <c r="K1911" s="36">
        <v>899.15</v>
      </c>
      <c r="L1911" s="36">
        <f t="shared" si="145"/>
        <v>-2657.52</v>
      </c>
      <c r="M1911" s="37">
        <f t="shared" si="146"/>
        <v>-0.7471933015995299</v>
      </c>
      <c r="N1911" s="17" t="str">
        <f t="shared" si="147"/>
        <v>Under Budget</v>
      </c>
      <c r="O1911" s="38">
        <f t="shared" si="148"/>
        <v>-899.15</v>
      </c>
      <c r="P1911" s="39">
        <f t="shared" si="149"/>
        <v>45658</v>
      </c>
    </row>
    <row r="1912" spans="1:16" ht="15.5" x14ac:dyDescent="0.35">
      <c r="A1912" s="17" t="s">
        <v>1960</v>
      </c>
      <c r="B1912" s="35">
        <v>46146</v>
      </c>
      <c r="C1912" s="17" t="s">
        <v>25</v>
      </c>
      <c r="D1912" s="17" t="s">
        <v>13</v>
      </c>
      <c r="E1912" s="17" t="s">
        <v>169</v>
      </c>
      <c r="F1912" s="17" t="s">
        <v>52</v>
      </c>
      <c r="G1912" s="17" t="s">
        <v>29</v>
      </c>
      <c r="H1912" s="17" t="s">
        <v>2596</v>
      </c>
      <c r="I1912" s="17" t="s">
        <v>23</v>
      </c>
      <c r="J1912" s="36">
        <v>5000</v>
      </c>
      <c r="K1912" s="36">
        <v>1140.3900000000001</v>
      </c>
      <c r="L1912" s="36">
        <f t="shared" si="145"/>
        <v>-3859.6099999999997</v>
      </c>
      <c r="M1912" s="37">
        <f t="shared" si="146"/>
        <v>-0.77192199999999989</v>
      </c>
      <c r="N1912" s="17" t="str">
        <f t="shared" si="147"/>
        <v>Under Budget</v>
      </c>
      <c r="O1912" s="38">
        <f t="shared" si="148"/>
        <v>1140.3900000000001</v>
      </c>
      <c r="P1912" s="39">
        <f t="shared" si="149"/>
        <v>46143</v>
      </c>
    </row>
    <row r="1913" spans="1:16" ht="15.5" x14ac:dyDescent="0.35">
      <c r="A1913" s="17" t="s">
        <v>1961</v>
      </c>
      <c r="B1913" s="35">
        <v>46172</v>
      </c>
      <c r="C1913" s="17" t="s">
        <v>12</v>
      </c>
      <c r="D1913" s="17" t="s">
        <v>36</v>
      </c>
      <c r="E1913" s="17" t="s">
        <v>41</v>
      </c>
      <c r="F1913" s="17" t="s">
        <v>34</v>
      </c>
      <c r="G1913" s="17" t="s">
        <v>82</v>
      </c>
      <c r="H1913" s="17" t="s">
        <v>2586</v>
      </c>
      <c r="I1913" s="17" t="s">
        <v>23</v>
      </c>
      <c r="J1913" s="36">
        <v>6500</v>
      </c>
      <c r="K1913" s="36">
        <v>9388.0499999999993</v>
      </c>
      <c r="L1913" s="36">
        <f t="shared" si="145"/>
        <v>2888.0499999999993</v>
      </c>
      <c r="M1913" s="37">
        <f t="shared" si="146"/>
        <v>0.4443153846153845</v>
      </c>
      <c r="N1913" s="17" t="str">
        <f t="shared" si="147"/>
        <v>Over Budget</v>
      </c>
      <c r="O1913" s="38">
        <f t="shared" si="148"/>
        <v>-9388.0499999999993</v>
      </c>
      <c r="P1913" s="39">
        <f t="shared" si="149"/>
        <v>46143</v>
      </c>
    </row>
    <row r="1914" spans="1:16" ht="15.5" x14ac:dyDescent="0.35">
      <c r="A1914" s="17" t="s">
        <v>1962</v>
      </c>
      <c r="B1914" s="35">
        <v>45942</v>
      </c>
      <c r="C1914" s="17" t="s">
        <v>25</v>
      </c>
      <c r="D1914" s="17" t="s">
        <v>19</v>
      </c>
      <c r="E1914" s="17" t="s">
        <v>33</v>
      </c>
      <c r="F1914" s="17" t="s">
        <v>52</v>
      </c>
      <c r="G1914" s="17" t="s">
        <v>16</v>
      </c>
      <c r="H1914" s="17" t="s">
        <v>2587</v>
      </c>
      <c r="I1914" s="17" t="s">
        <v>23</v>
      </c>
      <c r="J1914" s="36">
        <v>8928.57</v>
      </c>
      <c r="K1914" s="36">
        <v>3422.27</v>
      </c>
      <c r="L1914" s="36">
        <f t="shared" si="145"/>
        <v>-5506.2999999999993</v>
      </c>
      <c r="M1914" s="37">
        <f t="shared" si="146"/>
        <v>-0.6167056986729117</v>
      </c>
      <c r="N1914" s="17" t="str">
        <f t="shared" si="147"/>
        <v>Under Budget</v>
      </c>
      <c r="O1914" s="38">
        <f t="shared" si="148"/>
        <v>3422.27</v>
      </c>
      <c r="P1914" s="39">
        <f t="shared" si="149"/>
        <v>45931</v>
      </c>
    </row>
    <row r="1915" spans="1:16" ht="15.5" x14ac:dyDescent="0.35">
      <c r="A1915" s="17" t="s">
        <v>1963</v>
      </c>
      <c r="B1915" s="35">
        <v>45787</v>
      </c>
      <c r="C1915" s="17" t="s">
        <v>12</v>
      </c>
      <c r="D1915" s="17" t="s">
        <v>19</v>
      </c>
      <c r="E1915" s="17" t="s">
        <v>20</v>
      </c>
      <c r="F1915" s="17" t="s">
        <v>28</v>
      </c>
      <c r="G1915" s="17" t="s">
        <v>22</v>
      </c>
      <c r="H1915" s="17" t="s">
        <v>2598</v>
      </c>
      <c r="I1915" s="17" t="s">
        <v>30</v>
      </c>
      <c r="J1915" s="36">
        <v>2250</v>
      </c>
      <c r="K1915" s="36">
        <v>1166.97</v>
      </c>
      <c r="L1915" s="36">
        <f t="shared" si="145"/>
        <v>-1083.03</v>
      </c>
      <c r="M1915" s="37">
        <f t="shared" si="146"/>
        <v>-0.48134666666666664</v>
      </c>
      <c r="N1915" s="17" t="str">
        <f t="shared" si="147"/>
        <v>Under Budget</v>
      </c>
      <c r="O1915" s="38">
        <f t="shared" si="148"/>
        <v>-1166.97</v>
      </c>
      <c r="P1915" s="39">
        <f t="shared" si="149"/>
        <v>45778</v>
      </c>
    </row>
    <row r="1916" spans="1:16" ht="15.5" x14ac:dyDescent="0.35">
      <c r="A1916" s="17" t="s">
        <v>1964</v>
      </c>
      <c r="B1916" s="35">
        <v>45943</v>
      </c>
      <c r="C1916" s="17" t="s">
        <v>12</v>
      </c>
      <c r="D1916" s="17" t="s">
        <v>2585</v>
      </c>
      <c r="E1916" s="17" t="s">
        <v>20</v>
      </c>
      <c r="F1916" s="17" t="s">
        <v>52</v>
      </c>
      <c r="G1916" s="17" t="s">
        <v>22</v>
      </c>
      <c r="H1916" s="17" t="s">
        <v>2594</v>
      </c>
      <c r="I1916" s="17" t="s">
        <v>23</v>
      </c>
      <c r="J1916" s="36">
        <v>3000</v>
      </c>
      <c r="K1916" s="36">
        <v>1333.98</v>
      </c>
      <c r="L1916" s="36">
        <f t="shared" si="145"/>
        <v>-1666.02</v>
      </c>
      <c r="M1916" s="37">
        <f t="shared" si="146"/>
        <v>-0.55533999999999994</v>
      </c>
      <c r="N1916" s="17" t="str">
        <f t="shared" si="147"/>
        <v>Under Budget</v>
      </c>
      <c r="O1916" s="38">
        <f t="shared" si="148"/>
        <v>-1333.98</v>
      </c>
      <c r="P1916" s="39">
        <f t="shared" si="149"/>
        <v>45931</v>
      </c>
    </row>
    <row r="1917" spans="1:16" ht="15.5" x14ac:dyDescent="0.35">
      <c r="A1917" s="17" t="s">
        <v>1965</v>
      </c>
      <c r="B1917" s="35">
        <v>46163</v>
      </c>
      <c r="C1917" s="17" t="s">
        <v>12</v>
      </c>
      <c r="D1917" s="17" t="s">
        <v>36</v>
      </c>
      <c r="E1917" s="17" t="s">
        <v>65</v>
      </c>
      <c r="F1917" s="17" t="s">
        <v>28</v>
      </c>
      <c r="G1917" s="17" t="s">
        <v>38</v>
      </c>
      <c r="H1917" s="17" t="s">
        <v>2591</v>
      </c>
      <c r="I1917" s="17" t="s">
        <v>23</v>
      </c>
      <c r="J1917" s="36">
        <v>7857.14</v>
      </c>
      <c r="K1917" s="36">
        <v>8354.48</v>
      </c>
      <c r="L1917" s="36">
        <f t="shared" si="145"/>
        <v>497.33999999999924</v>
      </c>
      <c r="M1917" s="37">
        <f t="shared" si="146"/>
        <v>6.3297841199214888E-2</v>
      </c>
      <c r="N1917" s="17" t="str">
        <f t="shared" si="147"/>
        <v>Over Budget</v>
      </c>
      <c r="O1917" s="38">
        <f t="shared" si="148"/>
        <v>-8354.48</v>
      </c>
      <c r="P1917" s="39">
        <f t="shared" si="149"/>
        <v>46143</v>
      </c>
    </row>
    <row r="1918" spans="1:16" ht="15.5" x14ac:dyDescent="0.35">
      <c r="A1918" s="17" t="s">
        <v>1966</v>
      </c>
      <c r="B1918" s="35">
        <v>45827</v>
      </c>
      <c r="C1918" s="17" t="s">
        <v>25</v>
      </c>
      <c r="D1918" s="17" t="s">
        <v>26</v>
      </c>
      <c r="E1918" s="17" t="s">
        <v>27</v>
      </c>
      <c r="F1918" s="17" t="s">
        <v>34</v>
      </c>
      <c r="G1918" s="17" t="s">
        <v>38</v>
      </c>
      <c r="H1918" s="17" t="s">
        <v>2588</v>
      </c>
      <c r="I1918" s="17" t="s">
        <v>23</v>
      </c>
      <c r="J1918" s="36">
        <v>5333.33</v>
      </c>
      <c r="K1918" s="36">
        <v>130.93</v>
      </c>
      <c r="L1918" s="36">
        <f t="shared" si="145"/>
        <v>-5202.3999999999996</v>
      </c>
      <c r="M1918" s="37">
        <f t="shared" si="146"/>
        <v>-0.975450609656631</v>
      </c>
      <c r="N1918" s="17" t="str">
        <f t="shared" si="147"/>
        <v>Under Budget</v>
      </c>
      <c r="O1918" s="38">
        <f t="shared" si="148"/>
        <v>130.93</v>
      </c>
      <c r="P1918" s="39">
        <f t="shared" si="149"/>
        <v>45809</v>
      </c>
    </row>
    <row r="1919" spans="1:16" ht="15.5" x14ac:dyDescent="0.35">
      <c r="A1919" s="17" t="s">
        <v>1967</v>
      </c>
      <c r="B1919" s="35">
        <v>45793</v>
      </c>
      <c r="C1919" s="17" t="s">
        <v>25</v>
      </c>
      <c r="D1919" s="17" t="s">
        <v>36</v>
      </c>
      <c r="E1919" s="17" t="s">
        <v>27</v>
      </c>
      <c r="F1919" s="17" t="s">
        <v>15</v>
      </c>
      <c r="G1919" s="17" t="s">
        <v>22</v>
      </c>
      <c r="H1919" s="17" t="s">
        <v>2592</v>
      </c>
      <c r="I1919" s="17" t="s">
        <v>23</v>
      </c>
      <c r="J1919" s="36">
        <v>10000</v>
      </c>
      <c r="K1919" s="36">
        <v>1752.56</v>
      </c>
      <c r="L1919" s="36">
        <f t="shared" si="145"/>
        <v>-8247.44</v>
      </c>
      <c r="M1919" s="37">
        <f t="shared" si="146"/>
        <v>-0.82474400000000003</v>
      </c>
      <c r="N1919" s="17" t="str">
        <f t="shared" si="147"/>
        <v>Under Budget</v>
      </c>
      <c r="O1919" s="38">
        <f t="shared" si="148"/>
        <v>1752.56</v>
      </c>
      <c r="P1919" s="39">
        <f t="shared" si="149"/>
        <v>45778</v>
      </c>
    </row>
    <row r="1920" spans="1:16" ht="15.5" x14ac:dyDescent="0.35">
      <c r="A1920" s="17" t="s">
        <v>1968</v>
      </c>
      <c r="B1920" s="35">
        <v>46197</v>
      </c>
      <c r="C1920" s="17" t="s">
        <v>12</v>
      </c>
      <c r="D1920" s="17" t="s">
        <v>2584</v>
      </c>
      <c r="E1920" s="17" t="s">
        <v>20</v>
      </c>
      <c r="F1920" s="17" t="s">
        <v>28</v>
      </c>
      <c r="G1920" s="17" t="s">
        <v>38</v>
      </c>
      <c r="H1920" s="17" t="s">
        <v>2595</v>
      </c>
      <c r="I1920" s="17" t="s">
        <v>39</v>
      </c>
      <c r="J1920" s="36">
        <v>3000</v>
      </c>
      <c r="K1920" s="36">
        <v>856.97</v>
      </c>
      <c r="L1920" s="36">
        <f t="shared" si="145"/>
        <v>-2143.0299999999997</v>
      </c>
      <c r="M1920" s="37">
        <f t="shared" si="146"/>
        <v>-0.71434333333333322</v>
      </c>
      <c r="N1920" s="17" t="str">
        <f t="shared" si="147"/>
        <v>Under Budget</v>
      </c>
      <c r="O1920" s="38">
        <f t="shared" si="148"/>
        <v>-856.97</v>
      </c>
      <c r="P1920" s="39">
        <f t="shared" si="149"/>
        <v>46174</v>
      </c>
    </row>
    <row r="1921" spans="1:16" ht="15.5" x14ac:dyDescent="0.35">
      <c r="A1921" s="17" t="s">
        <v>1969</v>
      </c>
      <c r="B1921" s="35">
        <v>46192</v>
      </c>
      <c r="C1921" s="17" t="s">
        <v>12</v>
      </c>
      <c r="D1921" s="17" t="s">
        <v>2584</v>
      </c>
      <c r="E1921" s="17" t="s">
        <v>45</v>
      </c>
      <c r="F1921" s="17" t="s">
        <v>28</v>
      </c>
      <c r="G1921" s="17" t="s">
        <v>43</v>
      </c>
      <c r="H1921" s="17" t="s">
        <v>80</v>
      </c>
      <c r="I1921" s="17" t="s">
        <v>23</v>
      </c>
      <c r="J1921" s="36">
        <v>8571.43</v>
      </c>
      <c r="K1921" s="36">
        <v>891.09</v>
      </c>
      <c r="L1921" s="36">
        <f t="shared" si="145"/>
        <v>-7680.34</v>
      </c>
      <c r="M1921" s="37">
        <f t="shared" si="146"/>
        <v>-0.89603951732674714</v>
      </c>
      <c r="N1921" s="17" t="str">
        <f t="shared" si="147"/>
        <v>Under Budget</v>
      </c>
      <c r="O1921" s="38">
        <f t="shared" si="148"/>
        <v>-891.09</v>
      </c>
      <c r="P1921" s="39">
        <f t="shared" si="149"/>
        <v>46174</v>
      </c>
    </row>
    <row r="1922" spans="1:16" ht="15.5" x14ac:dyDescent="0.35">
      <c r="A1922" s="17" t="s">
        <v>1970</v>
      </c>
      <c r="B1922" s="35">
        <v>46146</v>
      </c>
      <c r="C1922" s="17" t="s">
        <v>12</v>
      </c>
      <c r="D1922" s="17" t="s">
        <v>19</v>
      </c>
      <c r="E1922" s="17" t="s">
        <v>41</v>
      </c>
      <c r="F1922" s="17" t="s">
        <v>15</v>
      </c>
      <c r="G1922" s="17" t="s">
        <v>16</v>
      </c>
      <c r="H1922" s="17" t="s">
        <v>2596</v>
      </c>
      <c r="I1922" s="17" t="s">
        <v>39</v>
      </c>
      <c r="J1922" s="36">
        <v>6500</v>
      </c>
      <c r="K1922" s="36">
        <v>8986.7000000000007</v>
      </c>
      <c r="L1922" s="36">
        <f t="shared" si="145"/>
        <v>2486.7000000000007</v>
      </c>
      <c r="M1922" s="37">
        <f t="shared" si="146"/>
        <v>0.38256923076923088</v>
      </c>
      <c r="N1922" s="17" t="str">
        <f t="shared" si="147"/>
        <v>Over Budget</v>
      </c>
      <c r="O1922" s="38">
        <f t="shared" si="148"/>
        <v>-8986.7000000000007</v>
      </c>
      <c r="P1922" s="39">
        <f t="shared" si="149"/>
        <v>46143</v>
      </c>
    </row>
    <row r="1923" spans="1:16" ht="15.5" x14ac:dyDescent="0.35">
      <c r="A1923" s="17" t="s">
        <v>1971</v>
      </c>
      <c r="B1923" s="35">
        <v>46129</v>
      </c>
      <c r="C1923" s="17" t="s">
        <v>25</v>
      </c>
      <c r="D1923" s="17" t="s">
        <v>32</v>
      </c>
      <c r="E1923" s="17" t="s">
        <v>27</v>
      </c>
      <c r="F1923" s="17" t="s">
        <v>28</v>
      </c>
      <c r="G1923" s="17" t="s">
        <v>43</v>
      </c>
      <c r="H1923" s="17" t="s">
        <v>2589</v>
      </c>
      <c r="I1923" s="17" t="s">
        <v>48</v>
      </c>
      <c r="J1923" s="36">
        <v>20000</v>
      </c>
      <c r="K1923" s="36">
        <v>7537.35</v>
      </c>
      <c r="L1923" s="36">
        <f t="shared" ref="L1923:L1986" si="150">K1923-J1923</f>
        <v>-12462.65</v>
      </c>
      <c r="M1923" s="37">
        <f t="shared" ref="M1923:M1986" si="151">IF(J1923=0,0,L1923/J1923)</f>
        <v>-0.62313249999999998</v>
      </c>
      <c r="N1923" s="17" t="str">
        <f t="shared" ref="N1923:N1986" si="152">IF(J1923=0,"No Budget",IF(K1923&gt;J1923,"Over Budget",IF(K1923&lt;J1923,"Under Budget","On Budget")))</f>
        <v>Under Budget</v>
      </c>
      <c r="O1923" s="38">
        <f t="shared" ref="O1923:O1986" si="153">IF(C1923="Revenue",K1923,-K1923)</f>
        <v>7537.35</v>
      </c>
      <c r="P1923" s="39">
        <f t="shared" ref="P1923:P1986" si="154">DATE(YEAR(B1923),MONTH(B1923),1)</f>
        <v>46113</v>
      </c>
    </row>
    <row r="1924" spans="1:16" ht="15.5" x14ac:dyDescent="0.35">
      <c r="A1924" s="17" t="s">
        <v>1972</v>
      </c>
      <c r="B1924" s="35">
        <v>46197</v>
      </c>
      <c r="C1924" s="17" t="s">
        <v>25</v>
      </c>
      <c r="D1924" s="17" t="s">
        <v>13</v>
      </c>
      <c r="E1924" s="17" t="s">
        <v>33</v>
      </c>
      <c r="F1924" s="17" t="s">
        <v>52</v>
      </c>
      <c r="G1924" s="17" t="s">
        <v>82</v>
      </c>
      <c r="H1924" s="17" t="s">
        <v>60</v>
      </c>
      <c r="I1924" s="17" t="s">
        <v>30</v>
      </c>
      <c r="J1924" s="36">
        <v>10000</v>
      </c>
      <c r="K1924" s="36">
        <v>7141.79</v>
      </c>
      <c r="L1924" s="36">
        <f t="shared" si="150"/>
        <v>-2858.21</v>
      </c>
      <c r="M1924" s="37">
        <f t="shared" si="151"/>
        <v>-0.28582099999999999</v>
      </c>
      <c r="N1924" s="17" t="str">
        <f t="shared" si="152"/>
        <v>Under Budget</v>
      </c>
      <c r="O1924" s="38">
        <f t="shared" si="153"/>
        <v>7141.79</v>
      </c>
      <c r="P1924" s="39">
        <f t="shared" si="154"/>
        <v>46174</v>
      </c>
    </row>
    <row r="1925" spans="1:16" ht="15.5" x14ac:dyDescent="0.35">
      <c r="A1925" s="17" t="s">
        <v>1973</v>
      </c>
      <c r="B1925" s="35">
        <v>46016</v>
      </c>
      <c r="C1925" s="17" t="s">
        <v>12</v>
      </c>
      <c r="D1925" s="17" t="s">
        <v>26</v>
      </c>
      <c r="E1925" s="17" t="s">
        <v>45</v>
      </c>
      <c r="F1925" s="17" t="s">
        <v>52</v>
      </c>
      <c r="G1925" s="17" t="s">
        <v>22</v>
      </c>
      <c r="H1925" s="17" t="s">
        <v>2587</v>
      </c>
      <c r="I1925" s="17" t="s">
        <v>23</v>
      </c>
      <c r="J1925" s="36">
        <v>7875</v>
      </c>
      <c r="K1925" s="36">
        <v>11384.95</v>
      </c>
      <c r="L1925" s="36">
        <f t="shared" si="150"/>
        <v>3509.9500000000007</v>
      </c>
      <c r="M1925" s="37">
        <f t="shared" si="151"/>
        <v>0.44570793650793661</v>
      </c>
      <c r="N1925" s="17" t="str">
        <f t="shared" si="152"/>
        <v>Over Budget</v>
      </c>
      <c r="O1925" s="38">
        <f t="shared" si="153"/>
        <v>-11384.95</v>
      </c>
      <c r="P1925" s="39">
        <f t="shared" si="154"/>
        <v>45992</v>
      </c>
    </row>
    <row r="1926" spans="1:16" ht="15.5" x14ac:dyDescent="0.35">
      <c r="A1926" s="17" t="s">
        <v>1974</v>
      </c>
      <c r="B1926" s="35">
        <v>45679</v>
      </c>
      <c r="C1926" s="17" t="s">
        <v>12</v>
      </c>
      <c r="D1926" s="17" t="s">
        <v>19</v>
      </c>
      <c r="E1926" s="17" t="s">
        <v>45</v>
      </c>
      <c r="F1926" s="17" t="s">
        <v>52</v>
      </c>
      <c r="G1926" s="17" t="s">
        <v>29</v>
      </c>
      <c r="H1926" s="17" t="s">
        <v>2596</v>
      </c>
      <c r="I1926" s="17" t="s">
        <v>23</v>
      </c>
      <c r="J1926" s="36">
        <v>7591.3</v>
      </c>
      <c r="K1926" s="36">
        <v>14953.82</v>
      </c>
      <c r="L1926" s="36">
        <f t="shared" si="150"/>
        <v>7362.5199999999995</v>
      </c>
      <c r="M1926" s="37">
        <f t="shared" si="151"/>
        <v>0.96986286933726762</v>
      </c>
      <c r="N1926" s="17" t="str">
        <f t="shared" si="152"/>
        <v>Over Budget</v>
      </c>
      <c r="O1926" s="38">
        <f t="shared" si="153"/>
        <v>-14953.82</v>
      </c>
      <c r="P1926" s="39">
        <f t="shared" si="154"/>
        <v>45658</v>
      </c>
    </row>
    <row r="1927" spans="1:16" ht="15.5" x14ac:dyDescent="0.35">
      <c r="A1927" s="17" t="s">
        <v>1975</v>
      </c>
      <c r="B1927" s="35">
        <v>45980</v>
      </c>
      <c r="C1927" s="17" t="s">
        <v>12</v>
      </c>
      <c r="D1927" s="17" t="s">
        <v>13</v>
      </c>
      <c r="E1927" s="17" t="s">
        <v>45</v>
      </c>
      <c r="F1927" s="17" t="s">
        <v>15</v>
      </c>
      <c r="G1927" s="17" t="s">
        <v>38</v>
      </c>
      <c r="H1927" s="17" t="s">
        <v>2589</v>
      </c>
      <c r="I1927" s="17" t="s">
        <v>23</v>
      </c>
      <c r="J1927" s="36">
        <v>9947.3700000000008</v>
      </c>
      <c r="K1927" s="36">
        <v>10386.200000000001</v>
      </c>
      <c r="L1927" s="36">
        <f t="shared" si="150"/>
        <v>438.82999999999993</v>
      </c>
      <c r="M1927" s="37">
        <f t="shared" si="151"/>
        <v>4.4115178182775938E-2</v>
      </c>
      <c r="N1927" s="17" t="str">
        <f t="shared" si="152"/>
        <v>Over Budget</v>
      </c>
      <c r="O1927" s="38">
        <f t="shared" si="153"/>
        <v>-10386.200000000001</v>
      </c>
      <c r="P1927" s="39">
        <f t="shared" si="154"/>
        <v>45962</v>
      </c>
    </row>
    <row r="1928" spans="1:16" ht="15.5" x14ac:dyDescent="0.35">
      <c r="A1928" s="17" t="s">
        <v>1976</v>
      </c>
      <c r="B1928" s="35">
        <v>45733</v>
      </c>
      <c r="C1928" s="17" t="s">
        <v>25</v>
      </c>
      <c r="D1928" s="17" t="s">
        <v>2584</v>
      </c>
      <c r="E1928" s="17" t="s">
        <v>169</v>
      </c>
      <c r="F1928" s="17" t="s">
        <v>21</v>
      </c>
      <c r="G1928" s="17" t="s">
        <v>38</v>
      </c>
      <c r="H1928" s="17" t="s">
        <v>2594</v>
      </c>
      <c r="I1928" s="17" t="s">
        <v>23</v>
      </c>
      <c r="J1928" s="36">
        <v>2857.14</v>
      </c>
      <c r="K1928" s="36">
        <v>4001.34</v>
      </c>
      <c r="L1928" s="36">
        <f t="shared" si="150"/>
        <v>1144.2000000000003</v>
      </c>
      <c r="M1928" s="37">
        <f t="shared" si="151"/>
        <v>0.40047040047040061</v>
      </c>
      <c r="N1928" s="17" t="str">
        <f t="shared" si="152"/>
        <v>Over Budget</v>
      </c>
      <c r="O1928" s="38">
        <f t="shared" si="153"/>
        <v>4001.34</v>
      </c>
      <c r="P1928" s="39">
        <f t="shared" si="154"/>
        <v>45717</v>
      </c>
    </row>
    <row r="1929" spans="1:16" ht="15.5" x14ac:dyDescent="0.35">
      <c r="A1929" s="17" t="s">
        <v>1977</v>
      </c>
      <c r="B1929" s="35">
        <v>46111</v>
      </c>
      <c r="C1929" s="17" t="s">
        <v>12</v>
      </c>
      <c r="D1929" s="17" t="s">
        <v>32</v>
      </c>
      <c r="E1929" s="17" t="s">
        <v>65</v>
      </c>
      <c r="F1929" s="17" t="s">
        <v>52</v>
      </c>
      <c r="G1929" s="17" t="s">
        <v>22</v>
      </c>
      <c r="H1929" s="17" t="s">
        <v>2590</v>
      </c>
      <c r="I1929" s="17" t="s">
        <v>23</v>
      </c>
      <c r="J1929" s="36">
        <v>5000</v>
      </c>
      <c r="K1929" s="36">
        <v>6042.53</v>
      </c>
      <c r="L1929" s="36">
        <f t="shared" si="150"/>
        <v>1042.5299999999997</v>
      </c>
      <c r="M1929" s="37">
        <f t="shared" si="151"/>
        <v>0.20850599999999994</v>
      </c>
      <c r="N1929" s="17" t="str">
        <f t="shared" si="152"/>
        <v>Over Budget</v>
      </c>
      <c r="O1929" s="38">
        <f t="shared" si="153"/>
        <v>-6042.53</v>
      </c>
      <c r="P1929" s="39">
        <f t="shared" si="154"/>
        <v>46082</v>
      </c>
    </row>
    <row r="1930" spans="1:16" ht="15.5" x14ac:dyDescent="0.35">
      <c r="A1930" s="17" t="s">
        <v>1978</v>
      </c>
      <c r="B1930" s="35">
        <v>45914</v>
      </c>
      <c r="C1930" s="17" t="s">
        <v>12</v>
      </c>
      <c r="D1930" s="17" t="s">
        <v>13</v>
      </c>
      <c r="E1930" s="17" t="s">
        <v>14</v>
      </c>
      <c r="F1930" s="17" t="s">
        <v>21</v>
      </c>
      <c r="G1930" s="17" t="s">
        <v>16</v>
      </c>
      <c r="H1930" s="17" t="s">
        <v>2595</v>
      </c>
      <c r="I1930" s="17" t="s">
        <v>39</v>
      </c>
      <c r="J1930" s="36">
        <v>5333.33</v>
      </c>
      <c r="K1930" s="36">
        <v>396.79</v>
      </c>
      <c r="L1930" s="36">
        <f t="shared" si="150"/>
        <v>-4936.54</v>
      </c>
      <c r="M1930" s="37">
        <f t="shared" si="151"/>
        <v>-0.92560182850114281</v>
      </c>
      <c r="N1930" s="17" t="str">
        <f t="shared" si="152"/>
        <v>Under Budget</v>
      </c>
      <c r="O1930" s="38">
        <f t="shared" si="153"/>
        <v>-396.79</v>
      </c>
      <c r="P1930" s="39">
        <f t="shared" si="154"/>
        <v>45901</v>
      </c>
    </row>
    <row r="1931" spans="1:16" ht="15.5" x14ac:dyDescent="0.35">
      <c r="A1931" s="17" t="s">
        <v>1979</v>
      </c>
      <c r="B1931" s="35">
        <v>46196</v>
      </c>
      <c r="C1931" s="17" t="s">
        <v>12</v>
      </c>
      <c r="D1931" s="17" t="s">
        <v>26</v>
      </c>
      <c r="E1931" s="17" t="s">
        <v>45</v>
      </c>
      <c r="F1931" s="17" t="s">
        <v>34</v>
      </c>
      <c r="G1931" s="17" t="s">
        <v>29</v>
      </c>
      <c r="H1931" s="17" t="s">
        <v>80</v>
      </c>
      <c r="I1931" s="17" t="s">
        <v>39</v>
      </c>
      <c r="J1931" s="36">
        <v>8571.43</v>
      </c>
      <c r="K1931" s="36">
        <v>6818.68</v>
      </c>
      <c r="L1931" s="36">
        <f t="shared" si="150"/>
        <v>-1752.75</v>
      </c>
      <c r="M1931" s="37">
        <f t="shared" si="151"/>
        <v>-0.20448746591875566</v>
      </c>
      <c r="N1931" s="17" t="str">
        <f t="shared" si="152"/>
        <v>Under Budget</v>
      </c>
      <c r="O1931" s="38">
        <f t="shared" si="153"/>
        <v>-6818.68</v>
      </c>
      <c r="P1931" s="39">
        <f t="shared" si="154"/>
        <v>46174</v>
      </c>
    </row>
    <row r="1932" spans="1:16" ht="15.5" x14ac:dyDescent="0.35">
      <c r="A1932" s="17" t="s">
        <v>1980</v>
      </c>
      <c r="B1932" s="35">
        <v>46122</v>
      </c>
      <c r="C1932" s="17" t="s">
        <v>12</v>
      </c>
      <c r="D1932" s="17" t="s">
        <v>26</v>
      </c>
      <c r="E1932" s="17" t="s">
        <v>41</v>
      </c>
      <c r="F1932" s="17" t="s">
        <v>28</v>
      </c>
      <c r="G1932" s="17" t="s">
        <v>22</v>
      </c>
      <c r="H1932" s="17" t="s">
        <v>2589</v>
      </c>
      <c r="I1932" s="17" t="s">
        <v>48</v>
      </c>
      <c r="J1932" s="36">
        <v>10833.33</v>
      </c>
      <c r="K1932" s="36">
        <v>11111.87</v>
      </c>
      <c r="L1932" s="36">
        <f t="shared" si="150"/>
        <v>278.54000000000087</v>
      </c>
      <c r="M1932" s="37">
        <f t="shared" si="151"/>
        <v>2.5711392526582395E-2</v>
      </c>
      <c r="N1932" s="17" t="str">
        <f t="shared" si="152"/>
        <v>Over Budget</v>
      </c>
      <c r="O1932" s="38">
        <f t="shared" si="153"/>
        <v>-11111.87</v>
      </c>
      <c r="P1932" s="39">
        <f t="shared" si="154"/>
        <v>46113</v>
      </c>
    </row>
    <row r="1933" spans="1:16" ht="15.5" x14ac:dyDescent="0.35">
      <c r="A1933" s="17" t="s">
        <v>1981</v>
      </c>
      <c r="B1933" s="35">
        <v>45874</v>
      </c>
      <c r="C1933" s="17" t="s">
        <v>25</v>
      </c>
      <c r="D1933" s="17" t="s">
        <v>26</v>
      </c>
      <c r="E1933" s="17" t="s">
        <v>33</v>
      </c>
      <c r="F1933" s="17" t="s">
        <v>52</v>
      </c>
      <c r="G1933" s="17" t="s">
        <v>38</v>
      </c>
      <c r="H1933" s="17" t="s">
        <v>80</v>
      </c>
      <c r="I1933" s="17" t="s">
        <v>30</v>
      </c>
      <c r="J1933" s="36">
        <v>10416.67</v>
      </c>
      <c r="K1933" s="36">
        <v>22210.75</v>
      </c>
      <c r="L1933" s="36">
        <f t="shared" si="150"/>
        <v>11794.08</v>
      </c>
      <c r="M1933" s="37">
        <f t="shared" si="151"/>
        <v>1.1322313176859784</v>
      </c>
      <c r="N1933" s="17" t="str">
        <f t="shared" si="152"/>
        <v>Over Budget</v>
      </c>
      <c r="O1933" s="38">
        <f t="shared" si="153"/>
        <v>22210.75</v>
      </c>
      <c r="P1933" s="39">
        <f t="shared" si="154"/>
        <v>45870</v>
      </c>
    </row>
    <row r="1934" spans="1:16" ht="15.5" x14ac:dyDescent="0.35">
      <c r="A1934" s="17" t="s">
        <v>1982</v>
      </c>
      <c r="B1934" s="35">
        <v>46036</v>
      </c>
      <c r="C1934" s="17" t="s">
        <v>25</v>
      </c>
      <c r="D1934" s="17" t="s">
        <v>32</v>
      </c>
      <c r="E1934" s="17" t="s">
        <v>33</v>
      </c>
      <c r="F1934" s="17" t="s">
        <v>34</v>
      </c>
      <c r="G1934" s="17" t="s">
        <v>16</v>
      </c>
      <c r="H1934" s="17" t="s">
        <v>2586</v>
      </c>
      <c r="I1934" s="17" t="s">
        <v>23</v>
      </c>
      <c r="J1934" s="36">
        <v>11547.62</v>
      </c>
      <c r="K1934" s="36">
        <v>16975.47</v>
      </c>
      <c r="L1934" s="36">
        <f t="shared" si="150"/>
        <v>5427.85</v>
      </c>
      <c r="M1934" s="37">
        <f t="shared" si="151"/>
        <v>0.47004057979046765</v>
      </c>
      <c r="N1934" s="17" t="str">
        <f t="shared" si="152"/>
        <v>Over Budget</v>
      </c>
      <c r="O1934" s="38">
        <f t="shared" si="153"/>
        <v>16975.47</v>
      </c>
      <c r="P1934" s="39">
        <f t="shared" si="154"/>
        <v>46023</v>
      </c>
    </row>
    <row r="1935" spans="1:16" ht="15.5" x14ac:dyDescent="0.35">
      <c r="A1935" s="17" t="s">
        <v>1983</v>
      </c>
      <c r="B1935" s="35">
        <v>45764</v>
      </c>
      <c r="C1935" s="17" t="s">
        <v>25</v>
      </c>
      <c r="D1935" s="17" t="s">
        <v>32</v>
      </c>
      <c r="E1935" s="17" t="s">
        <v>27</v>
      </c>
      <c r="F1935" s="17" t="s">
        <v>52</v>
      </c>
      <c r="G1935" s="17" t="s">
        <v>38</v>
      </c>
      <c r="H1935" s="17" t="s">
        <v>2596</v>
      </c>
      <c r="I1935" s="17" t="s">
        <v>48</v>
      </c>
      <c r="J1935" s="36">
        <v>10000</v>
      </c>
      <c r="K1935" s="36">
        <v>1109.8800000000001</v>
      </c>
      <c r="L1935" s="36">
        <f t="shared" si="150"/>
        <v>-8890.119999999999</v>
      </c>
      <c r="M1935" s="37">
        <f t="shared" si="151"/>
        <v>-0.88901199999999991</v>
      </c>
      <c r="N1935" s="17" t="str">
        <f t="shared" si="152"/>
        <v>Under Budget</v>
      </c>
      <c r="O1935" s="38">
        <f t="shared" si="153"/>
        <v>1109.8800000000001</v>
      </c>
      <c r="P1935" s="39">
        <f t="shared" si="154"/>
        <v>45748</v>
      </c>
    </row>
    <row r="1936" spans="1:16" ht="15.5" x14ac:dyDescent="0.35">
      <c r="A1936" s="17" t="s">
        <v>1984</v>
      </c>
      <c r="B1936" s="35">
        <v>46015</v>
      </c>
      <c r="C1936" s="17" t="s">
        <v>12</v>
      </c>
      <c r="D1936" s="17" t="s">
        <v>2585</v>
      </c>
      <c r="E1936" s="17" t="s">
        <v>47</v>
      </c>
      <c r="F1936" s="17" t="s">
        <v>21</v>
      </c>
      <c r="G1936" s="17" t="s">
        <v>38</v>
      </c>
      <c r="H1936" s="17" t="s">
        <v>2592</v>
      </c>
      <c r="I1936" s="17" t="s">
        <v>48</v>
      </c>
      <c r="J1936" s="36">
        <v>6125</v>
      </c>
      <c r="K1936" s="36">
        <v>1664.59</v>
      </c>
      <c r="L1936" s="36">
        <f t="shared" si="150"/>
        <v>-4460.41</v>
      </c>
      <c r="M1936" s="37">
        <f t="shared" si="151"/>
        <v>-0.72823020408163264</v>
      </c>
      <c r="N1936" s="17" t="str">
        <f t="shared" si="152"/>
        <v>Under Budget</v>
      </c>
      <c r="O1936" s="38">
        <f t="shared" si="153"/>
        <v>-1664.59</v>
      </c>
      <c r="P1936" s="39">
        <f t="shared" si="154"/>
        <v>45992</v>
      </c>
    </row>
    <row r="1937" spans="1:16" ht="15.5" x14ac:dyDescent="0.35">
      <c r="A1937" s="17" t="s">
        <v>1985</v>
      </c>
      <c r="B1937" s="35">
        <v>45837</v>
      </c>
      <c r="C1937" s="17" t="s">
        <v>25</v>
      </c>
      <c r="D1937" s="17" t="s">
        <v>32</v>
      </c>
      <c r="E1937" s="17" t="s">
        <v>109</v>
      </c>
      <c r="F1937" s="17" t="s">
        <v>21</v>
      </c>
      <c r="G1937" s="17" t="s">
        <v>38</v>
      </c>
      <c r="H1937" s="17" t="s">
        <v>2587</v>
      </c>
      <c r="I1937" s="17" t="s">
        <v>39</v>
      </c>
      <c r="J1937" s="36">
        <v>6250</v>
      </c>
      <c r="K1937" s="36">
        <v>2260.81</v>
      </c>
      <c r="L1937" s="36">
        <f t="shared" si="150"/>
        <v>-3989.19</v>
      </c>
      <c r="M1937" s="37">
        <f t="shared" si="151"/>
        <v>-0.63827040000000002</v>
      </c>
      <c r="N1937" s="17" t="str">
        <f t="shared" si="152"/>
        <v>Under Budget</v>
      </c>
      <c r="O1937" s="38">
        <f t="shared" si="153"/>
        <v>2260.81</v>
      </c>
      <c r="P1937" s="39">
        <f t="shared" si="154"/>
        <v>45809</v>
      </c>
    </row>
    <row r="1938" spans="1:16" ht="15.5" x14ac:dyDescent="0.35">
      <c r="A1938" s="17" t="s">
        <v>1986</v>
      </c>
      <c r="B1938" s="35">
        <v>45852</v>
      </c>
      <c r="C1938" s="17" t="s">
        <v>12</v>
      </c>
      <c r="D1938" s="17" t="s">
        <v>32</v>
      </c>
      <c r="E1938" s="17" t="s">
        <v>41</v>
      </c>
      <c r="F1938" s="17" t="s">
        <v>28</v>
      </c>
      <c r="G1938" s="17" t="s">
        <v>38</v>
      </c>
      <c r="H1938" s="17" t="s">
        <v>2594</v>
      </c>
      <c r="I1938" s="17" t="s">
        <v>39</v>
      </c>
      <c r="J1938" s="36">
        <v>5909.09</v>
      </c>
      <c r="K1938" s="36">
        <v>11006.95</v>
      </c>
      <c r="L1938" s="36">
        <f t="shared" si="150"/>
        <v>5097.8600000000006</v>
      </c>
      <c r="M1938" s="37">
        <f t="shared" si="151"/>
        <v>0.86271490195613887</v>
      </c>
      <c r="N1938" s="17" t="str">
        <f t="shared" si="152"/>
        <v>Over Budget</v>
      </c>
      <c r="O1938" s="38">
        <f t="shared" si="153"/>
        <v>-11006.95</v>
      </c>
      <c r="P1938" s="39">
        <f t="shared" si="154"/>
        <v>45839</v>
      </c>
    </row>
    <row r="1939" spans="1:16" ht="15.5" x14ac:dyDescent="0.35">
      <c r="A1939" s="17" t="s">
        <v>1987</v>
      </c>
      <c r="B1939" s="35">
        <v>45699</v>
      </c>
      <c r="C1939" s="17" t="s">
        <v>25</v>
      </c>
      <c r="D1939" s="17" t="s">
        <v>32</v>
      </c>
      <c r="E1939" s="17" t="s">
        <v>33</v>
      </c>
      <c r="F1939" s="17" t="s">
        <v>15</v>
      </c>
      <c r="G1939" s="17" t="s">
        <v>38</v>
      </c>
      <c r="H1939" s="17" t="s">
        <v>2591</v>
      </c>
      <c r="I1939" s="17" t="s">
        <v>30</v>
      </c>
      <c r="J1939" s="36">
        <v>13472.22</v>
      </c>
      <c r="K1939" s="36">
        <v>14998.71</v>
      </c>
      <c r="L1939" s="36">
        <f t="shared" si="150"/>
        <v>1526.4899999999998</v>
      </c>
      <c r="M1939" s="37">
        <f t="shared" si="151"/>
        <v>0.1133064929165349</v>
      </c>
      <c r="N1939" s="17" t="str">
        <f t="shared" si="152"/>
        <v>Over Budget</v>
      </c>
      <c r="O1939" s="38">
        <f t="shared" si="153"/>
        <v>14998.71</v>
      </c>
      <c r="P1939" s="39">
        <f t="shared" si="154"/>
        <v>45689</v>
      </c>
    </row>
    <row r="1940" spans="1:16" ht="15.5" x14ac:dyDescent="0.35">
      <c r="A1940" s="17" t="s">
        <v>1988</v>
      </c>
      <c r="B1940" s="35">
        <v>46120</v>
      </c>
      <c r="C1940" s="17" t="s">
        <v>12</v>
      </c>
      <c r="D1940" s="17" t="s">
        <v>13</v>
      </c>
      <c r="E1940" s="17" t="s">
        <v>74</v>
      </c>
      <c r="F1940" s="17" t="s">
        <v>28</v>
      </c>
      <c r="G1940" s="17" t="s">
        <v>38</v>
      </c>
      <c r="H1940" s="17" t="s">
        <v>2593</v>
      </c>
      <c r="I1940" s="17" t="s">
        <v>39</v>
      </c>
      <c r="J1940" s="36">
        <v>6666.67</v>
      </c>
      <c r="K1940" s="36">
        <v>789.56</v>
      </c>
      <c r="L1940" s="36">
        <f t="shared" si="150"/>
        <v>-5877.1100000000006</v>
      </c>
      <c r="M1940" s="37">
        <f t="shared" si="151"/>
        <v>-0.88156605921697051</v>
      </c>
      <c r="N1940" s="17" t="str">
        <f t="shared" si="152"/>
        <v>Under Budget</v>
      </c>
      <c r="O1940" s="38">
        <f t="shared" si="153"/>
        <v>-789.56</v>
      </c>
      <c r="P1940" s="39">
        <f t="shared" si="154"/>
        <v>46113</v>
      </c>
    </row>
    <row r="1941" spans="1:16" ht="15.5" x14ac:dyDescent="0.35">
      <c r="A1941" s="17" t="s">
        <v>1989</v>
      </c>
      <c r="B1941" s="35">
        <v>46137</v>
      </c>
      <c r="C1941" s="17" t="s">
        <v>12</v>
      </c>
      <c r="D1941" s="17" t="s">
        <v>26</v>
      </c>
      <c r="E1941" s="17" t="s">
        <v>45</v>
      </c>
      <c r="F1941" s="17" t="s">
        <v>34</v>
      </c>
      <c r="G1941" s="17" t="s">
        <v>38</v>
      </c>
      <c r="H1941" s="17" t="s">
        <v>60</v>
      </c>
      <c r="I1941" s="17" t="s">
        <v>17</v>
      </c>
      <c r="J1941" s="36">
        <v>8571.43</v>
      </c>
      <c r="K1941" s="36">
        <v>10617.79</v>
      </c>
      <c r="L1941" s="36">
        <f t="shared" si="150"/>
        <v>2046.3600000000006</v>
      </c>
      <c r="M1941" s="37">
        <f t="shared" si="151"/>
        <v>0.23874196020967337</v>
      </c>
      <c r="N1941" s="17" t="str">
        <f t="shared" si="152"/>
        <v>Over Budget</v>
      </c>
      <c r="O1941" s="38">
        <f t="shared" si="153"/>
        <v>-10617.79</v>
      </c>
      <c r="P1941" s="39">
        <f t="shared" si="154"/>
        <v>46113</v>
      </c>
    </row>
    <row r="1942" spans="1:16" ht="15.5" x14ac:dyDescent="0.35">
      <c r="A1942" s="17" t="s">
        <v>1990</v>
      </c>
      <c r="B1942" s="35">
        <v>45991</v>
      </c>
      <c r="C1942" s="17" t="s">
        <v>12</v>
      </c>
      <c r="D1942" s="17" t="s">
        <v>36</v>
      </c>
      <c r="E1942" s="17" t="s">
        <v>20</v>
      </c>
      <c r="F1942" s="17" t="s">
        <v>34</v>
      </c>
      <c r="G1942" s="17" t="s">
        <v>22</v>
      </c>
      <c r="H1942" s="17" t="s">
        <v>2587</v>
      </c>
      <c r="I1942" s="17" t="s">
        <v>30</v>
      </c>
      <c r="J1942" s="36">
        <v>1890</v>
      </c>
      <c r="K1942" s="36">
        <v>1160.17</v>
      </c>
      <c r="L1942" s="36">
        <f t="shared" si="150"/>
        <v>-729.82999999999993</v>
      </c>
      <c r="M1942" s="37">
        <f t="shared" si="151"/>
        <v>-0.38615343915343914</v>
      </c>
      <c r="N1942" s="17" t="str">
        <f t="shared" si="152"/>
        <v>Under Budget</v>
      </c>
      <c r="O1942" s="38">
        <f t="shared" si="153"/>
        <v>-1160.17</v>
      </c>
      <c r="P1942" s="39">
        <f t="shared" si="154"/>
        <v>45962</v>
      </c>
    </row>
    <row r="1943" spans="1:16" ht="15.5" x14ac:dyDescent="0.35">
      <c r="A1943" s="17" t="s">
        <v>1991</v>
      </c>
      <c r="B1943" s="35">
        <v>45850</v>
      </c>
      <c r="C1943" s="17" t="s">
        <v>25</v>
      </c>
      <c r="D1943" s="17" t="s">
        <v>19</v>
      </c>
      <c r="E1943" s="17" t="s">
        <v>169</v>
      </c>
      <c r="F1943" s="17" t="s">
        <v>15</v>
      </c>
      <c r="G1943" s="17" t="s">
        <v>16</v>
      </c>
      <c r="H1943" s="17" t="s">
        <v>2595</v>
      </c>
      <c r="I1943" s="17" t="s">
        <v>23</v>
      </c>
      <c r="J1943" s="36">
        <v>4000</v>
      </c>
      <c r="K1943" s="36">
        <v>568.54</v>
      </c>
      <c r="L1943" s="36">
        <f t="shared" si="150"/>
        <v>-3431.46</v>
      </c>
      <c r="M1943" s="37">
        <f t="shared" si="151"/>
        <v>-0.85786499999999999</v>
      </c>
      <c r="N1943" s="17" t="str">
        <f t="shared" si="152"/>
        <v>Under Budget</v>
      </c>
      <c r="O1943" s="38">
        <f t="shared" si="153"/>
        <v>568.54</v>
      </c>
      <c r="P1943" s="39">
        <f t="shared" si="154"/>
        <v>45839</v>
      </c>
    </row>
    <row r="1944" spans="1:16" ht="15.5" x14ac:dyDescent="0.35">
      <c r="A1944" s="17" t="s">
        <v>1992</v>
      </c>
      <c r="B1944" s="35">
        <v>45980</v>
      </c>
      <c r="C1944" s="17" t="s">
        <v>25</v>
      </c>
      <c r="D1944" s="17" t="s">
        <v>19</v>
      </c>
      <c r="E1944" s="17" t="s">
        <v>109</v>
      </c>
      <c r="F1944" s="17" t="s">
        <v>34</v>
      </c>
      <c r="G1944" s="17" t="s">
        <v>38</v>
      </c>
      <c r="H1944" s="17" t="s">
        <v>2595</v>
      </c>
      <c r="I1944" s="17" t="s">
        <v>39</v>
      </c>
      <c r="J1944" s="36">
        <v>9545.4500000000007</v>
      </c>
      <c r="K1944" s="36">
        <v>6943.67</v>
      </c>
      <c r="L1944" s="36">
        <f t="shared" si="150"/>
        <v>-2601.7800000000007</v>
      </c>
      <c r="M1944" s="37">
        <f t="shared" si="151"/>
        <v>-0.27256755836550406</v>
      </c>
      <c r="N1944" s="17" t="str">
        <f t="shared" si="152"/>
        <v>Under Budget</v>
      </c>
      <c r="O1944" s="38">
        <f t="shared" si="153"/>
        <v>6943.67</v>
      </c>
      <c r="P1944" s="39">
        <f t="shared" si="154"/>
        <v>45962</v>
      </c>
    </row>
    <row r="1945" spans="1:16" ht="15.5" x14ac:dyDescent="0.35">
      <c r="A1945" s="17" t="s">
        <v>1993</v>
      </c>
      <c r="B1945" s="35">
        <v>46122</v>
      </c>
      <c r="C1945" s="17" t="s">
        <v>25</v>
      </c>
      <c r="D1945" s="17" t="s">
        <v>32</v>
      </c>
      <c r="E1945" s="17" t="s">
        <v>109</v>
      </c>
      <c r="F1945" s="17" t="s">
        <v>34</v>
      </c>
      <c r="G1945" s="17" t="s">
        <v>43</v>
      </c>
      <c r="H1945" s="17" t="s">
        <v>2596</v>
      </c>
      <c r="I1945" s="17" t="s">
        <v>48</v>
      </c>
      <c r="J1945" s="36">
        <v>7142.86</v>
      </c>
      <c r="K1945" s="36">
        <v>13587.76</v>
      </c>
      <c r="L1945" s="36">
        <f t="shared" si="150"/>
        <v>6444.9000000000005</v>
      </c>
      <c r="M1945" s="37">
        <f t="shared" si="151"/>
        <v>0.90228563908574444</v>
      </c>
      <c r="N1945" s="17" t="str">
        <f t="shared" si="152"/>
        <v>Over Budget</v>
      </c>
      <c r="O1945" s="38">
        <f t="shared" si="153"/>
        <v>13587.76</v>
      </c>
      <c r="P1945" s="39">
        <f t="shared" si="154"/>
        <v>46113</v>
      </c>
    </row>
    <row r="1946" spans="1:16" ht="15.5" x14ac:dyDescent="0.35">
      <c r="A1946" s="17" t="s">
        <v>1994</v>
      </c>
      <c r="B1946" s="35">
        <v>45891</v>
      </c>
      <c r="C1946" s="17" t="s">
        <v>12</v>
      </c>
      <c r="D1946" s="17" t="s">
        <v>2585</v>
      </c>
      <c r="E1946" s="17" t="s">
        <v>41</v>
      </c>
      <c r="F1946" s="17" t="s">
        <v>52</v>
      </c>
      <c r="G1946" s="17" t="s">
        <v>38</v>
      </c>
      <c r="H1946" s="17" t="s">
        <v>2588</v>
      </c>
      <c r="I1946" s="17" t="s">
        <v>30</v>
      </c>
      <c r="J1946" s="36">
        <v>10833.33</v>
      </c>
      <c r="K1946" s="36">
        <v>10734.65</v>
      </c>
      <c r="L1946" s="36">
        <f t="shared" si="150"/>
        <v>-98.680000000000291</v>
      </c>
      <c r="M1946" s="37">
        <f t="shared" si="151"/>
        <v>-9.1089258796695285E-3</v>
      </c>
      <c r="N1946" s="17" t="str">
        <f t="shared" si="152"/>
        <v>Under Budget</v>
      </c>
      <c r="O1946" s="38">
        <f t="shared" si="153"/>
        <v>-10734.65</v>
      </c>
      <c r="P1946" s="39">
        <f t="shared" si="154"/>
        <v>45870</v>
      </c>
    </row>
    <row r="1947" spans="1:16" ht="15.5" x14ac:dyDescent="0.35">
      <c r="A1947" s="17" t="s">
        <v>1995</v>
      </c>
      <c r="B1947" s="35">
        <v>45993</v>
      </c>
      <c r="C1947" s="17" t="s">
        <v>12</v>
      </c>
      <c r="D1947" s="17" t="s">
        <v>19</v>
      </c>
      <c r="E1947" s="17" t="s">
        <v>77</v>
      </c>
      <c r="F1947" s="17" t="s">
        <v>21</v>
      </c>
      <c r="G1947" s="17" t="s">
        <v>43</v>
      </c>
      <c r="H1947" s="17" t="s">
        <v>2597</v>
      </c>
      <c r="I1947" s="17" t="s">
        <v>48</v>
      </c>
      <c r="J1947" s="36">
        <v>3300</v>
      </c>
      <c r="K1947" s="36">
        <v>2346.8200000000002</v>
      </c>
      <c r="L1947" s="36">
        <f t="shared" si="150"/>
        <v>-953.17999999999984</v>
      </c>
      <c r="M1947" s="37">
        <f t="shared" si="151"/>
        <v>-0.28884242424242418</v>
      </c>
      <c r="N1947" s="17" t="str">
        <f t="shared" si="152"/>
        <v>Under Budget</v>
      </c>
      <c r="O1947" s="38">
        <f t="shared" si="153"/>
        <v>-2346.8200000000002</v>
      </c>
      <c r="P1947" s="39">
        <f t="shared" si="154"/>
        <v>45992</v>
      </c>
    </row>
    <row r="1948" spans="1:16" ht="15.5" x14ac:dyDescent="0.35">
      <c r="A1948" s="17" t="s">
        <v>1996</v>
      </c>
      <c r="B1948" s="35">
        <v>46048</v>
      </c>
      <c r="C1948" s="17" t="s">
        <v>25</v>
      </c>
      <c r="D1948" s="17" t="s">
        <v>19</v>
      </c>
      <c r="E1948" s="17" t="s">
        <v>33</v>
      </c>
      <c r="F1948" s="17" t="s">
        <v>21</v>
      </c>
      <c r="G1948" s="17" t="s">
        <v>22</v>
      </c>
      <c r="H1948" s="17" t="s">
        <v>2594</v>
      </c>
      <c r="I1948" s="17" t="s">
        <v>48</v>
      </c>
      <c r="J1948" s="36">
        <v>11547.62</v>
      </c>
      <c r="K1948" s="36">
        <v>7176.36</v>
      </c>
      <c r="L1948" s="36">
        <f t="shared" si="150"/>
        <v>-4371.2600000000011</v>
      </c>
      <c r="M1948" s="37">
        <f t="shared" si="151"/>
        <v>-0.37854207187281891</v>
      </c>
      <c r="N1948" s="17" t="str">
        <f t="shared" si="152"/>
        <v>Under Budget</v>
      </c>
      <c r="O1948" s="38">
        <f t="shared" si="153"/>
        <v>7176.36</v>
      </c>
      <c r="P1948" s="39">
        <f t="shared" si="154"/>
        <v>46023</v>
      </c>
    </row>
    <row r="1949" spans="1:16" ht="15.5" x14ac:dyDescent="0.35">
      <c r="A1949" s="17" t="s">
        <v>1997</v>
      </c>
      <c r="B1949" s="35">
        <v>45971</v>
      </c>
      <c r="C1949" s="17" t="s">
        <v>25</v>
      </c>
      <c r="D1949" s="17" t="s">
        <v>32</v>
      </c>
      <c r="E1949" s="17" t="s">
        <v>109</v>
      </c>
      <c r="F1949" s="17" t="s">
        <v>52</v>
      </c>
      <c r="G1949" s="17" t="s">
        <v>43</v>
      </c>
      <c r="H1949" s="17" t="s">
        <v>60</v>
      </c>
      <c r="I1949" s="17" t="s">
        <v>23</v>
      </c>
      <c r="J1949" s="36">
        <v>9545.4500000000007</v>
      </c>
      <c r="K1949" s="36">
        <v>1839.21</v>
      </c>
      <c r="L1949" s="36">
        <f t="shared" si="150"/>
        <v>-7706.2400000000007</v>
      </c>
      <c r="M1949" s="37">
        <f t="shared" si="151"/>
        <v>-0.80732076539084063</v>
      </c>
      <c r="N1949" s="17" t="str">
        <f t="shared" si="152"/>
        <v>Under Budget</v>
      </c>
      <c r="O1949" s="38">
        <f t="shared" si="153"/>
        <v>1839.21</v>
      </c>
      <c r="P1949" s="39">
        <f t="shared" si="154"/>
        <v>45962</v>
      </c>
    </row>
    <row r="1950" spans="1:16" ht="15.5" x14ac:dyDescent="0.35">
      <c r="A1950" s="17" t="s">
        <v>1998</v>
      </c>
      <c r="B1950" s="35">
        <v>45704</v>
      </c>
      <c r="C1950" s="17" t="s">
        <v>12</v>
      </c>
      <c r="D1950" s="17" t="s">
        <v>26</v>
      </c>
      <c r="E1950" s="17" t="s">
        <v>45</v>
      </c>
      <c r="F1950" s="17" t="s">
        <v>21</v>
      </c>
      <c r="G1950" s="17" t="s">
        <v>22</v>
      </c>
      <c r="H1950" s="17" t="s">
        <v>2596</v>
      </c>
      <c r="I1950" s="17" t="s">
        <v>23</v>
      </c>
      <c r="J1950" s="36">
        <v>11640</v>
      </c>
      <c r="K1950" s="36">
        <v>3159.46</v>
      </c>
      <c r="L1950" s="36">
        <f t="shared" si="150"/>
        <v>-8480.5400000000009</v>
      </c>
      <c r="M1950" s="37">
        <f t="shared" si="151"/>
        <v>-0.72856872852233689</v>
      </c>
      <c r="N1950" s="17" t="str">
        <f t="shared" si="152"/>
        <v>Under Budget</v>
      </c>
      <c r="O1950" s="38">
        <f t="shared" si="153"/>
        <v>-3159.46</v>
      </c>
      <c r="P1950" s="39">
        <f t="shared" si="154"/>
        <v>45689</v>
      </c>
    </row>
    <row r="1951" spans="1:16" ht="15.5" x14ac:dyDescent="0.35">
      <c r="A1951" s="17" t="s">
        <v>1999</v>
      </c>
      <c r="B1951" s="35">
        <v>46053</v>
      </c>
      <c r="C1951" s="17" t="s">
        <v>12</v>
      </c>
      <c r="D1951" s="17" t="s">
        <v>32</v>
      </c>
      <c r="E1951" s="17" t="s">
        <v>77</v>
      </c>
      <c r="F1951" s="17" t="s">
        <v>28</v>
      </c>
      <c r="G1951" s="17" t="s">
        <v>43</v>
      </c>
      <c r="H1951" s="17" t="s">
        <v>2588</v>
      </c>
      <c r="I1951" s="17" t="s">
        <v>39</v>
      </c>
      <c r="J1951" s="36">
        <v>3556.67</v>
      </c>
      <c r="K1951" s="36">
        <v>334.62</v>
      </c>
      <c r="L1951" s="36">
        <f t="shared" si="150"/>
        <v>-3222.05</v>
      </c>
      <c r="M1951" s="37">
        <f t="shared" si="151"/>
        <v>-0.90591761394787829</v>
      </c>
      <c r="N1951" s="17" t="str">
        <f t="shared" si="152"/>
        <v>Under Budget</v>
      </c>
      <c r="O1951" s="38">
        <f t="shared" si="153"/>
        <v>-334.62</v>
      </c>
      <c r="P1951" s="39">
        <f t="shared" si="154"/>
        <v>46023</v>
      </c>
    </row>
    <row r="1952" spans="1:16" ht="15.5" x14ac:dyDescent="0.35">
      <c r="A1952" s="17" t="s">
        <v>2000</v>
      </c>
      <c r="B1952" s="35">
        <v>45863</v>
      </c>
      <c r="C1952" s="17" t="s">
        <v>25</v>
      </c>
      <c r="D1952" s="17" t="s">
        <v>32</v>
      </c>
      <c r="E1952" s="17" t="s">
        <v>109</v>
      </c>
      <c r="F1952" s="17" t="s">
        <v>28</v>
      </c>
      <c r="G1952" s="17" t="s">
        <v>38</v>
      </c>
      <c r="H1952" s="17" t="s">
        <v>2589</v>
      </c>
      <c r="I1952" s="17" t="s">
        <v>48</v>
      </c>
      <c r="J1952" s="36">
        <v>7142.86</v>
      </c>
      <c r="K1952" s="36">
        <v>10243.709999999999</v>
      </c>
      <c r="L1952" s="36">
        <f t="shared" si="150"/>
        <v>3100.8499999999995</v>
      </c>
      <c r="M1952" s="37">
        <f t="shared" si="151"/>
        <v>0.4341188263524694</v>
      </c>
      <c r="N1952" s="17" t="str">
        <f t="shared" si="152"/>
        <v>Over Budget</v>
      </c>
      <c r="O1952" s="38">
        <f t="shared" si="153"/>
        <v>10243.709999999999</v>
      </c>
      <c r="P1952" s="39">
        <f t="shared" si="154"/>
        <v>45839</v>
      </c>
    </row>
    <row r="1953" spans="1:16" ht="15.5" x14ac:dyDescent="0.35">
      <c r="A1953" s="17" t="s">
        <v>2001</v>
      </c>
      <c r="B1953" s="35">
        <v>46173</v>
      </c>
      <c r="C1953" s="17" t="s">
        <v>12</v>
      </c>
      <c r="D1953" s="17" t="s">
        <v>2584</v>
      </c>
      <c r="E1953" s="17" t="s">
        <v>45</v>
      </c>
      <c r="F1953" s="17" t="s">
        <v>52</v>
      </c>
      <c r="G1953" s="17" t="s">
        <v>43</v>
      </c>
      <c r="H1953" s="17" t="s">
        <v>2598</v>
      </c>
      <c r="I1953" s="17" t="s">
        <v>17</v>
      </c>
      <c r="J1953" s="36">
        <v>16363.64</v>
      </c>
      <c r="K1953" s="36">
        <v>9579.33</v>
      </c>
      <c r="L1953" s="36">
        <f t="shared" si="150"/>
        <v>-6784.3099999999995</v>
      </c>
      <c r="M1953" s="37">
        <f t="shared" si="151"/>
        <v>-0.41459663008963776</v>
      </c>
      <c r="N1953" s="17" t="str">
        <f t="shared" si="152"/>
        <v>Under Budget</v>
      </c>
      <c r="O1953" s="38">
        <f t="shared" si="153"/>
        <v>-9579.33</v>
      </c>
      <c r="P1953" s="39">
        <f t="shared" si="154"/>
        <v>46143</v>
      </c>
    </row>
    <row r="1954" spans="1:16" ht="15.5" x14ac:dyDescent="0.35">
      <c r="A1954" s="17" t="s">
        <v>2002</v>
      </c>
      <c r="B1954" s="35">
        <v>46118</v>
      </c>
      <c r="C1954" s="17" t="s">
        <v>25</v>
      </c>
      <c r="D1954" s="17" t="s">
        <v>32</v>
      </c>
      <c r="E1954" s="17" t="s">
        <v>33</v>
      </c>
      <c r="F1954" s="17" t="s">
        <v>28</v>
      </c>
      <c r="G1954" s="17" t="s">
        <v>38</v>
      </c>
      <c r="H1954" s="17" t="s">
        <v>60</v>
      </c>
      <c r="I1954" s="17" t="s">
        <v>17</v>
      </c>
      <c r="J1954" s="36">
        <v>8333.33</v>
      </c>
      <c r="K1954" s="36">
        <v>22312.799999999999</v>
      </c>
      <c r="L1954" s="36">
        <f t="shared" si="150"/>
        <v>13979.47</v>
      </c>
      <c r="M1954" s="37">
        <f t="shared" si="151"/>
        <v>1.6775370710148283</v>
      </c>
      <c r="N1954" s="17" t="str">
        <f t="shared" si="152"/>
        <v>Over Budget</v>
      </c>
      <c r="O1954" s="38">
        <f t="shared" si="153"/>
        <v>22312.799999999999</v>
      </c>
      <c r="P1954" s="39">
        <f t="shared" si="154"/>
        <v>46113</v>
      </c>
    </row>
    <row r="1955" spans="1:16" ht="15.5" x14ac:dyDescent="0.35">
      <c r="A1955" s="17" t="s">
        <v>2003</v>
      </c>
      <c r="B1955" s="35">
        <v>45802</v>
      </c>
      <c r="C1955" s="17" t="s">
        <v>12</v>
      </c>
      <c r="D1955" s="17" t="s">
        <v>2585</v>
      </c>
      <c r="E1955" s="17" t="s">
        <v>37</v>
      </c>
      <c r="F1955" s="17" t="s">
        <v>28</v>
      </c>
      <c r="G1955" s="17" t="s">
        <v>43</v>
      </c>
      <c r="H1955" s="17" t="s">
        <v>2597</v>
      </c>
      <c r="I1955" s="17" t="s">
        <v>48</v>
      </c>
      <c r="J1955" s="36">
        <v>4000</v>
      </c>
      <c r="K1955" s="36">
        <v>2580.36</v>
      </c>
      <c r="L1955" s="36">
        <f t="shared" si="150"/>
        <v>-1419.6399999999999</v>
      </c>
      <c r="M1955" s="37">
        <f t="shared" si="151"/>
        <v>-0.35490999999999995</v>
      </c>
      <c r="N1955" s="17" t="str">
        <f t="shared" si="152"/>
        <v>Under Budget</v>
      </c>
      <c r="O1955" s="38">
        <f t="shared" si="153"/>
        <v>-2580.36</v>
      </c>
      <c r="P1955" s="39">
        <f t="shared" si="154"/>
        <v>45778</v>
      </c>
    </row>
    <row r="1956" spans="1:16" ht="15.5" x14ac:dyDescent="0.35">
      <c r="A1956" s="17" t="s">
        <v>2004</v>
      </c>
      <c r="B1956" s="35">
        <v>45845</v>
      </c>
      <c r="C1956" s="17" t="s">
        <v>12</v>
      </c>
      <c r="D1956" s="17" t="s">
        <v>19</v>
      </c>
      <c r="E1956" s="17" t="s">
        <v>41</v>
      </c>
      <c r="F1956" s="17" t="s">
        <v>52</v>
      </c>
      <c r="G1956" s="17" t="s">
        <v>22</v>
      </c>
      <c r="H1956" s="17" t="s">
        <v>2593</v>
      </c>
      <c r="I1956" s="17" t="s">
        <v>48</v>
      </c>
      <c r="J1956" s="36">
        <v>5909.09</v>
      </c>
      <c r="K1956" s="36">
        <v>9343.84</v>
      </c>
      <c r="L1956" s="36">
        <f t="shared" si="150"/>
        <v>3434.75</v>
      </c>
      <c r="M1956" s="37">
        <f t="shared" si="151"/>
        <v>0.58126547404084217</v>
      </c>
      <c r="N1956" s="17" t="str">
        <f t="shared" si="152"/>
        <v>Over Budget</v>
      </c>
      <c r="O1956" s="38">
        <f t="shared" si="153"/>
        <v>-9343.84</v>
      </c>
      <c r="P1956" s="39">
        <f t="shared" si="154"/>
        <v>45839</v>
      </c>
    </row>
    <row r="1957" spans="1:16" ht="15.5" x14ac:dyDescent="0.35">
      <c r="A1957" s="17" t="s">
        <v>2005</v>
      </c>
      <c r="B1957" s="35">
        <v>45731</v>
      </c>
      <c r="C1957" s="17" t="s">
        <v>12</v>
      </c>
      <c r="D1957" s="17" t="s">
        <v>32</v>
      </c>
      <c r="E1957" s="17" t="s">
        <v>65</v>
      </c>
      <c r="F1957" s="17" t="s">
        <v>52</v>
      </c>
      <c r="G1957" s="17" t="s">
        <v>22</v>
      </c>
      <c r="H1957" s="17" t="s">
        <v>2597</v>
      </c>
      <c r="I1957" s="17" t="s">
        <v>17</v>
      </c>
      <c r="J1957" s="36">
        <v>3928.57</v>
      </c>
      <c r="K1957" s="36">
        <v>7669.97</v>
      </c>
      <c r="L1957" s="36">
        <f t="shared" si="150"/>
        <v>3741.4</v>
      </c>
      <c r="M1957" s="37">
        <f t="shared" si="151"/>
        <v>0.95235670994789456</v>
      </c>
      <c r="N1957" s="17" t="str">
        <f t="shared" si="152"/>
        <v>Over Budget</v>
      </c>
      <c r="O1957" s="38">
        <f t="shared" si="153"/>
        <v>-7669.97</v>
      </c>
      <c r="P1957" s="39">
        <f t="shared" si="154"/>
        <v>45717</v>
      </c>
    </row>
    <row r="1958" spans="1:16" ht="15.5" x14ac:dyDescent="0.35">
      <c r="A1958" s="17" t="s">
        <v>2006</v>
      </c>
      <c r="B1958" s="35">
        <v>45835</v>
      </c>
      <c r="C1958" s="17" t="s">
        <v>25</v>
      </c>
      <c r="D1958" s="17" t="s">
        <v>2585</v>
      </c>
      <c r="E1958" s="17" t="s">
        <v>109</v>
      </c>
      <c r="F1958" s="17" t="s">
        <v>28</v>
      </c>
      <c r="G1958" s="17" t="s">
        <v>38</v>
      </c>
      <c r="H1958" s="17" t="s">
        <v>2592</v>
      </c>
      <c r="I1958" s="17" t="s">
        <v>39</v>
      </c>
      <c r="J1958" s="36">
        <v>6250</v>
      </c>
      <c r="K1958" s="36">
        <v>15458.38</v>
      </c>
      <c r="L1958" s="36">
        <f t="shared" si="150"/>
        <v>9208.3799999999992</v>
      </c>
      <c r="M1958" s="37">
        <f t="shared" si="151"/>
        <v>1.4733407999999999</v>
      </c>
      <c r="N1958" s="17" t="str">
        <f t="shared" si="152"/>
        <v>Over Budget</v>
      </c>
      <c r="O1958" s="38">
        <f t="shared" si="153"/>
        <v>15458.38</v>
      </c>
      <c r="P1958" s="39">
        <f t="shared" si="154"/>
        <v>45809</v>
      </c>
    </row>
    <row r="1959" spans="1:16" ht="15.5" x14ac:dyDescent="0.35">
      <c r="A1959" s="17" t="s">
        <v>2007</v>
      </c>
      <c r="B1959" s="35">
        <v>45949</v>
      </c>
      <c r="C1959" s="17" t="s">
        <v>12</v>
      </c>
      <c r="D1959" s="17" t="s">
        <v>19</v>
      </c>
      <c r="E1959" s="17" t="s">
        <v>41</v>
      </c>
      <c r="F1959" s="17" t="s">
        <v>34</v>
      </c>
      <c r="G1959" s="17" t="s">
        <v>82</v>
      </c>
      <c r="H1959" s="17" t="s">
        <v>2598</v>
      </c>
      <c r="I1959" s="17" t="s">
        <v>39</v>
      </c>
      <c r="J1959" s="36">
        <v>9285.7099999999991</v>
      </c>
      <c r="K1959" s="36">
        <v>11691.55</v>
      </c>
      <c r="L1959" s="36">
        <f t="shared" si="150"/>
        <v>2405.84</v>
      </c>
      <c r="M1959" s="37">
        <f t="shared" si="151"/>
        <v>0.25909058111872979</v>
      </c>
      <c r="N1959" s="17" t="str">
        <f t="shared" si="152"/>
        <v>Over Budget</v>
      </c>
      <c r="O1959" s="38">
        <f t="shared" si="153"/>
        <v>-11691.55</v>
      </c>
      <c r="P1959" s="39">
        <f t="shared" si="154"/>
        <v>45931</v>
      </c>
    </row>
    <row r="1960" spans="1:16" ht="15.5" x14ac:dyDescent="0.35">
      <c r="A1960" s="17" t="s">
        <v>2008</v>
      </c>
      <c r="B1960" s="35">
        <v>45743</v>
      </c>
      <c r="C1960" s="17" t="s">
        <v>12</v>
      </c>
      <c r="D1960" s="17" t="s">
        <v>19</v>
      </c>
      <c r="E1960" s="17" t="s">
        <v>41</v>
      </c>
      <c r="F1960" s="17" t="s">
        <v>28</v>
      </c>
      <c r="G1960" s="17" t="s">
        <v>16</v>
      </c>
      <c r="H1960" s="17" t="s">
        <v>2593</v>
      </c>
      <c r="I1960" s="17" t="s">
        <v>23</v>
      </c>
      <c r="J1960" s="36">
        <v>5000</v>
      </c>
      <c r="K1960" s="36">
        <v>4812.6000000000004</v>
      </c>
      <c r="L1960" s="36">
        <f t="shared" si="150"/>
        <v>-187.39999999999964</v>
      </c>
      <c r="M1960" s="37">
        <f t="shared" si="151"/>
        <v>-3.747999999999993E-2</v>
      </c>
      <c r="N1960" s="17" t="str">
        <f t="shared" si="152"/>
        <v>Under Budget</v>
      </c>
      <c r="O1960" s="38">
        <f t="shared" si="153"/>
        <v>-4812.6000000000004</v>
      </c>
      <c r="P1960" s="39">
        <f t="shared" si="154"/>
        <v>45717</v>
      </c>
    </row>
    <row r="1961" spans="1:16" ht="15.5" x14ac:dyDescent="0.35">
      <c r="A1961" s="17" t="s">
        <v>2009</v>
      </c>
      <c r="B1961" s="35">
        <v>46125</v>
      </c>
      <c r="C1961" s="17" t="s">
        <v>12</v>
      </c>
      <c r="D1961" s="17" t="s">
        <v>36</v>
      </c>
      <c r="E1961" s="17" t="s">
        <v>45</v>
      </c>
      <c r="F1961" s="17" t="s">
        <v>52</v>
      </c>
      <c r="G1961" s="17" t="s">
        <v>16</v>
      </c>
      <c r="H1961" s="17" t="s">
        <v>2592</v>
      </c>
      <c r="I1961" s="17" t="s">
        <v>17</v>
      </c>
      <c r="J1961" s="36">
        <v>8571.43</v>
      </c>
      <c r="K1961" s="36">
        <v>14735.4</v>
      </c>
      <c r="L1961" s="36">
        <f t="shared" si="150"/>
        <v>6163.9699999999993</v>
      </c>
      <c r="M1961" s="37">
        <f t="shared" si="151"/>
        <v>0.71912971347838095</v>
      </c>
      <c r="N1961" s="17" t="str">
        <f t="shared" si="152"/>
        <v>Over Budget</v>
      </c>
      <c r="O1961" s="38">
        <f t="shared" si="153"/>
        <v>-14735.4</v>
      </c>
      <c r="P1961" s="39">
        <f t="shared" si="154"/>
        <v>46113</v>
      </c>
    </row>
    <row r="1962" spans="1:16" ht="15.5" x14ac:dyDescent="0.35">
      <c r="A1962" s="17" t="s">
        <v>2010</v>
      </c>
      <c r="B1962" s="35">
        <v>45859</v>
      </c>
      <c r="C1962" s="17" t="s">
        <v>12</v>
      </c>
      <c r="D1962" s="17" t="s">
        <v>19</v>
      </c>
      <c r="E1962" s="17" t="s">
        <v>45</v>
      </c>
      <c r="F1962" s="17" t="s">
        <v>28</v>
      </c>
      <c r="G1962" s="17" t="s">
        <v>29</v>
      </c>
      <c r="H1962" s="17" t="s">
        <v>2592</v>
      </c>
      <c r="I1962" s="17" t="s">
        <v>48</v>
      </c>
      <c r="J1962" s="36">
        <v>6923.08</v>
      </c>
      <c r="K1962" s="36">
        <v>2962.16</v>
      </c>
      <c r="L1962" s="36">
        <f t="shared" si="150"/>
        <v>-3960.92</v>
      </c>
      <c r="M1962" s="37">
        <f t="shared" si="151"/>
        <v>-0.57213263460771802</v>
      </c>
      <c r="N1962" s="17" t="str">
        <f t="shared" si="152"/>
        <v>Under Budget</v>
      </c>
      <c r="O1962" s="38">
        <f t="shared" si="153"/>
        <v>-2962.16</v>
      </c>
      <c r="P1962" s="39">
        <f t="shared" si="154"/>
        <v>45839</v>
      </c>
    </row>
    <row r="1963" spans="1:16" ht="15.5" x14ac:dyDescent="0.35">
      <c r="A1963" s="17" t="s">
        <v>2011</v>
      </c>
      <c r="B1963" s="35">
        <v>46135</v>
      </c>
      <c r="C1963" s="17" t="s">
        <v>12</v>
      </c>
      <c r="D1963" s="17" t="s">
        <v>36</v>
      </c>
      <c r="E1963" s="17" t="s">
        <v>45</v>
      </c>
      <c r="F1963" s="17" t="s">
        <v>21</v>
      </c>
      <c r="G1963" s="17" t="s">
        <v>82</v>
      </c>
      <c r="H1963" s="17" t="s">
        <v>2598</v>
      </c>
      <c r="I1963" s="17" t="s">
        <v>17</v>
      </c>
      <c r="J1963" s="36">
        <v>8571.43</v>
      </c>
      <c r="K1963" s="36">
        <v>8339.06</v>
      </c>
      <c r="L1963" s="36">
        <f t="shared" si="150"/>
        <v>-232.3700000000008</v>
      </c>
      <c r="M1963" s="37">
        <f t="shared" si="151"/>
        <v>-2.7109828815028623E-2</v>
      </c>
      <c r="N1963" s="17" t="str">
        <f t="shared" si="152"/>
        <v>Under Budget</v>
      </c>
      <c r="O1963" s="38">
        <f t="shared" si="153"/>
        <v>-8339.06</v>
      </c>
      <c r="P1963" s="39">
        <f t="shared" si="154"/>
        <v>46113</v>
      </c>
    </row>
    <row r="1964" spans="1:16" ht="15.5" x14ac:dyDescent="0.35">
      <c r="A1964" s="17" t="s">
        <v>2012</v>
      </c>
      <c r="B1964" s="35">
        <v>46152</v>
      </c>
      <c r="C1964" s="17" t="s">
        <v>25</v>
      </c>
      <c r="D1964" s="17" t="s">
        <v>32</v>
      </c>
      <c r="E1964" s="17" t="s">
        <v>109</v>
      </c>
      <c r="F1964" s="17" t="s">
        <v>15</v>
      </c>
      <c r="G1964" s="17" t="s">
        <v>38</v>
      </c>
      <c r="H1964" s="17" t="s">
        <v>60</v>
      </c>
      <c r="I1964" s="17" t="s">
        <v>30</v>
      </c>
      <c r="J1964" s="36">
        <v>5882.35</v>
      </c>
      <c r="K1964" s="36">
        <v>16431.349999999999</v>
      </c>
      <c r="L1964" s="36">
        <f t="shared" si="150"/>
        <v>10548.999999999998</v>
      </c>
      <c r="M1964" s="37">
        <f t="shared" si="151"/>
        <v>1.793330896665448</v>
      </c>
      <c r="N1964" s="17" t="str">
        <f t="shared" si="152"/>
        <v>Over Budget</v>
      </c>
      <c r="O1964" s="38">
        <f t="shared" si="153"/>
        <v>16431.349999999999</v>
      </c>
      <c r="P1964" s="39">
        <f t="shared" si="154"/>
        <v>46143</v>
      </c>
    </row>
    <row r="1965" spans="1:16" ht="15.5" x14ac:dyDescent="0.35">
      <c r="A1965" s="17" t="s">
        <v>2013</v>
      </c>
      <c r="B1965" s="35">
        <v>46070</v>
      </c>
      <c r="C1965" s="17" t="s">
        <v>25</v>
      </c>
      <c r="D1965" s="17" t="s">
        <v>19</v>
      </c>
      <c r="E1965" s="17" t="s">
        <v>109</v>
      </c>
      <c r="F1965" s="17" t="s">
        <v>52</v>
      </c>
      <c r="G1965" s="17" t="s">
        <v>29</v>
      </c>
      <c r="H1965" s="17" t="s">
        <v>2592</v>
      </c>
      <c r="I1965" s="17" t="s">
        <v>48</v>
      </c>
      <c r="J1965" s="36">
        <v>8083.33</v>
      </c>
      <c r="K1965" s="36">
        <v>5891.65</v>
      </c>
      <c r="L1965" s="36">
        <f t="shared" si="150"/>
        <v>-2191.6800000000003</v>
      </c>
      <c r="M1965" s="37">
        <f t="shared" si="151"/>
        <v>-0.27113578191166271</v>
      </c>
      <c r="N1965" s="17" t="str">
        <f t="shared" si="152"/>
        <v>Under Budget</v>
      </c>
      <c r="O1965" s="38">
        <f t="shared" si="153"/>
        <v>5891.65</v>
      </c>
      <c r="P1965" s="39">
        <f t="shared" si="154"/>
        <v>46054</v>
      </c>
    </row>
    <row r="1966" spans="1:16" ht="15.5" x14ac:dyDescent="0.35">
      <c r="A1966" s="17" t="s">
        <v>2014</v>
      </c>
      <c r="B1966" s="35">
        <v>46019</v>
      </c>
      <c r="C1966" s="17" t="s">
        <v>12</v>
      </c>
      <c r="D1966" s="17" t="s">
        <v>26</v>
      </c>
      <c r="E1966" s="17" t="s">
        <v>77</v>
      </c>
      <c r="F1966" s="17" t="s">
        <v>21</v>
      </c>
      <c r="G1966" s="17" t="s">
        <v>22</v>
      </c>
      <c r="H1966" s="17" t="s">
        <v>2590</v>
      </c>
      <c r="I1966" s="17" t="s">
        <v>39</v>
      </c>
      <c r="J1966" s="36">
        <v>3300</v>
      </c>
      <c r="K1966" s="36">
        <v>579.91999999999996</v>
      </c>
      <c r="L1966" s="36">
        <f t="shared" si="150"/>
        <v>-2720.08</v>
      </c>
      <c r="M1966" s="37">
        <f t="shared" si="151"/>
        <v>-0.82426666666666659</v>
      </c>
      <c r="N1966" s="17" t="str">
        <f t="shared" si="152"/>
        <v>Under Budget</v>
      </c>
      <c r="O1966" s="38">
        <f t="shared" si="153"/>
        <v>-579.91999999999996</v>
      </c>
      <c r="P1966" s="39">
        <f t="shared" si="154"/>
        <v>45992</v>
      </c>
    </row>
    <row r="1967" spans="1:16" ht="15.5" x14ac:dyDescent="0.35">
      <c r="A1967" s="17" t="s">
        <v>2015</v>
      </c>
      <c r="B1967" s="35">
        <v>45694</v>
      </c>
      <c r="C1967" s="17" t="s">
        <v>25</v>
      </c>
      <c r="D1967" s="17" t="s">
        <v>2585</v>
      </c>
      <c r="E1967" s="17" t="s">
        <v>27</v>
      </c>
      <c r="F1967" s="17" t="s">
        <v>52</v>
      </c>
      <c r="G1967" s="17" t="s">
        <v>38</v>
      </c>
      <c r="H1967" s="17" t="s">
        <v>2596</v>
      </c>
      <c r="I1967" s="17" t="s">
        <v>39</v>
      </c>
      <c r="J1967" s="36">
        <v>4850</v>
      </c>
      <c r="K1967" s="36">
        <v>7579.89</v>
      </c>
      <c r="L1967" s="36">
        <f t="shared" si="150"/>
        <v>2729.8900000000003</v>
      </c>
      <c r="M1967" s="37">
        <f t="shared" si="151"/>
        <v>0.56286391752577325</v>
      </c>
      <c r="N1967" s="17" t="str">
        <f t="shared" si="152"/>
        <v>Over Budget</v>
      </c>
      <c r="O1967" s="38">
        <f t="shared" si="153"/>
        <v>7579.89</v>
      </c>
      <c r="P1967" s="39">
        <f t="shared" si="154"/>
        <v>45689</v>
      </c>
    </row>
    <row r="1968" spans="1:16" ht="15.5" x14ac:dyDescent="0.35">
      <c r="A1968" s="17" t="s">
        <v>2016</v>
      </c>
      <c r="B1968" s="35">
        <v>45748</v>
      </c>
      <c r="C1968" s="17" t="s">
        <v>12</v>
      </c>
      <c r="D1968" s="17" t="s">
        <v>2585</v>
      </c>
      <c r="E1968" s="17" t="s">
        <v>20</v>
      </c>
      <c r="F1968" s="17" t="s">
        <v>34</v>
      </c>
      <c r="G1968" s="17" t="s">
        <v>16</v>
      </c>
      <c r="H1968" s="17" t="s">
        <v>80</v>
      </c>
      <c r="I1968" s="17" t="s">
        <v>30</v>
      </c>
      <c r="J1968" s="36">
        <v>2250</v>
      </c>
      <c r="K1968" s="36">
        <v>348.46</v>
      </c>
      <c r="L1968" s="36">
        <f t="shared" si="150"/>
        <v>-1901.54</v>
      </c>
      <c r="M1968" s="37">
        <f t="shared" si="151"/>
        <v>-0.84512888888888882</v>
      </c>
      <c r="N1968" s="17" t="str">
        <f t="shared" si="152"/>
        <v>Under Budget</v>
      </c>
      <c r="O1968" s="38">
        <f t="shared" si="153"/>
        <v>-348.46</v>
      </c>
      <c r="P1968" s="39">
        <f t="shared" si="154"/>
        <v>45748</v>
      </c>
    </row>
    <row r="1969" spans="1:16" ht="15.5" x14ac:dyDescent="0.35">
      <c r="A1969" s="17" t="s">
        <v>2017</v>
      </c>
      <c r="B1969" s="35">
        <v>46081</v>
      </c>
      <c r="C1969" s="17" t="s">
        <v>12</v>
      </c>
      <c r="D1969" s="17" t="s">
        <v>2584</v>
      </c>
      <c r="E1969" s="17" t="s">
        <v>45</v>
      </c>
      <c r="F1969" s="17" t="s">
        <v>34</v>
      </c>
      <c r="G1969" s="17" t="s">
        <v>16</v>
      </c>
      <c r="H1969" s="17" t="s">
        <v>2594</v>
      </c>
      <c r="I1969" s="17" t="s">
        <v>39</v>
      </c>
      <c r="J1969" s="36">
        <v>9189.4699999999993</v>
      </c>
      <c r="K1969" s="36">
        <v>10339.07</v>
      </c>
      <c r="L1969" s="36">
        <f t="shared" si="150"/>
        <v>1149.6000000000004</v>
      </c>
      <c r="M1969" s="37">
        <f t="shared" si="151"/>
        <v>0.12509970651190988</v>
      </c>
      <c r="N1969" s="17" t="str">
        <f t="shared" si="152"/>
        <v>Over Budget</v>
      </c>
      <c r="O1969" s="38">
        <f t="shared" si="153"/>
        <v>-10339.07</v>
      </c>
      <c r="P1969" s="39">
        <f t="shared" si="154"/>
        <v>46054</v>
      </c>
    </row>
    <row r="1970" spans="1:16" ht="15.5" x14ac:dyDescent="0.35">
      <c r="A1970" s="17" t="s">
        <v>2018</v>
      </c>
      <c r="B1970" s="35">
        <v>45962</v>
      </c>
      <c r="C1970" s="17" t="s">
        <v>25</v>
      </c>
      <c r="D1970" s="17" t="s">
        <v>26</v>
      </c>
      <c r="E1970" s="17" t="s">
        <v>109</v>
      </c>
      <c r="F1970" s="17" t="s">
        <v>28</v>
      </c>
      <c r="G1970" s="17" t="s">
        <v>38</v>
      </c>
      <c r="H1970" s="17" t="s">
        <v>2587</v>
      </c>
      <c r="I1970" s="17" t="s">
        <v>17</v>
      </c>
      <c r="J1970" s="36">
        <v>9545.4500000000007</v>
      </c>
      <c r="K1970" s="36">
        <v>9498.0499999999993</v>
      </c>
      <c r="L1970" s="36">
        <f t="shared" si="150"/>
        <v>-47.400000000001455</v>
      </c>
      <c r="M1970" s="37">
        <f t="shared" si="151"/>
        <v>-4.9657166503414138E-3</v>
      </c>
      <c r="N1970" s="17" t="str">
        <f t="shared" si="152"/>
        <v>Under Budget</v>
      </c>
      <c r="O1970" s="38">
        <f t="shared" si="153"/>
        <v>9498.0499999999993</v>
      </c>
      <c r="P1970" s="39">
        <f t="shared" si="154"/>
        <v>45962</v>
      </c>
    </row>
    <row r="1971" spans="1:16" ht="15.5" x14ac:dyDescent="0.35">
      <c r="A1971" s="17" t="s">
        <v>2019</v>
      </c>
      <c r="B1971" s="35">
        <v>45724</v>
      </c>
      <c r="C1971" s="17" t="s">
        <v>12</v>
      </c>
      <c r="D1971" s="17" t="s">
        <v>26</v>
      </c>
      <c r="E1971" s="17" t="s">
        <v>37</v>
      </c>
      <c r="F1971" s="17" t="s">
        <v>52</v>
      </c>
      <c r="G1971" s="17" t="s">
        <v>43</v>
      </c>
      <c r="H1971" s="17" t="s">
        <v>2595</v>
      </c>
      <c r="I1971" s="17" t="s">
        <v>23</v>
      </c>
      <c r="J1971" s="36">
        <v>4666.67</v>
      </c>
      <c r="K1971" s="36">
        <v>1025.2</v>
      </c>
      <c r="L1971" s="36">
        <f t="shared" si="150"/>
        <v>-3641.4700000000003</v>
      </c>
      <c r="M1971" s="37">
        <f t="shared" si="151"/>
        <v>-0.78031444263254102</v>
      </c>
      <c r="N1971" s="17" t="str">
        <f t="shared" si="152"/>
        <v>Under Budget</v>
      </c>
      <c r="O1971" s="38">
        <f t="shared" si="153"/>
        <v>-1025.2</v>
      </c>
      <c r="P1971" s="39">
        <f t="shared" si="154"/>
        <v>45717</v>
      </c>
    </row>
    <row r="1972" spans="1:16" ht="15.5" x14ac:dyDescent="0.35">
      <c r="A1972" s="17" t="s">
        <v>2020</v>
      </c>
      <c r="B1972" s="35">
        <v>45798</v>
      </c>
      <c r="C1972" s="17" t="s">
        <v>12</v>
      </c>
      <c r="D1972" s="17" t="s">
        <v>2584</v>
      </c>
      <c r="E1972" s="17" t="s">
        <v>20</v>
      </c>
      <c r="F1972" s="17" t="s">
        <v>28</v>
      </c>
      <c r="G1972" s="17" t="s">
        <v>38</v>
      </c>
      <c r="H1972" s="17" t="s">
        <v>2589</v>
      </c>
      <c r="I1972" s="17" t="s">
        <v>30</v>
      </c>
      <c r="J1972" s="36">
        <v>2250</v>
      </c>
      <c r="K1972" s="36">
        <v>726.33</v>
      </c>
      <c r="L1972" s="36">
        <f t="shared" si="150"/>
        <v>-1523.67</v>
      </c>
      <c r="M1972" s="37">
        <f t="shared" si="151"/>
        <v>-0.67718666666666671</v>
      </c>
      <c r="N1972" s="17" t="str">
        <f t="shared" si="152"/>
        <v>Under Budget</v>
      </c>
      <c r="O1972" s="38">
        <f t="shared" si="153"/>
        <v>-726.33</v>
      </c>
      <c r="P1972" s="39">
        <f t="shared" si="154"/>
        <v>45778</v>
      </c>
    </row>
    <row r="1973" spans="1:16" ht="15.5" x14ac:dyDescent="0.35">
      <c r="A1973" s="17" t="s">
        <v>2021</v>
      </c>
      <c r="B1973" s="35">
        <v>46202</v>
      </c>
      <c r="C1973" s="17" t="s">
        <v>12</v>
      </c>
      <c r="D1973" s="17" t="s">
        <v>32</v>
      </c>
      <c r="E1973" s="17" t="s">
        <v>74</v>
      </c>
      <c r="F1973" s="17" t="s">
        <v>52</v>
      </c>
      <c r="G1973" s="17" t="s">
        <v>22</v>
      </c>
      <c r="H1973" s="17" t="s">
        <v>2595</v>
      </c>
      <c r="I1973" s="17" t="s">
        <v>30</v>
      </c>
      <c r="J1973" s="36">
        <v>3076.92</v>
      </c>
      <c r="K1973" s="36">
        <v>4098.9799999999996</v>
      </c>
      <c r="L1973" s="36">
        <f t="shared" si="150"/>
        <v>1022.0599999999995</v>
      </c>
      <c r="M1973" s="37">
        <f t="shared" si="151"/>
        <v>0.33216983216983198</v>
      </c>
      <c r="N1973" s="17" t="str">
        <f t="shared" si="152"/>
        <v>Over Budget</v>
      </c>
      <c r="O1973" s="38">
        <f t="shared" si="153"/>
        <v>-4098.9799999999996</v>
      </c>
      <c r="P1973" s="39">
        <f t="shared" si="154"/>
        <v>46174</v>
      </c>
    </row>
    <row r="1974" spans="1:16" ht="15.5" x14ac:dyDescent="0.35">
      <c r="A1974" s="17" t="s">
        <v>2022</v>
      </c>
      <c r="B1974" s="35">
        <v>45760</v>
      </c>
      <c r="C1974" s="17" t="s">
        <v>12</v>
      </c>
      <c r="D1974" s="17" t="s">
        <v>26</v>
      </c>
      <c r="E1974" s="17" t="s">
        <v>47</v>
      </c>
      <c r="F1974" s="17" t="s">
        <v>34</v>
      </c>
      <c r="G1974" s="17" t="s">
        <v>22</v>
      </c>
      <c r="H1974" s="17" t="s">
        <v>2587</v>
      </c>
      <c r="I1974" s="17" t="s">
        <v>23</v>
      </c>
      <c r="J1974" s="36">
        <v>4375</v>
      </c>
      <c r="K1974" s="36">
        <v>195.6</v>
      </c>
      <c r="L1974" s="36">
        <f t="shared" si="150"/>
        <v>-4179.3999999999996</v>
      </c>
      <c r="M1974" s="37">
        <f t="shared" si="151"/>
        <v>-0.95529142857142846</v>
      </c>
      <c r="N1974" s="17" t="str">
        <f t="shared" si="152"/>
        <v>Under Budget</v>
      </c>
      <c r="O1974" s="38">
        <f t="shared" si="153"/>
        <v>-195.6</v>
      </c>
      <c r="P1974" s="39">
        <f t="shared" si="154"/>
        <v>45748</v>
      </c>
    </row>
    <row r="1975" spans="1:16" ht="15.5" x14ac:dyDescent="0.35">
      <c r="A1975" s="17" t="s">
        <v>2023</v>
      </c>
      <c r="B1975" s="35">
        <v>45746</v>
      </c>
      <c r="C1975" s="17" t="s">
        <v>25</v>
      </c>
      <c r="D1975" s="17" t="s">
        <v>32</v>
      </c>
      <c r="E1975" s="17" t="s">
        <v>169</v>
      </c>
      <c r="F1975" s="17" t="s">
        <v>21</v>
      </c>
      <c r="G1975" s="17" t="s">
        <v>43</v>
      </c>
      <c r="H1975" s="17" t="s">
        <v>2595</v>
      </c>
      <c r="I1975" s="17" t="s">
        <v>30</v>
      </c>
      <c r="J1975" s="36">
        <v>2857.14</v>
      </c>
      <c r="K1975" s="36">
        <v>2453.09</v>
      </c>
      <c r="L1975" s="36">
        <f t="shared" si="150"/>
        <v>-404.04999999999973</v>
      </c>
      <c r="M1975" s="37">
        <f t="shared" si="151"/>
        <v>-0.14141764141764132</v>
      </c>
      <c r="N1975" s="17" t="str">
        <f t="shared" si="152"/>
        <v>Under Budget</v>
      </c>
      <c r="O1975" s="38">
        <f t="shared" si="153"/>
        <v>2453.09</v>
      </c>
      <c r="P1975" s="39">
        <f t="shared" si="154"/>
        <v>45717</v>
      </c>
    </row>
    <row r="1976" spans="1:16" ht="15.5" x14ac:dyDescent="0.35">
      <c r="A1976" s="17" t="s">
        <v>2024</v>
      </c>
      <c r="B1976" s="35">
        <v>46053</v>
      </c>
      <c r="C1976" s="17" t="s">
        <v>25</v>
      </c>
      <c r="D1976" s="17" t="s">
        <v>26</v>
      </c>
      <c r="E1976" s="17" t="s">
        <v>33</v>
      </c>
      <c r="F1976" s="17" t="s">
        <v>21</v>
      </c>
      <c r="G1976" s="17" t="s">
        <v>38</v>
      </c>
      <c r="H1976" s="17" t="s">
        <v>60</v>
      </c>
      <c r="I1976" s="17" t="s">
        <v>30</v>
      </c>
      <c r="J1976" s="36">
        <v>11547.62</v>
      </c>
      <c r="K1976" s="36">
        <v>1507.6</v>
      </c>
      <c r="L1976" s="36">
        <f t="shared" si="150"/>
        <v>-10040.02</v>
      </c>
      <c r="M1976" s="37">
        <f t="shared" si="151"/>
        <v>-0.86944495922103426</v>
      </c>
      <c r="N1976" s="17" t="str">
        <f t="shared" si="152"/>
        <v>Under Budget</v>
      </c>
      <c r="O1976" s="38">
        <f t="shared" si="153"/>
        <v>1507.6</v>
      </c>
      <c r="P1976" s="39">
        <f t="shared" si="154"/>
        <v>46023</v>
      </c>
    </row>
    <row r="1977" spans="1:16" ht="15.5" x14ac:dyDescent="0.35">
      <c r="A1977" s="17" t="s">
        <v>2025</v>
      </c>
      <c r="B1977" s="35">
        <v>46000</v>
      </c>
      <c r="C1977" s="17" t="s">
        <v>12</v>
      </c>
      <c r="D1977" s="17" t="s">
        <v>19</v>
      </c>
      <c r="E1977" s="17" t="s">
        <v>20</v>
      </c>
      <c r="F1977" s="17" t="s">
        <v>21</v>
      </c>
      <c r="G1977" s="17" t="s">
        <v>16</v>
      </c>
      <c r="H1977" s="17" t="s">
        <v>2591</v>
      </c>
      <c r="I1977" s="17" t="s">
        <v>23</v>
      </c>
      <c r="J1977" s="36">
        <v>2100</v>
      </c>
      <c r="K1977" s="36">
        <v>1338.9</v>
      </c>
      <c r="L1977" s="36">
        <f t="shared" si="150"/>
        <v>-761.09999999999991</v>
      </c>
      <c r="M1977" s="37">
        <f t="shared" si="151"/>
        <v>-0.36242857142857138</v>
      </c>
      <c r="N1977" s="17" t="str">
        <f t="shared" si="152"/>
        <v>Under Budget</v>
      </c>
      <c r="O1977" s="38">
        <f t="shared" si="153"/>
        <v>-1338.9</v>
      </c>
      <c r="P1977" s="39">
        <f t="shared" si="154"/>
        <v>45992</v>
      </c>
    </row>
    <row r="1978" spans="1:16" ht="15.5" x14ac:dyDescent="0.35">
      <c r="A1978" s="17" t="s">
        <v>2026</v>
      </c>
      <c r="B1978" s="35">
        <v>45900</v>
      </c>
      <c r="C1978" s="17" t="s">
        <v>25</v>
      </c>
      <c r="D1978" s="17" t="s">
        <v>26</v>
      </c>
      <c r="E1978" s="17" t="s">
        <v>2583</v>
      </c>
      <c r="F1978" s="17" t="s">
        <v>15</v>
      </c>
      <c r="G1978" s="17" t="s">
        <v>38</v>
      </c>
      <c r="H1978" s="17" t="s">
        <v>2597</v>
      </c>
      <c r="I1978" s="17" t="s">
        <v>17</v>
      </c>
      <c r="J1978" s="36">
        <v>7142.86</v>
      </c>
      <c r="K1978" s="36">
        <v>6190.36</v>
      </c>
      <c r="L1978" s="36">
        <f t="shared" si="150"/>
        <v>-952.5</v>
      </c>
      <c r="M1978" s="37">
        <f t="shared" si="151"/>
        <v>-0.13334994666002134</v>
      </c>
      <c r="N1978" s="17" t="str">
        <f t="shared" si="152"/>
        <v>Under Budget</v>
      </c>
      <c r="O1978" s="38">
        <f t="shared" si="153"/>
        <v>6190.36</v>
      </c>
      <c r="P1978" s="39">
        <f t="shared" si="154"/>
        <v>45870</v>
      </c>
    </row>
    <row r="1979" spans="1:16" ht="15.5" x14ac:dyDescent="0.35">
      <c r="A1979" s="17" t="s">
        <v>2027</v>
      </c>
      <c r="B1979" s="35">
        <v>45899</v>
      </c>
      <c r="C1979" s="17" t="s">
        <v>12</v>
      </c>
      <c r="D1979" s="17" t="s">
        <v>13</v>
      </c>
      <c r="E1979" s="17" t="s">
        <v>45</v>
      </c>
      <c r="F1979" s="17" t="s">
        <v>28</v>
      </c>
      <c r="G1979" s="17" t="s">
        <v>22</v>
      </c>
      <c r="H1979" s="17" t="s">
        <v>2595</v>
      </c>
      <c r="I1979" s="17" t="s">
        <v>39</v>
      </c>
      <c r="J1979" s="36">
        <v>8181.82</v>
      </c>
      <c r="K1979" s="36">
        <v>14071.1</v>
      </c>
      <c r="L1979" s="36">
        <f t="shared" si="150"/>
        <v>5889.2800000000007</v>
      </c>
      <c r="M1979" s="37">
        <f t="shared" si="151"/>
        <v>0.71980072893317149</v>
      </c>
      <c r="N1979" s="17" t="str">
        <f t="shared" si="152"/>
        <v>Over Budget</v>
      </c>
      <c r="O1979" s="38">
        <f t="shared" si="153"/>
        <v>-14071.1</v>
      </c>
      <c r="P1979" s="39">
        <f t="shared" si="154"/>
        <v>45870</v>
      </c>
    </row>
    <row r="1980" spans="1:16" ht="15.5" x14ac:dyDescent="0.35">
      <c r="A1980" s="17" t="s">
        <v>2028</v>
      </c>
      <c r="B1980" s="35">
        <v>46001</v>
      </c>
      <c r="C1980" s="17" t="s">
        <v>12</v>
      </c>
      <c r="D1980" s="17" t="s">
        <v>19</v>
      </c>
      <c r="E1980" s="17" t="s">
        <v>37</v>
      </c>
      <c r="F1980" s="17" t="s">
        <v>52</v>
      </c>
      <c r="G1980" s="17" t="s">
        <v>16</v>
      </c>
      <c r="H1980" s="17" t="s">
        <v>2594</v>
      </c>
      <c r="I1980" s="17" t="s">
        <v>48</v>
      </c>
      <c r="J1980" s="36">
        <v>9800</v>
      </c>
      <c r="K1980" s="36">
        <v>2537.3200000000002</v>
      </c>
      <c r="L1980" s="36">
        <f t="shared" si="150"/>
        <v>-7262.68</v>
      </c>
      <c r="M1980" s="37">
        <f t="shared" si="151"/>
        <v>-0.74108979591836732</v>
      </c>
      <c r="N1980" s="17" t="str">
        <f t="shared" si="152"/>
        <v>Under Budget</v>
      </c>
      <c r="O1980" s="38">
        <f t="shared" si="153"/>
        <v>-2537.3200000000002</v>
      </c>
      <c r="P1980" s="39">
        <f t="shared" si="154"/>
        <v>45992</v>
      </c>
    </row>
    <row r="1981" spans="1:16" ht="15.5" x14ac:dyDescent="0.35">
      <c r="A1981" s="17" t="s">
        <v>2029</v>
      </c>
      <c r="B1981" s="35">
        <v>46093</v>
      </c>
      <c r="C1981" s="17" t="s">
        <v>12</v>
      </c>
      <c r="D1981" s="17" t="s">
        <v>13</v>
      </c>
      <c r="E1981" s="17" t="s">
        <v>45</v>
      </c>
      <c r="F1981" s="17" t="s">
        <v>15</v>
      </c>
      <c r="G1981" s="17" t="s">
        <v>29</v>
      </c>
      <c r="H1981" s="17" t="s">
        <v>60</v>
      </c>
      <c r="I1981" s="17" t="s">
        <v>39</v>
      </c>
      <c r="J1981" s="36">
        <v>7200</v>
      </c>
      <c r="K1981" s="36">
        <v>3048.63</v>
      </c>
      <c r="L1981" s="36">
        <f t="shared" si="150"/>
        <v>-4151.37</v>
      </c>
      <c r="M1981" s="37">
        <f t="shared" si="151"/>
        <v>-0.57657916666666664</v>
      </c>
      <c r="N1981" s="17" t="str">
        <f t="shared" si="152"/>
        <v>Under Budget</v>
      </c>
      <c r="O1981" s="38">
        <f t="shared" si="153"/>
        <v>-3048.63</v>
      </c>
      <c r="P1981" s="39">
        <f t="shared" si="154"/>
        <v>46082</v>
      </c>
    </row>
    <row r="1982" spans="1:16" ht="15.5" x14ac:dyDescent="0.35">
      <c r="A1982" s="17" t="s">
        <v>2030</v>
      </c>
      <c r="B1982" s="35">
        <v>46162</v>
      </c>
      <c r="C1982" s="17" t="s">
        <v>12</v>
      </c>
      <c r="D1982" s="17" t="s">
        <v>2583</v>
      </c>
      <c r="E1982" s="17" t="s">
        <v>20</v>
      </c>
      <c r="F1982" s="17" t="s">
        <v>28</v>
      </c>
      <c r="G1982" s="17" t="s">
        <v>38</v>
      </c>
      <c r="H1982" s="17" t="s">
        <v>2595</v>
      </c>
      <c r="I1982" s="17" t="s">
        <v>23</v>
      </c>
      <c r="J1982" s="36">
        <v>6000</v>
      </c>
      <c r="K1982" s="36">
        <v>1675.48</v>
      </c>
      <c r="L1982" s="36">
        <f t="shared" si="150"/>
        <v>-4324.5200000000004</v>
      </c>
      <c r="M1982" s="37">
        <f t="shared" si="151"/>
        <v>-0.72075333333333336</v>
      </c>
      <c r="N1982" s="17" t="str">
        <f t="shared" si="152"/>
        <v>Under Budget</v>
      </c>
      <c r="O1982" s="38">
        <f t="shared" si="153"/>
        <v>-1675.48</v>
      </c>
      <c r="P1982" s="39">
        <f t="shared" si="154"/>
        <v>46143</v>
      </c>
    </row>
    <row r="1983" spans="1:16" ht="15.5" x14ac:dyDescent="0.35">
      <c r="A1983" s="17" t="s">
        <v>2031</v>
      </c>
      <c r="B1983" s="35">
        <v>45671</v>
      </c>
      <c r="C1983" s="17" t="s">
        <v>12</v>
      </c>
      <c r="D1983" s="17" t="s">
        <v>26</v>
      </c>
      <c r="E1983" s="17" t="s">
        <v>65</v>
      </c>
      <c r="F1983" s="17" t="s">
        <v>28</v>
      </c>
      <c r="G1983" s="17" t="s">
        <v>29</v>
      </c>
      <c r="H1983" s="17" t="s">
        <v>60</v>
      </c>
      <c r="I1983" s="17" t="s">
        <v>30</v>
      </c>
      <c r="J1983" s="36">
        <v>3810.71</v>
      </c>
      <c r="K1983" s="36">
        <v>7306.71</v>
      </c>
      <c r="L1983" s="36">
        <f t="shared" si="150"/>
        <v>3496</v>
      </c>
      <c r="M1983" s="37">
        <f t="shared" si="151"/>
        <v>0.91741434010984824</v>
      </c>
      <c r="N1983" s="17" t="str">
        <f t="shared" si="152"/>
        <v>Over Budget</v>
      </c>
      <c r="O1983" s="38">
        <f t="shared" si="153"/>
        <v>-7306.71</v>
      </c>
      <c r="P1983" s="39">
        <f t="shared" si="154"/>
        <v>45658</v>
      </c>
    </row>
    <row r="1984" spans="1:16" ht="15.5" x14ac:dyDescent="0.35">
      <c r="A1984" s="17" t="s">
        <v>2032</v>
      </c>
      <c r="B1984" s="35">
        <v>46155</v>
      </c>
      <c r="C1984" s="17" t="s">
        <v>25</v>
      </c>
      <c r="D1984" s="17" t="s">
        <v>19</v>
      </c>
      <c r="E1984" s="17" t="s">
        <v>109</v>
      </c>
      <c r="F1984" s="17" t="s">
        <v>15</v>
      </c>
      <c r="G1984" s="17" t="s">
        <v>38</v>
      </c>
      <c r="H1984" s="17" t="s">
        <v>2586</v>
      </c>
      <c r="I1984" s="17" t="s">
        <v>30</v>
      </c>
      <c r="J1984" s="36">
        <v>5882.35</v>
      </c>
      <c r="K1984" s="36">
        <v>7032.62</v>
      </c>
      <c r="L1984" s="36">
        <f t="shared" si="150"/>
        <v>1150.2699999999995</v>
      </c>
      <c r="M1984" s="37">
        <f t="shared" si="151"/>
        <v>0.1955459977729988</v>
      </c>
      <c r="N1984" s="17" t="str">
        <f t="shared" si="152"/>
        <v>Over Budget</v>
      </c>
      <c r="O1984" s="38">
        <f t="shared" si="153"/>
        <v>7032.62</v>
      </c>
      <c r="P1984" s="39">
        <f t="shared" si="154"/>
        <v>46143</v>
      </c>
    </row>
    <row r="1985" spans="1:16" ht="15.5" x14ac:dyDescent="0.35">
      <c r="A1985" s="17" t="s">
        <v>2033</v>
      </c>
      <c r="B1985" s="35">
        <v>46158</v>
      </c>
      <c r="C1985" s="17" t="s">
        <v>25</v>
      </c>
      <c r="D1985" s="17" t="s">
        <v>32</v>
      </c>
      <c r="E1985" s="17" t="s">
        <v>33</v>
      </c>
      <c r="F1985" s="17" t="s">
        <v>15</v>
      </c>
      <c r="G1985" s="17" t="s">
        <v>38</v>
      </c>
      <c r="H1985" s="17" t="s">
        <v>2592</v>
      </c>
      <c r="I1985" s="17" t="s">
        <v>30</v>
      </c>
      <c r="J1985" s="36">
        <v>10869.57</v>
      </c>
      <c r="K1985" s="36">
        <v>10118.86</v>
      </c>
      <c r="L1985" s="36">
        <f t="shared" si="150"/>
        <v>-750.70999999999913</v>
      </c>
      <c r="M1985" s="37">
        <f t="shared" si="151"/>
        <v>-6.9065289611272493E-2</v>
      </c>
      <c r="N1985" s="17" t="str">
        <f t="shared" si="152"/>
        <v>Under Budget</v>
      </c>
      <c r="O1985" s="38">
        <f t="shared" si="153"/>
        <v>10118.86</v>
      </c>
      <c r="P1985" s="39">
        <f t="shared" si="154"/>
        <v>46143</v>
      </c>
    </row>
    <row r="1986" spans="1:16" ht="15.5" x14ac:dyDescent="0.35">
      <c r="A1986" s="17" t="s">
        <v>2034</v>
      </c>
      <c r="B1986" s="35">
        <v>46108</v>
      </c>
      <c r="C1986" s="17" t="s">
        <v>12</v>
      </c>
      <c r="D1986" s="17" t="s">
        <v>13</v>
      </c>
      <c r="E1986" s="17" t="s">
        <v>74</v>
      </c>
      <c r="F1986" s="17" t="s">
        <v>15</v>
      </c>
      <c r="G1986" s="17" t="s">
        <v>43</v>
      </c>
      <c r="H1986" s="17" t="s">
        <v>2587</v>
      </c>
      <c r="I1986" s="17" t="s">
        <v>17</v>
      </c>
      <c r="J1986" s="36">
        <v>5000</v>
      </c>
      <c r="K1986" s="36">
        <v>5409.17</v>
      </c>
      <c r="L1986" s="36">
        <f t="shared" si="150"/>
        <v>409.17000000000007</v>
      </c>
      <c r="M1986" s="37">
        <f t="shared" si="151"/>
        <v>8.1834000000000018E-2</v>
      </c>
      <c r="N1986" s="17" t="str">
        <f t="shared" si="152"/>
        <v>Over Budget</v>
      </c>
      <c r="O1986" s="38">
        <f t="shared" si="153"/>
        <v>-5409.17</v>
      </c>
      <c r="P1986" s="39">
        <f t="shared" si="154"/>
        <v>46082</v>
      </c>
    </row>
    <row r="1987" spans="1:16" ht="15.5" x14ac:dyDescent="0.35">
      <c r="A1987" s="17" t="s">
        <v>2035</v>
      </c>
      <c r="B1987" s="35">
        <v>45789</v>
      </c>
      <c r="C1987" s="17" t="s">
        <v>12</v>
      </c>
      <c r="D1987" s="17" t="s">
        <v>19</v>
      </c>
      <c r="E1987" s="17" t="s">
        <v>65</v>
      </c>
      <c r="F1987" s="17" t="s">
        <v>34</v>
      </c>
      <c r="G1987" s="17" t="s">
        <v>29</v>
      </c>
      <c r="H1987" s="17" t="s">
        <v>2597</v>
      </c>
      <c r="I1987" s="17" t="s">
        <v>23</v>
      </c>
      <c r="J1987" s="36">
        <v>5500</v>
      </c>
      <c r="K1987" s="36">
        <v>6194.93</v>
      </c>
      <c r="L1987" s="36">
        <f t="shared" ref="L1987:L2050" si="155">K1987-J1987</f>
        <v>694.93000000000029</v>
      </c>
      <c r="M1987" s="37">
        <f t="shared" ref="M1987:M2050" si="156">IF(J1987=0,0,L1987/J1987)</f>
        <v>0.12635090909090915</v>
      </c>
      <c r="N1987" s="17" t="str">
        <f t="shared" ref="N1987:N2050" si="157">IF(J1987=0,"No Budget",IF(K1987&gt;J1987,"Over Budget",IF(K1987&lt;J1987,"Under Budget","On Budget")))</f>
        <v>Over Budget</v>
      </c>
      <c r="O1987" s="38">
        <f t="shared" ref="O1987:O2050" si="158">IF(C1987="Revenue",K1987,-K1987)</f>
        <v>-6194.93</v>
      </c>
      <c r="P1987" s="39">
        <f t="shared" ref="P1987:P2050" si="159">DATE(YEAR(B1987),MONTH(B1987),1)</f>
        <v>45778</v>
      </c>
    </row>
    <row r="1988" spans="1:16" ht="15.5" x14ac:dyDescent="0.35">
      <c r="A1988" s="17" t="s">
        <v>2036</v>
      </c>
      <c r="B1988" s="35">
        <v>46060</v>
      </c>
      <c r="C1988" s="17" t="s">
        <v>25</v>
      </c>
      <c r="D1988" s="17" t="s">
        <v>26</v>
      </c>
      <c r="E1988" s="17" t="s">
        <v>33</v>
      </c>
      <c r="F1988" s="17" t="s">
        <v>34</v>
      </c>
      <c r="G1988" s="17" t="s">
        <v>16</v>
      </c>
      <c r="H1988" s="17" t="s">
        <v>60</v>
      </c>
      <c r="I1988" s="17" t="s">
        <v>30</v>
      </c>
      <c r="J1988" s="36">
        <v>12125</v>
      </c>
      <c r="K1988" s="36">
        <v>8800.31</v>
      </c>
      <c r="L1988" s="36">
        <f t="shared" si="155"/>
        <v>-3324.6900000000005</v>
      </c>
      <c r="M1988" s="37">
        <f t="shared" si="156"/>
        <v>-0.27420123711340211</v>
      </c>
      <c r="N1988" s="17" t="str">
        <f t="shared" si="157"/>
        <v>Under Budget</v>
      </c>
      <c r="O1988" s="38">
        <f t="shared" si="158"/>
        <v>8800.31</v>
      </c>
      <c r="P1988" s="39">
        <f t="shared" si="159"/>
        <v>46054</v>
      </c>
    </row>
    <row r="1989" spans="1:16" ht="15.5" x14ac:dyDescent="0.35">
      <c r="A1989" s="17" t="s">
        <v>2037</v>
      </c>
      <c r="B1989" s="35">
        <v>45726</v>
      </c>
      <c r="C1989" s="17" t="s">
        <v>25</v>
      </c>
      <c r="D1989" s="17" t="s">
        <v>36</v>
      </c>
      <c r="E1989" s="17" t="s">
        <v>33</v>
      </c>
      <c r="F1989" s="17" t="s">
        <v>28</v>
      </c>
      <c r="G1989" s="17" t="s">
        <v>82</v>
      </c>
      <c r="H1989" s="17" t="s">
        <v>2593</v>
      </c>
      <c r="I1989" s="17" t="s">
        <v>30</v>
      </c>
      <c r="J1989" s="36">
        <v>8064.52</v>
      </c>
      <c r="K1989" s="36">
        <v>3783.33</v>
      </c>
      <c r="L1989" s="36">
        <f t="shared" si="155"/>
        <v>-4281.1900000000005</v>
      </c>
      <c r="M1989" s="37">
        <f t="shared" si="156"/>
        <v>-0.53086730518369352</v>
      </c>
      <c r="N1989" s="17" t="str">
        <f t="shared" si="157"/>
        <v>Under Budget</v>
      </c>
      <c r="O1989" s="38">
        <f t="shared" si="158"/>
        <v>3783.33</v>
      </c>
      <c r="P1989" s="39">
        <f t="shared" si="159"/>
        <v>45717</v>
      </c>
    </row>
    <row r="1990" spans="1:16" ht="15.5" x14ac:dyDescent="0.35">
      <c r="A1990" s="17" t="s">
        <v>2038</v>
      </c>
      <c r="B1990" s="35">
        <v>46031</v>
      </c>
      <c r="C1990" s="17" t="s">
        <v>25</v>
      </c>
      <c r="D1990" s="17" t="s">
        <v>32</v>
      </c>
      <c r="E1990" s="17" t="s">
        <v>109</v>
      </c>
      <c r="F1990" s="17" t="s">
        <v>28</v>
      </c>
      <c r="G1990" s="17" t="s">
        <v>29</v>
      </c>
      <c r="H1990" s="17" t="s">
        <v>2596</v>
      </c>
      <c r="I1990" s="17" t="s">
        <v>39</v>
      </c>
      <c r="J1990" s="36">
        <v>6062.5</v>
      </c>
      <c r="K1990" s="36">
        <v>7075.57</v>
      </c>
      <c r="L1990" s="36">
        <f t="shared" si="155"/>
        <v>1013.0699999999997</v>
      </c>
      <c r="M1990" s="37">
        <f t="shared" si="156"/>
        <v>0.16710432989690716</v>
      </c>
      <c r="N1990" s="17" t="str">
        <f t="shared" si="157"/>
        <v>Over Budget</v>
      </c>
      <c r="O1990" s="38">
        <f t="shared" si="158"/>
        <v>7075.57</v>
      </c>
      <c r="P1990" s="39">
        <f t="shared" si="159"/>
        <v>46023</v>
      </c>
    </row>
    <row r="1991" spans="1:16" ht="15.5" x14ac:dyDescent="0.35">
      <c r="A1991" s="17" t="s">
        <v>2039</v>
      </c>
      <c r="B1991" s="35">
        <v>46129</v>
      </c>
      <c r="C1991" s="17" t="s">
        <v>12</v>
      </c>
      <c r="D1991" s="17" t="s">
        <v>32</v>
      </c>
      <c r="E1991" s="17" t="s">
        <v>74</v>
      </c>
      <c r="F1991" s="17" t="s">
        <v>52</v>
      </c>
      <c r="G1991" s="17" t="s">
        <v>38</v>
      </c>
      <c r="H1991" s="17" t="s">
        <v>2589</v>
      </c>
      <c r="I1991" s="17" t="s">
        <v>30</v>
      </c>
      <c r="J1991" s="36">
        <v>6666.67</v>
      </c>
      <c r="K1991" s="36">
        <v>4923.53</v>
      </c>
      <c r="L1991" s="36">
        <f t="shared" si="155"/>
        <v>-1743.1400000000003</v>
      </c>
      <c r="M1991" s="37">
        <f t="shared" si="156"/>
        <v>-0.26147086926456542</v>
      </c>
      <c r="N1991" s="17" t="str">
        <f t="shared" si="157"/>
        <v>Under Budget</v>
      </c>
      <c r="O1991" s="38">
        <f t="shared" si="158"/>
        <v>-4923.53</v>
      </c>
      <c r="P1991" s="39">
        <f t="shared" si="159"/>
        <v>46113</v>
      </c>
    </row>
    <row r="1992" spans="1:16" ht="15.5" x14ac:dyDescent="0.35">
      <c r="A1992" s="17" t="s">
        <v>2040</v>
      </c>
      <c r="B1992" s="35">
        <v>45833</v>
      </c>
      <c r="C1992" s="17" t="s">
        <v>12</v>
      </c>
      <c r="D1992" s="17" t="s">
        <v>2585</v>
      </c>
      <c r="E1992" s="17" t="s">
        <v>45</v>
      </c>
      <c r="F1992" s="17" t="s">
        <v>15</v>
      </c>
      <c r="G1992" s="17" t="s">
        <v>16</v>
      </c>
      <c r="H1992" s="17" t="s">
        <v>2597</v>
      </c>
      <c r="I1992" s="17" t="s">
        <v>39</v>
      </c>
      <c r="J1992" s="36">
        <v>6428.57</v>
      </c>
      <c r="K1992" s="36">
        <v>11479.43</v>
      </c>
      <c r="L1992" s="36">
        <f t="shared" si="155"/>
        <v>5050.8600000000006</v>
      </c>
      <c r="M1992" s="37">
        <f t="shared" si="156"/>
        <v>0.7856895079310019</v>
      </c>
      <c r="N1992" s="17" t="str">
        <f t="shared" si="157"/>
        <v>Over Budget</v>
      </c>
      <c r="O1992" s="38">
        <f t="shared" si="158"/>
        <v>-11479.43</v>
      </c>
      <c r="P1992" s="39">
        <f t="shared" si="159"/>
        <v>45809</v>
      </c>
    </row>
    <row r="1993" spans="1:16" ht="15.5" x14ac:dyDescent="0.35">
      <c r="A1993" s="17" t="s">
        <v>2041</v>
      </c>
      <c r="B1993" s="35">
        <v>45892</v>
      </c>
      <c r="C1993" s="17" t="s">
        <v>25</v>
      </c>
      <c r="D1993" s="17" t="s">
        <v>36</v>
      </c>
      <c r="E1993" s="17" t="s">
        <v>109</v>
      </c>
      <c r="F1993" s="17" t="s">
        <v>15</v>
      </c>
      <c r="G1993" s="17" t="s">
        <v>38</v>
      </c>
      <c r="H1993" s="17" t="s">
        <v>2594</v>
      </c>
      <c r="I1993" s="17" t="s">
        <v>23</v>
      </c>
      <c r="J1993" s="36">
        <v>7142.86</v>
      </c>
      <c r="K1993" s="36">
        <v>1863.99</v>
      </c>
      <c r="L1993" s="36">
        <f t="shared" si="155"/>
        <v>-5278.87</v>
      </c>
      <c r="M1993" s="37">
        <f t="shared" si="156"/>
        <v>-0.73904150438339822</v>
      </c>
      <c r="N1993" s="17" t="str">
        <f t="shared" si="157"/>
        <v>Under Budget</v>
      </c>
      <c r="O1993" s="38">
        <f t="shared" si="158"/>
        <v>1863.99</v>
      </c>
      <c r="P1993" s="39">
        <f t="shared" si="159"/>
        <v>45870</v>
      </c>
    </row>
    <row r="1994" spans="1:16" ht="15.5" x14ac:dyDescent="0.35">
      <c r="A1994" s="17" t="s">
        <v>2042</v>
      </c>
      <c r="B1994" s="35">
        <v>45713</v>
      </c>
      <c r="C1994" s="17" t="s">
        <v>12</v>
      </c>
      <c r="D1994" s="17" t="s">
        <v>36</v>
      </c>
      <c r="E1994" s="17" t="s">
        <v>41</v>
      </c>
      <c r="F1994" s="17" t="s">
        <v>34</v>
      </c>
      <c r="G1994" s="17" t="s">
        <v>38</v>
      </c>
      <c r="H1994" s="17" t="s">
        <v>80</v>
      </c>
      <c r="I1994" s="17" t="s">
        <v>39</v>
      </c>
      <c r="J1994" s="36">
        <v>10508.33</v>
      </c>
      <c r="K1994" s="36">
        <v>6343.75</v>
      </c>
      <c r="L1994" s="36">
        <f t="shared" si="155"/>
        <v>-4164.58</v>
      </c>
      <c r="M1994" s="37">
        <f t="shared" si="156"/>
        <v>-0.39631225894123995</v>
      </c>
      <c r="N1994" s="17" t="str">
        <f t="shared" si="157"/>
        <v>Under Budget</v>
      </c>
      <c r="O1994" s="38">
        <f t="shared" si="158"/>
        <v>-6343.75</v>
      </c>
      <c r="P1994" s="39">
        <f t="shared" si="159"/>
        <v>45689</v>
      </c>
    </row>
    <row r="1995" spans="1:16" ht="15.5" x14ac:dyDescent="0.35">
      <c r="A1995" s="17" t="s">
        <v>2043</v>
      </c>
      <c r="B1995" s="35">
        <v>46063</v>
      </c>
      <c r="C1995" s="17" t="s">
        <v>25</v>
      </c>
      <c r="D1995" s="17" t="s">
        <v>32</v>
      </c>
      <c r="E1995" s="17" t="s">
        <v>33</v>
      </c>
      <c r="F1995" s="17" t="s">
        <v>21</v>
      </c>
      <c r="G1995" s="17" t="s">
        <v>22</v>
      </c>
      <c r="H1995" s="17" t="s">
        <v>2598</v>
      </c>
      <c r="I1995" s="17" t="s">
        <v>23</v>
      </c>
      <c r="J1995" s="36">
        <v>12125</v>
      </c>
      <c r="K1995" s="36">
        <v>6469.73</v>
      </c>
      <c r="L1995" s="36">
        <f t="shared" si="155"/>
        <v>-5655.27</v>
      </c>
      <c r="M1995" s="37">
        <f t="shared" si="156"/>
        <v>-0.46641402061855675</v>
      </c>
      <c r="N1995" s="17" t="str">
        <f t="shared" si="157"/>
        <v>Under Budget</v>
      </c>
      <c r="O1995" s="38">
        <f t="shared" si="158"/>
        <v>6469.73</v>
      </c>
      <c r="P1995" s="39">
        <f t="shared" si="159"/>
        <v>46054</v>
      </c>
    </row>
    <row r="1996" spans="1:16" ht="15.5" x14ac:dyDescent="0.35">
      <c r="A1996" s="17" t="s">
        <v>2044</v>
      </c>
      <c r="B1996" s="35">
        <v>46031</v>
      </c>
      <c r="C1996" s="17" t="s">
        <v>25</v>
      </c>
      <c r="D1996" s="17" t="s">
        <v>13</v>
      </c>
      <c r="E1996" s="17" t="s">
        <v>33</v>
      </c>
      <c r="F1996" s="17" t="s">
        <v>34</v>
      </c>
      <c r="G1996" s="17" t="s">
        <v>38</v>
      </c>
      <c r="H1996" s="17" t="s">
        <v>2588</v>
      </c>
      <c r="I1996" s="17" t="s">
        <v>23</v>
      </c>
      <c r="J1996" s="36">
        <v>11547.62</v>
      </c>
      <c r="K1996" s="36">
        <v>18093.7</v>
      </c>
      <c r="L1996" s="36">
        <f t="shared" si="155"/>
        <v>6546.08</v>
      </c>
      <c r="M1996" s="37">
        <f t="shared" si="156"/>
        <v>0.56687698417509402</v>
      </c>
      <c r="N1996" s="17" t="str">
        <f t="shared" si="157"/>
        <v>Over Budget</v>
      </c>
      <c r="O1996" s="38">
        <f t="shared" si="158"/>
        <v>18093.7</v>
      </c>
      <c r="P1996" s="39">
        <f t="shared" si="159"/>
        <v>46023</v>
      </c>
    </row>
    <row r="1997" spans="1:16" ht="15.5" x14ac:dyDescent="0.35">
      <c r="A1997" s="17" t="s">
        <v>2045</v>
      </c>
      <c r="B1997" s="35">
        <v>45726</v>
      </c>
      <c r="C1997" s="17" t="s">
        <v>12</v>
      </c>
      <c r="D1997" s="17" t="s">
        <v>19</v>
      </c>
      <c r="E1997" s="17" t="s">
        <v>77</v>
      </c>
      <c r="F1997" s="17" t="s">
        <v>21</v>
      </c>
      <c r="G1997" s="17" t="s">
        <v>22</v>
      </c>
      <c r="H1997" s="17" t="s">
        <v>2586</v>
      </c>
      <c r="I1997" s="17" t="s">
        <v>23</v>
      </c>
      <c r="J1997" s="36">
        <v>3142.86</v>
      </c>
      <c r="K1997" s="36">
        <v>1523.62</v>
      </c>
      <c r="L1997" s="36">
        <f t="shared" si="155"/>
        <v>-1619.2400000000002</v>
      </c>
      <c r="M1997" s="37">
        <f t="shared" si="156"/>
        <v>-0.51521225889794653</v>
      </c>
      <c r="N1997" s="17" t="str">
        <f t="shared" si="157"/>
        <v>Under Budget</v>
      </c>
      <c r="O1997" s="38">
        <f t="shared" si="158"/>
        <v>-1523.62</v>
      </c>
      <c r="P1997" s="39">
        <f t="shared" si="159"/>
        <v>45717</v>
      </c>
    </row>
    <row r="1998" spans="1:16" ht="15.5" x14ac:dyDescent="0.35">
      <c r="A1998" s="17" t="s">
        <v>2046</v>
      </c>
      <c r="B1998" s="35">
        <v>45779</v>
      </c>
      <c r="C1998" s="17" t="s">
        <v>12</v>
      </c>
      <c r="D1998" s="17" t="s">
        <v>13</v>
      </c>
      <c r="E1998" s="17" t="s">
        <v>65</v>
      </c>
      <c r="F1998" s="17" t="s">
        <v>28</v>
      </c>
      <c r="G1998" s="17" t="s">
        <v>22</v>
      </c>
      <c r="H1998" s="17" t="s">
        <v>2597</v>
      </c>
      <c r="I1998" s="17" t="s">
        <v>39</v>
      </c>
      <c r="J1998" s="36">
        <v>5500</v>
      </c>
      <c r="K1998" s="36">
        <v>6396.33</v>
      </c>
      <c r="L1998" s="36">
        <f t="shared" si="155"/>
        <v>896.32999999999993</v>
      </c>
      <c r="M1998" s="37">
        <f t="shared" si="156"/>
        <v>0.1629690909090909</v>
      </c>
      <c r="N1998" s="17" t="str">
        <f t="shared" si="157"/>
        <v>Over Budget</v>
      </c>
      <c r="O1998" s="38">
        <f t="shared" si="158"/>
        <v>-6396.33</v>
      </c>
      <c r="P1998" s="39">
        <f t="shared" si="159"/>
        <v>45778</v>
      </c>
    </row>
    <row r="1999" spans="1:16" ht="15.5" x14ac:dyDescent="0.35">
      <c r="A1999" s="17" t="s">
        <v>2047</v>
      </c>
      <c r="B1999" s="35">
        <v>45857</v>
      </c>
      <c r="C1999" s="17" t="s">
        <v>12</v>
      </c>
      <c r="D1999" s="17" t="s">
        <v>19</v>
      </c>
      <c r="E1999" s="17" t="s">
        <v>45</v>
      </c>
      <c r="F1999" s="17" t="s">
        <v>52</v>
      </c>
      <c r="G1999" s="17" t="s">
        <v>43</v>
      </c>
      <c r="H1999" s="17" t="s">
        <v>2595</v>
      </c>
      <c r="I1999" s="17" t="s">
        <v>23</v>
      </c>
      <c r="J1999" s="36">
        <v>6923.08</v>
      </c>
      <c r="K1999" s="36">
        <v>1375.36</v>
      </c>
      <c r="L1999" s="36">
        <f t="shared" si="155"/>
        <v>-5547.72</v>
      </c>
      <c r="M1999" s="37">
        <f t="shared" si="156"/>
        <v>-0.80133697718356578</v>
      </c>
      <c r="N1999" s="17" t="str">
        <f t="shared" si="157"/>
        <v>Under Budget</v>
      </c>
      <c r="O1999" s="38">
        <f t="shared" si="158"/>
        <v>-1375.36</v>
      </c>
      <c r="P1999" s="39">
        <f t="shared" si="159"/>
        <v>45839</v>
      </c>
    </row>
    <row r="2000" spans="1:16" ht="15.5" x14ac:dyDescent="0.35">
      <c r="A2000" s="17" t="s">
        <v>2048</v>
      </c>
      <c r="B2000" s="35">
        <v>46030</v>
      </c>
      <c r="C2000" s="17" t="s">
        <v>25</v>
      </c>
      <c r="D2000" s="17" t="s">
        <v>36</v>
      </c>
      <c r="E2000" s="17" t="s">
        <v>109</v>
      </c>
      <c r="F2000" s="17" t="s">
        <v>34</v>
      </c>
      <c r="G2000" s="17" t="s">
        <v>38</v>
      </c>
      <c r="H2000" s="17" t="s">
        <v>2598</v>
      </c>
      <c r="I2000" s="17" t="s">
        <v>30</v>
      </c>
      <c r="J2000" s="36">
        <v>6062.5</v>
      </c>
      <c r="K2000" s="36">
        <v>1628.38</v>
      </c>
      <c r="L2000" s="36">
        <f t="shared" si="155"/>
        <v>-4434.12</v>
      </c>
      <c r="M2000" s="37">
        <f t="shared" si="156"/>
        <v>-0.73140123711340199</v>
      </c>
      <c r="N2000" s="17" t="str">
        <f t="shared" si="157"/>
        <v>Under Budget</v>
      </c>
      <c r="O2000" s="38">
        <f t="shared" si="158"/>
        <v>1628.38</v>
      </c>
      <c r="P2000" s="39">
        <f t="shared" si="159"/>
        <v>46023</v>
      </c>
    </row>
    <row r="2001" spans="1:16" ht="15.5" x14ac:dyDescent="0.35">
      <c r="A2001" s="17" t="s">
        <v>2049</v>
      </c>
      <c r="B2001" s="35">
        <v>45845</v>
      </c>
      <c r="C2001" s="17" t="s">
        <v>12</v>
      </c>
      <c r="D2001" s="17" t="s">
        <v>2585</v>
      </c>
      <c r="E2001" s="17" t="s">
        <v>37</v>
      </c>
      <c r="F2001" s="17" t="s">
        <v>28</v>
      </c>
      <c r="G2001" s="17" t="s">
        <v>16</v>
      </c>
      <c r="H2001" s="17" t="s">
        <v>2587</v>
      </c>
      <c r="I2001" s="17" t="s">
        <v>48</v>
      </c>
      <c r="J2001" s="36">
        <v>4666.67</v>
      </c>
      <c r="K2001" s="36">
        <v>3351.21</v>
      </c>
      <c r="L2001" s="36">
        <f t="shared" si="155"/>
        <v>-1315.46</v>
      </c>
      <c r="M2001" s="37">
        <f t="shared" si="156"/>
        <v>-0.28188408436851115</v>
      </c>
      <c r="N2001" s="17" t="str">
        <f t="shared" si="157"/>
        <v>Under Budget</v>
      </c>
      <c r="O2001" s="38">
        <f t="shared" si="158"/>
        <v>-3351.21</v>
      </c>
      <c r="P2001" s="39">
        <f t="shared" si="159"/>
        <v>45839</v>
      </c>
    </row>
    <row r="2002" spans="1:16" ht="15.5" x14ac:dyDescent="0.35">
      <c r="A2002" s="17" t="s">
        <v>2050</v>
      </c>
      <c r="B2002" s="35">
        <v>46039</v>
      </c>
      <c r="C2002" s="17" t="s">
        <v>12</v>
      </c>
      <c r="D2002" s="17" t="s">
        <v>36</v>
      </c>
      <c r="E2002" s="17" t="s">
        <v>45</v>
      </c>
      <c r="F2002" s="17" t="s">
        <v>15</v>
      </c>
      <c r="G2002" s="17" t="s">
        <v>16</v>
      </c>
      <c r="H2002" s="17" t="s">
        <v>2592</v>
      </c>
      <c r="I2002" s="17" t="s">
        <v>23</v>
      </c>
      <c r="J2002" s="36">
        <v>6715.38</v>
      </c>
      <c r="K2002" s="36">
        <v>2550.12</v>
      </c>
      <c r="L2002" s="36">
        <f t="shared" si="155"/>
        <v>-4165.26</v>
      </c>
      <c r="M2002" s="37">
        <f t="shared" si="156"/>
        <v>-0.62025678368163828</v>
      </c>
      <c r="N2002" s="17" t="str">
        <f t="shared" si="157"/>
        <v>Under Budget</v>
      </c>
      <c r="O2002" s="38">
        <f t="shared" si="158"/>
        <v>-2550.12</v>
      </c>
      <c r="P2002" s="39">
        <f t="shared" si="159"/>
        <v>46023</v>
      </c>
    </row>
    <row r="2003" spans="1:16" ht="15.5" x14ac:dyDescent="0.35">
      <c r="A2003" s="17" t="s">
        <v>2051</v>
      </c>
      <c r="B2003" s="35">
        <v>46196</v>
      </c>
      <c r="C2003" s="17" t="s">
        <v>12</v>
      </c>
      <c r="D2003" s="17" t="s">
        <v>2584</v>
      </c>
      <c r="E2003" s="17" t="s">
        <v>65</v>
      </c>
      <c r="F2003" s="17" t="s">
        <v>52</v>
      </c>
      <c r="G2003" s="17" t="s">
        <v>22</v>
      </c>
      <c r="H2003" s="17" t="s">
        <v>2595</v>
      </c>
      <c r="I2003" s="17" t="s">
        <v>23</v>
      </c>
      <c r="J2003" s="36">
        <v>3666.67</v>
      </c>
      <c r="K2003" s="36">
        <v>6549.92</v>
      </c>
      <c r="L2003" s="36">
        <f t="shared" si="155"/>
        <v>2883.25</v>
      </c>
      <c r="M2003" s="37">
        <f t="shared" si="156"/>
        <v>0.78634019423618706</v>
      </c>
      <c r="N2003" s="17" t="str">
        <f t="shared" si="157"/>
        <v>Over Budget</v>
      </c>
      <c r="O2003" s="38">
        <f t="shared" si="158"/>
        <v>-6549.92</v>
      </c>
      <c r="P2003" s="39">
        <f t="shared" si="159"/>
        <v>46174</v>
      </c>
    </row>
    <row r="2004" spans="1:16" ht="15.5" x14ac:dyDescent="0.35">
      <c r="A2004" s="17" t="s">
        <v>2052</v>
      </c>
      <c r="B2004" s="35">
        <v>46046</v>
      </c>
      <c r="C2004" s="17" t="s">
        <v>12</v>
      </c>
      <c r="D2004" s="17" t="s">
        <v>19</v>
      </c>
      <c r="E2004" s="17" t="s">
        <v>41</v>
      </c>
      <c r="F2004" s="17" t="s">
        <v>21</v>
      </c>
      <c r="G2004" s="17" t="s">
        <v>29</v>
      </c>
      <c r="H2004" s="17" t="s">
        <v>2597</v>
      </c>
      <c r="I2004" s="17" t="s">
        <v>39</v>
      </c>
      <c r="J2004" s="36">
        <v>6305</v>
      </c>
      <c r="K2004" s="36">
        <v>4219.6499999999996</v>
      </c>
      <c r="L2004" s="36">
        <f t="shared" si="155"/>
        <v>-2085.3500000000004</v>
      </c>
      <c r="M2004" s="37">
        <f t="shared" si="156"/>
        <v>-0.33074544012688351</v>
      </c>
      <c r="N2004" s="17" t="str">
        <f t="shared" si="157"/>
        <v>Under Budget</v>
      </c>
      <c r="O2004" s="38">
        <f t="shared" si="158"/>
        <v>-4219.6499999999996</v>
      </c>
      <c r="P2004" s="39">
        <f t="shared" si="159"/>
        <v>46023</v>
      </c>
    </row>
    <row r="2005" spans="1:16" ht="15.5" x14ac:dyDescent="0.35">
      <c r="A2005" s="17" t="s">
        <v>2053</v>
      </c>
      <c r="B2005" s="35">
        <v>46023</v>
      </c>
      <c r="C2005" s="17" t="s">
        <v>12</v>
      </c>
      <c r="D2005" s="17" t="s">
        <v>19</v>
      </c>
      <c r="E2005" s="17" t="s">
        <v>51</v>
      </c>
      <c r="F2005" s="17" t="s">
        <v>34</v>
      </c>
      <c r="G2005" s="17" t="s">
        <v>82</v>
      </c>
      <c r="H2005" s="17" t="s">
        <v>60</v>
      </c>
      <c r="I2005" s="17" t="s">
        <v>30</v>
      </c>
      <c r="J2005" s="36">
        <v>3637.5</v>
      </c>
      <c r="K2005" s="36">
        <v>5193.68</v>
      </c>
      <c r="L2005" s="36">
        <f t="shared" si="155"/>
        <v>1556.1800000000003</v>
      </c>
      <c r="M2005" s="37">
        <f t="shared" si="156"/>
        <v>0.42781580756013754</v>
      </c>
      <c r="N2005" s="17" t="str">
        <f t="shared" si="157"/>
        <v>Over Budget</v>
      </c>
      <c r="O2005" s="38">
        <f t="shared" si="158"/>
        <v>-5193.68</v>
      </c>
      <c r="P2005" s="39">
        <f t="shared" si="159"/>
        <v>46023</v>
      </c>
    </row>
    <row r="2006" spans="1:16" ht="15.5" x14ac:dyDescent="0.35">
      <c r="A2006" s="17" t="s">
        <v>2054</v>
      </c>
      <c r="B2006" s="35">
        <v>46152</v>
      </c>
      <c r="C2006" s="17" t="s">
        <v>25</v>
      </c>
      <c r="D2006" s="17" t="s">
        <v>13</v>
      </c>
      <c r="E2006" s="17" t="s">
        <v>33</v>
      </c>
      <c r="F2006" s="17" t="s">
        <v>28</v>
      </c>
      <c r="G2006" s="17" t="s">
        <v>22</v>
      </c>
      <c r="H2006" s="17" t="s">
        <v>2587</v>
      </c>
      <c r="I2006" s="17" t="s">
        <v>23</v>
      </c>
      <c r="J2006" s="36">
        <v>10869.57</v>
      </c>
      <c r="K2006" s="36">
        <v>6137.84</v>
      </c>
      <c r="L2006" s="36">
        <f t="shared" si="155"/>
        <v>-4731.7299999999996</v>
      </c>
      <c r="M2006" s="37">
        <f t="shared" si="156"/>
        <v>-0.43531896845965384</v>
      </c>
      <c r="N2006" s="17" t="str">
        <f t="shared" si="157"/>
        <v>Under Budget</v>
      </c>
      <c r="O2006" s="38">
        <f t="shared" si="158"/>
        <v>6137.84</v>
      </c>
      <c r="P2006" s="39">
        <f t="shared" si="159"/>
        <v>46143</v>
      </c>
    </row>
    <row r="2007" spans="1:16" ht="15.5" x14ac:dyDescent="0.35">
      <c r="A2007" s="17" t="s">
        <v>2055</v>
      </c>
      <c r="B2007" s="35">
        <v>45699</v>
      </c>
      <c r="C2007" s="17" t="s">
        <v>12</v>
      </c>
      <c r="D2007" s="17" t="s">
        <v>26</v>
      </c>
      <c r="E2007" s="17" t="s">
        <v>45</v>
      </c>
      <c r="F2007" s="17" t="s">
        <v>34</v>
      </c>
      <c r="G2007" s="17" t="s">
        <v>22</v>
      </c>
      <c r="H2007" s="17" t="s">
        <v>60</v>
      </c>
      <c r="I2007" s="17" t="s">
        <v>48</v>
      </c>
      <c r="J2007" s="36">
        <v>11640</v>
      </c>
      <c r="K2007" s="36">
        <v>14527.04</v>
      </c>
      <c r="L2007" s="36">
        <f t="shared" si="155"/>
        <v>2887.0400000000009</v>
      </c>
      <c r="M2007" s="37">
        <f t="shared" si="156"/>
        <v>0.24802749140893479</v>
      </c>
      <c r="N2007" s="17" t="str">
        <f t="shared" si="157"/>
        <v>Over Budget</v>
      </c>
      <c r="O2007" s="38">
        <f t="shared" si="158"/>
        <v>-14527.04</v>
      </c>
      <c r="P2007" s="39">
        <f t="shared" si="159"/>
        <v>45689</v>
      </c>
    </row>
    <row r="2008" spans="1:16" ht="15.5" x14ac:dyDescent="0.35">
      <c r="A2008" s="17" t="s">
        <v>2056</v>
      </c>
      <c r="B2008" s="35">
        <v>45735</v>
      </c>
      <c r="C2008" s="17" t="s">
        <v>12</v>
      </c>
      <c r="D2008" s="17" t="s">
        <v>2584</v>
      </c>
      <c r="E2008" s="17" t="s">
        <v>41</v>
      </c>
      <c r="F2008" s="17" t="s">
        <v>21</v>
      </c>
      <c r="G2008" s="17" t="s">
        <v>22</v>
      </c>
      <c r="H2008" s="17" t="s">
        <v>80</v>
      </c>
      <c r="I2008" s="17" t="s">
        <v>30</v>
      </c>
      <c r="J2008" s="36">
        <v>5000</v>
      </c>
      <c r="K2008" s="36">
        <v>11821.02</v>
      </c>
      <c r="L2008" s="36">
        <f t="shared" si="155"/>
        <v>6821.02</v>
      </c>
      <c r="M2008" s="37">
        <f t="shared" si="156"/>
        <v>1.3642040000000002</v>
      </c>
      <c r="N2008" s="17" t="str">
        <f t="shared" si="157"/>
        <v>Over Budget</v>
      </c>
      <c r="O2008" s="38">
        <f t="shared" si="158"/>
        <v>-11821.02</v>
      </c>
      <c r="P2008" s="39">
        <f t="shared" si="159"/>
        <v>45717</v>
      </c>
    </row>
    <row r="2009" spans="1:16" ht="15.5" x14ac:dyDescent="0.35">
      <c r="A2009" s="17" t="s">
        <v>2057</v>
      </c>
      <c r="B2009" s="35">
        <v>45827</v>
      </c>
      <c r="C2009" s="17" t="s">
        <v>12</v>
      </c>
      <c r="D2009" s="17" t="s">
        <v>2584</v>
      </c>
      <c r="E2009" s="17" t="s">
        <v>51</v>
      </c>
      <c r="F2009" s="17" t="s">
        <v>52</v>
      </c>
      <c r="G2009" s="17" t="s">
        <v>22</v>
      </c>
      <c r="H2009" s="17" t="s">
        <v>80</v>
      </c>
      <c r="I2009" s="17" t="s">
        <v>48</v>
      </c>
      <c r="J2009" s="36">
        <v>5000</v>
      </c>
      <c r="K2009" s="36">
        <v>4305.13</v>
      </c>
      <c r="L2009" s="36">
        <f t="shared" si="155"/>
        <v>-694.86999999999989</v>
      </c>
      <c r="M2009" s="37">
        <f t="shared" si="156"/>
        <v>-0.13897399999999999</v>
      </c>
      <c r="N2009" s="17" t="str">
        <f t="shared" si="157"/>
        <v>Under Budget</v>
      </c>
      <c r="O2009" s="38">
        <f t="shared" si="158"/>
        <v>-4305.13</v>
      </c>
      <c r="P2009" s="39">
        <f t="shared" si="159"/>
        <v>45809</v>
      </c>
    </row>
    <row r="2010" spans="1:16" ht="15.5" x14ac:dyDescent="0.35">
      <c r="A2010" s="17" t="s">
        <v>2058</v>
      </c>
      <c r="B2010" s="35">
        <v>46041</v>
      </c>
      <c r="C2010" s="17" t="s">
        <v>12</v>
      </c>
      <c r="D2010" s="17" t="s">
        <v>19</v>
      </c>
      <c r="E2010" s="17" t="s">
        <v>45</v>
      </c>
      <c r="F2010" s="17" t="s">
        <v>52</v>
      </c>
      <c r="G2010" s="17" t="s">
        <v>38</v>
      </c>
      <c r="H2010" s="17" t="s">
        <v>2594</v>
      </c>
      <c r="I2010" s="17" t="s">
        <v>48</v>
      </c>
      <c r="J2010" s="36">
        <v>6715.38</v>
      </c>
      <c r="K2010" s="36">
        <v>5641.26</v>
      </c>
      <c r="L2010" s="36">
        <f t="shared" si="155"/>
        <v>-1074.1199999999999</v>
      </c>
      <c r="M2010" s="37">
        <f t="shared" si="156"/>
        <v>-0.15994925082422734</v>
      </c>
      <c r="N2010" s="17" t="str">
        <f t="shared" si="157"/>
        <v>Under Budget</v>
      </c>
      <c r="O2010" s="38">
        <f t="shared" si="158"/>
        <v>-5641.26</v>
      </c>
      <c r="P2010" s="39">
        <f t="shared" si="159"/>
        <v>46023</v>
      </c>
    </row>
    <row r="2011" spans="1:16" ht="15.5" x14ac:dyDescent="0.35">
      <c r="A2011" s="17" t="s">
        <v>2059</v>
      </c>
      <c r="B2011" s="35">
        <v>45777</v>
      </c>
      <c r="C2011" s="17" t="s">
        <v>25</v>
      </c>
      <c r="D2011" s="17" t="s">
        <v>36</v>
      </c>
      <c r="E2011" s="17" t="s">
        <v>109</v>
      </c>
      <c r="F2011" s="17" t="s">
        <v>28</v>
      </c>
      <c r="G2011" s="17" t="s">
        <v>38</v>
      </c>
      <c r="H2011" s="17" t="s">
        <v>2590</v>
      </c>
      <c r="I2011" s="17" t="s">
        <v>23</v>
      </c>
      <c r="J2011" s="36">
        <v>14285.71</v>
      </c>
      <c r="K2011" s="36">
        <v>1796.98</v>
      </c>
      <c r="L2011" s="36">
        <f t="shared" si="155"/>
        <v>-12488.73</v>
      </c>
      <c r="M2011" s="37">
        <f t="shared" si="156"/>
        <v>-0.87421136226340868</v>
      </c>
      <c r="N2011" s="17" t="str">
        <f t="shared" si="157"/>
        <v>Under Budget</v>
      </c>
      <c r="O2011" s="38">
        <f t="shared" si="158"/>
        <v>1796.98</v>
      </c>
      <c r="P2011" s="39">
        <f t="shared" si="159"/>
        <v>45748</v>
      </c>
    </row>
    <row r="2012" spans="1:16" ht="15.5" x14ac:dyDescent="0.35">
      <c r="A2012" s="17" t="s">
        <v>2060</v>
      </c>
      <c r="B2012" s="35">
        <v>46151</v>
      </c>
      <c r="C2012" s="17" t="s">
        <v>12</v>
      </c>
      <c r="D2012" s="17" t="s">
        <v>19</v>
      </c>
      <c r="E2012" s="17" t="s">
        <v>41</v>
      </c>
      <c r="F2012" s="17" t="s">
        <v>34</v>
      </c>
      <c r="G2012" s="17" t="s">
        <v>38</v>
      </c>
      <c r="H2012" s="17" t="s">
        <v>2598</v>
      </c>
      <c r="I2012" s="17" t="s">
        <v>23</v>
      </c>
      <c r="J2012" s="36">
        <v>6500</v>
      </c>
      <c r="K2012" s="36">
        <v>9685.98</v>
      </c>
      <c r="L2012" s="36">
        <f t="shared" si="155"/>
        <v>3185.9799999999996</v>
      </c>
      <c r="M2012" s="37">
        <f t="shared" si="156"/>
        <v>0.49015076923076917</v>
      </c>
      <c r="N2012" s="17" t="str">
        <f t="shared" si="157"/>
        <v>Over Budget</v>
      </c>
      <c r="O2012" s="38">
        <f t="shared" si="158"/>
        <v>-9685.98</v>
      </c>
      <c r="P2012" s="39">
        <f t="shared" si="159"/>
        <v>46143</v>
      </c>
    </row>
    <row r="2013" spans="1:16" ht="15.5" x14ac:dyDescent="0.35">
      <c r="A2013" s="17" t="s">
        <v>2061</v>
      </c>
      <c r="B2013" s="35">
        <v>45738</v>
      </c>
      <c r="C2013" s="17" t="s">
        <v>25</v>
      </c>
      <c r="D2013" s="17" t="s">
        <v>19</v>
      </c>
      <c r="E2013" s="17" t="s">
        <v>33</v>
      </c>
      <c r="F2013" s="17" t="s">
        <v>52</v>
      </c>
      <c r="G2013" s="17" t="s">
        <v>29</v>
      </c>
      <c r="H2013" s="17" t="s">
        <v>2592</v>
      </c>
      <c r="I2013" s="17" t="s">
        <v>48</v>
      </c>
      <c r="J2013" s="36">
        <v>8064.52</v>
      </c>
      <c r="K2013" s="36">
        <v>4686.3100000000004</v>
      </c>
      <c r="L2013" s="36">
        <f t="shared" si="155"/>
        <v>-3378.21</v>
      </c>
      <c r="M2013" s="37">
        <f t="shared" si="156"/>
        <v>-0.41889783892903731</v>
      </c>
      <c r="N2013" s="17" t="str">
        <f t="shared" si="157"/>
        <v>Under Budget</v>
      </c>
      <c r="O2013" s="38">
        <f t="shared" si="158"/>
        <v>4686.3100000000004</v>
      </c>
      <c r="P2013" s="39">
        <f t="shared" si="159"/>
        <v>45717</v>
      </c>
    </row>
    <row r="2014" spans="1:16" ht="15.5" x14ac:dyDescent="0.35">
      <c r="A2014" s="17" t="s">
        <v>2062</v>
      </c>
      <c r="B2014" s="35">
        <v>45661</v>
      </c>
      <c r="C2014" s="17" t="s">
        <v>25</v>
      </c>
      <c r="D2014" s="17" t="s">
        <v>19</v>
      </c>
      <c r="E2014" s="17" t="s">
        <v>33</v>
      </c>
      <c r="F2014" s="17" t="s">
        <v>34</v>
      </c>
      <c r="G2014" s="17" t="s">
        <v>38</v>
      </c>
      <c r="H2014" s="17" t="s">
        <v>2594</v>
      </c>
      <c r="I2014" s="17" t="s">
        <v>48</v>
      </c>
      <c r="J2014" s="36">
        <v>11022.73</v>
      </c>
      <c r="K2014" s="36">
        <v>17472.89</v>
      </c>
      <c r="L2014" s="36">
        <f t="shared" si="155"/>
        <v>6450.16</v>
      </c>
      <c r="M2014" s="37">
        <f t="shared" si="156"/>
        <v>0.58516900985509035</v>
      </c>
      <c r="N2014" s="17" t="str">
        <f t="shared" si="157"/>
        <v>Over Budget</v>
      </c>
      <c r="O2014" s="38">
        <f t="shared" si="158"/>
        <v>17472.89</v>
      </c>
      <c r="P2014" s="39">
        <f t="shared" si="159"/>
        <v>45658</v>
      </c>
    </row>
    <row r="2015" spans="1:16" ht="15.5" x14ac:dyDescent="0.35">
      <c r="A2015" s="17" t="s">
        <v>2063</v>
      </c>
      <c r="B2015" s="35">
        <v>45916</v>
      </c>
      <c r="C2015" s="17" t="s">
        <v>25</v>
      </c>
      <c r="D2015" s="17" t="s">
        <v>26</v>
      </c>
      <c r="E2015" s="17" t="s">
        <v>33</v>
      </c>
      <c r="F2015" s="17" t="s">
        <v>15</v>
      </c>
      <c r="G2015" s="17" t="s">
        <v>82</v>
      </c>
      <c r="H2015" s="17" t="s">
        <v>2592</v>
      </c>
      <c r="I2015" s="17" t="s">
        <v>39</v>
      </c>
      <c r="J2015" s="36">
        <v>11904.76</v>
      </c>
      <c r="K2015" s="36">
        <v>21788.959999999999</v>
      </c>
      <c r="L2015" s="36">
        <f t="shared" si="155"/>
        <v>9884.1999999999989</v>
      </c>
      <c r="M2015" s="37">
        <f t="shared" si="156"/>
        <v>0.8302729328436691</v>
      </c>
      <c r="N2015" s="17" t="str">
        <f t="shared" si="157"/>
        <v>Over Budget</v>
      </c>
      <c r="O2015" s="38">
        <f t="shared" si="158"/>
        <v>21788.959999999999</v>
      </c>
      <c r="P2015" s="39">
        <f t="shared" si="159"/>
        <v>45901</v>
      </c>
    </row>
    <row r="2016" spans="1:16" ht="15.5" x14ac:dyDescent="0.35">
      <c r="A2016" s="17" t="s">
        <v>2064</v>
      </c>
      <c r="B2016" s="35">
        <v>46173</v>
      </c>
      <c r="C2016" s="17" t="s">
        <v>12</v>
      </c>
      <c r="D2016" s="17" t="s">
        <v>2584</v>
      </c>
      <c r="E2016" s="17" t="s">
        <v>45</v>
      </c>
      <c r="F2016" s="17" t="s">
        <v>15</v>
      </c>
      <c r="G2016" s="17" t="s">
        <v>29</v>
      </c>
      <c r="H2016" s="17" t="s">
        <v>2586</v>
      </c>
      <c r="I2016" s="17" t="s">
        <v>30</v>
      </c>
      <c r="J2016" s="36">
        <v>16363.64</v>
      </c>
      <c r="K2016" s="36">
        <v>4310.96</v>
      </c>
      <c r="L2016" s="36">
        <f t="shared" si="155"/>
        <v>-12052.68</v>
      </c>
      <c r="M2016" s="37">
        <f t="shared" si="156"/>
        <v>-0.73655250298833275</v>
      </c>
      <c r="N2016" s="17" t="str">
        <f t="shared" si="157"/>
        <v>Under Budget</v>
      </c>
      <c r="O2016" s="38">
        <f t="shared" si="158"/>
        <v>-4310.96</v>
      </c>
      <c r="P2016" s="39">
        <f t="shared" si="159"/>
        <v>46143</v>
      </c>
    </row>
    <row r="2017" spans="1:16" ht="15.5" x14ac:dyDescent="0.35">
      <c r="A2017" s="17" t="s">
        <v>2065</v>
      </c>
      <c r="B2017" s="35">
        <v>45965</v>
      </c>
      <c r="C2017" s="17" t="s">
        <v>12</v>
      </c>
      <c r="D2017" s="17" t="s">
        <v>36</v>
      </c>
      <c r="E2017" s="17" t="s">
        <v>45</v>
      </c>
      <c r="F2017" s="17" t="s">
        <v>21</v>
      </c>
      <c r="G2017" s="17" t="s">
        <v>82</v>
      </c>
      <c r="H2017" s="17" t="s">
        <v>2589</v>
      </c>
      <c r="I2017" s="17" t="s">
        <v>48</v>
      </c>
      <c r="J2017" s="36">
        <v>9947.3700000000008</v>
      </c>
      <c r="K2017" s="36">
        <v>11410.23</v>
      </c>
      <c r="L2017" s="36">
        <f t="shared" si="155"/>
        <v>1462.8599999999988</v>
      </c>
      <c r="M2017" s="37">
        <f t="shared" si="156"/>
        <v>0.14705997665714643</v>
      </c>
      <c r="N2017" s="17" t="str">
        <f t="shared" si="157"/>
        <v>Over Budget</v>
      </c>
      <c r="O2017" s="38">
        <f t="shared" si="158"/>
        <v>-11410.23</v>
      </c>
      <c r="P2017" s="39">
        <f t="shared" si="159"/>
        <v>45962</v>
      </c>
    </row>
    <row r="2018" spans="1:16" ht="15.5" x14ac:dyDescent="0.35">
      <c r="A2018" s="17" t="s">
        <v>2066</v>
      </c>
      <c r="B2018" s="35">
        <v>46051</v>
      </c>
      <c r="C2018" s="17" t="s">
        <v>12</v>
      </c>
      <c r="D2018" s="17" t="s">
        <v>19</v>
      </c>
      <c r="E2018" s="17" t="s">
        <v>45</v>
      </c>
      <c r="F2018" s="17" t="s">
        <v>52</v>
      </c>
      <c r="G2018" s="17" t="s">
        <v>38</v>
      </c>
      <c r="H2018" s="17" t="s">
        <v>2594</v>
      </c>
      <c r="I2018" s="17" t="s">
        <v>17</v>
      </c>
      <c r="J2018" s="36">
        <v>6715.38</v>
      </c>
      <c r="K2018" s="36">
        <v>6612.71</v>
      </c>
      <c r="L2018" s="36">
        <f t="shared" si="155"/>
        <v>-102.67000000000007</v>
      </c>
      <c r="M2018" s="37">
        <f t="shared" si="156"/>
        <v>-1.5288784849107581E-2</v>
      </c>
      <c r="N2018" s="17" t="str">
        <f t="shared" si="157"/>
        <v>Under Budget</v>
      </c>
      <c r="O2018" s="38">
        <f t="shared" si="158"/>
        <v>-6612.71</v>
      </c>
      <c r="P2018" s="39">
        <f t="shared" si="159"/>
        <v>46023</v>
      </c>
    </row>
    <row r="2019" spans="1:16" ht="15.5" x14ac:dyDescent="0.35">
      <c r="A2019" s="17" t="s">
        <v>2067</v>
      </c>
      <c r="B2019" s="35">
        <v>45698</v>
      </c>
      <c r="C2019" s="17" t="s">
        <v>25</v>
      </c>
      <c r="D2019" s="17" t="s">
        <v>19</v>
      </c>
      <c r="E2019" s="17" t="s">
        <v>33</v>
      </c>
      <c r="F2019" s="17" t="s">
        <v>28</v>
      </c>
      <c r="G2019" s="17" t="s">
        <v>38</v>
      </c>
      <c r="H2019" s="17" t="s">
        <v>80</v>
      </c>
      <c r="I2019" s="17" t="s">
        <v>30</v>
      </c>
      <c r="J2019" s="36">
        <v>13472.22</v>
      </c>
      <c r="K2019" s="36">
        <v>13951.97</v>
      </c>
      <c r="L2019" s="36">
        <f t="shared" si="155"/>
        <v>479.75</v>
      </c>
      <c r="M2019" s="37">
        <f t="shared" si="156"/>
        <v>3.5610315152216937E-2</v>
      </c>
      <c r="N2019" s="17" t="str">
        <f t="shared" si="157"/>
        <v>Over Budget</v>
      </c>
      <c r="O2019" s="38">
        <f t="shared" si="158"/>
        <v>13951.97</v>
      </c>
      <c r="P2019" s="39">
        <f t="shared" si="159"/>
        <v>45689</v>
      </c>
    </row>
    <row r="2020" spans="1:16" ht="15.5" x14ac:dyDescent="0.35">
      <c r="A2020" s="17" t="s">
        <v>2068</v>
      </c>
      <c r="B2020" s="35">
        <v>46124</v>
      </c>
      <c r="C2020" s="17" t="s">
        <v>25</v>
      </c>
      <c r="D2020" s="17" t="s">
        <v>32</v>
      </c>
      <c r="E2020" s="17" t="s">
        <v>33</v>
      </c>
      <c r="F2020" s="17" t="s">
        <v>52</v>
      </c>
      <c r="G2020" s="17" t="s">
        <v>38</v>
      </c>
      <c r="H2020" s="17" t="s">
        <v>2591</v>
      </c>
      <c r="I2020" s="17" t="s">
        <v>23</v>
      </c>
      <c r="J2020" s="36">
        <v>8333.33</v>
      </c>
      <c r="K2020" s="36">
        <v>6494.47</v>
      </c>
      <c r="L2020" s="36">
        <f t="shared" si="155"/>
        <v>-1838.8599999999997</v>
      </c>
      <c r="M2020" s="37">
        <f t="shared" si="156"/>
        <v>-0.22066328826531525</v>
      </c>
      <c r="N2020" s="17" t="str">
        <f t="shared" si="157"/>
        <v>Under Budget</v>
      </c>
      <c r="O2020" s="38">
        <f t="shared" si="158"/>
        <v>6494.47</v>
      </c>
      <c r="P2020" s="39">
        <f t="shared" si="159"/>
        <v>46113</v>
      </c>
    </row>
    <row r="2021" spans="1:16" ht="15.5" x14ac:dyDescent="0.35">
      <c r="A2021" s="17" t="s">
        <v>2069</v>
      </c>
      <c r="B2021" s="35">
        <v>46187</v>
      </c>
      <c r="C2021" s="17" t="s">
        <v>12</v>
      </c>
      <c r="D2021" s="17" t="s">
        <v>19</v>
      </c>
      <c r="E2021" s="17" t="s">
        <v>37</v>
      </c>
      <c r="F2021" s="17" t="s">
        <v>15</v>
      </c>
      <c r="G2021" s="17" t="s">
        <v>82</v>
      </c>
      <c r="H2021" s="17" t="s">
        <v>2594</v>
      </c>
      <c r="I2021" s="17" t="s">
        <v>30</v>
      </c>
      <c r="J2021" s="36">
        <v>5600</v>
      </c>
      <c r="K2021" s="36">
        <v>948.66</v>
      </c>
      <c r="L2021" s="36">
        <f t="shared" si="155"/>
        <v>-4651.34</v>
      </c>
      <c r="M2021" s="37">
        <f t="shared" si="156"/>
        <v>-0.83059642857142857</v>
      </c>
      <c r="N2021" s="17" t="str">
        <f t="shared" si="157"/>
        <v>Under Budget</v>
      </c>
      <c r="O2021" s="38">
        <f t="shared" si="158"/>
        <v>-948.66</v>
      </c>
      <c r="P2021" s="39">
        <f t="shared" si="159"/>
        <v>46174</v>
      </c>
    </row>
    <row r="2022" spans="1:16" ht="15.5" x14ac:dyDescent="0.35">
      <c r="A2022" s="17" t="s">
        <v>2070</v>
      </c>
      <c r="B2022" s="35">
        <v>46018</v>
      </c>
      <c r="C2022" s="17" t="s">
        <v>25</v>
      </c>
      <c r="D2022" s="17" t="s">
        <v>32</v>
      </c>
      <c r="E2022" s="17" t="s">
        <v>109</v>
      </c>
      <c r="F2022" s="17" t="s">
        <v>52</v>
      </c>
      <c r="G2022" s="17" t="s">
        <v>43</v>
      </c>
      <c r="H2022" s="17" t="s">
        <v>2593</v>
      </c>
      <c r="I2022" s="17" t="s">
        <v>30</v>
      </c>
      <c r="J2022" s="36">
        <v>9545.4500000000007</v>
      </c>
      <c r="K2022" s="36">
        <v>1998.37</v>
      </c>
      <c r="L2022" s="36">
        <f t="shared" si="155"/>
        <v>-7547.0800000000008</v>
      </c>
      <c r="M2022" s="37">
        <f t="shared" si="156"/>
        <v>-0.7906468526889775</v>
      </c>
      <c r="N2022" s="17" t="str">
        <f t="shared" si="157"/>
        <v>Under Budget</v>
      </c>
      <c r="O2022" s="38">
        <f t="shared" si="158"/>
        <v>1998.37</v>
      </c>
      <c r="P2022" s="39">
        <f t="shared" si="159"/>
        <v>45992</v>
      </c>
    </row>
    <row r="2023" spans="1:16" ht="15.5" x14ac:dyDescent="0.35">
      <c r="A2023" s="17" t="s">
        <v>2071</v>
      </c>
      <c r="B2023" s="35">
        <v>45944</v>
      </c>
      <c r="C2023" s="17" t="s">
        <v>12</v>
      </c>
      <c r="D2023" s="17" t="s">
        <v>36</v>
      </c>
      <c r="E2023" s="17" t="s">
        <v>51</v>
      </c>
      <c r="F2023" s="17" t="s">
        <v>52</v>
      </c>
      <c r="G2023" s="17" t="s">
        <v>82</v>
      </c>
      <c r="H2023" s="17" t="s">
        <v>2598</v>
      </c>
      <c r="I2023" s="17" t="s">
        <v>17</v>
      </c>
      <c r="J2023" s="36">
        <v>5000</v>
      </c>
      <c r="K2023" s="36">
        <v>3554.77</v>
      </c>
      <c r="L2023" s="36">
        <f t="shared" si="155"/>
        <v>-1445.23</v>
      </c>
      <c r="M2023" s="37">
        <f t="shared" si="156"/>
        <v>-0.28904600000000003</v>
      </c>
      <c r="N2023" s="17" t="str">
        <f t="shared" si="157"/>
        <v>Under Budget</v>
      </c>
      <c r="O2023" s="38">
        <f t="shared" si="158"/>
        <v>-3554.77</v>
      </c>
      <c r="P2023" s="39">
        <f t="shared" si="159"/>
        <v>45931</v>
      </c>
    </row>
    <row r="2024" spans="1:16" ht="15.5" x14ac:dyDescent="0.35">
      <c r="A2024" s="17" t="s">
        <v>2072</v>
      </c>
      <c r="B2024" s="35">
        <v>45713</v>
      </c>
      <c r="C2024" s="17" t="s">
        <v>12</v>
      </c>
      <c r="D2024" s="17" t="s">
        <v>19</v>
      </c>
      <c r="E2024" s="17" t="s">
        <v>65</v>
      </c>
      <c r="F2024" s="17" t="s">
        <v>21</v>
      </c>
      <c r="G2024" s="17" t="s">
        <v>22</v>
      </c>
      <c r="H2024" s="17" t="s">
        <v>2591</v>
      </c>
      <c r="I2024" s="17" t="s">
        <v>23</v>
      </c>
      <c r="J2024" s="36">
        <v>7621.43</v>
      </c>
      <c r="K2024" s="36">
        <v>8328.16</v>
      </c>
      <c r="L2024" s="36">
        <f t="shared" si="155"/>
        <v>706.72999999999956</v>
      </c>
      <c r="M2024" s="37">
        <f t="shared" si="156"/>
        <v>9.2729317201627456E-2</v>
      </c>
      <c r="N2024" s="17" t="str">
        <f t="shared" si="157"/>
        <v>Over Budget</v>
      </c>
      <c r="O2024" s="38">
        <f t="shared" si="158"/>
        <v>-8328.16</v>
      </c>
      <c r="P2024" s="39">
        <f t="shared" si="159"/>
        <v>45689</v>
      </c>
    </row>
    <row r="2025" spans="1:16" ht="15.5" x14ac:dyDescent="0.35">
      <c r="A2025" s="17" t="s">
        <v>2073</v>
      </c>
      <c r="B2025" s="35">
        <v>46173</v>
      </c>
      <c r="C2025" s="17" t="s">
        <v>25</v>
      </c>
      <c r="D2025" s="17" t="s">
        <v>2585</v>
      </c>
      <c r="E2025" s="17" t="s">
        <v>109</v>
      </c>
      <c r="F2025" s="17" t="s">
        <v>52</v>
      </c>
      <c r="G2025" s="17" t="s">
        <v>38</v>
      </c>
      <c r="H2025" s="17" t="s">
        <v>2597</v>
      </c>
      <c r="I2025" s="17" t="s">
        <v>23</v>
      </c>
      <c r="J2025" s="36">
        <v>5882.35</v>
      </c>
      <c r="K2025" s="36">
        <v>17098.150000000001</v>
      </c>
      <c r="L2025" s="36">
        <f t="shared" si="155"/>
        <v>11215.800000000001</v>
      </c>
      <c r="M2025" s="37">
        <f t="shared" si="156"/>
        <v>1.9066869533434767</v>
      </c>
      <c r="N2025" s="17" t="str">
        <f t="shared" si="157"/>
        <v>Over Budget</v>
      </c>
      <c r="O2025" s="38">
        <f t="shared" si="158"/>
        <v>17098.150000000001</v>
      </c>
      <c r="P2025" s="39">
        <f t="shared" si="159"/>
        <v>46143</v>
      </c>
    </row>
    <row r="2026" spans="1:16" ht="15.5" x14ac:dyDescent="0.35">
      <c r="A2026" s="17" t="s">
        <v>2074</v>
      </c>
      <c r="B2026" s="35">
        <v>46179</v>
      </c>
      <c r="C2026" s="17" t="s">
        <v>12</v>
      </c>
      <c r="D2026" s="17" t="s">
        <v>2585</v>
      </c>
      <c r="E2026" s="17" t="s">
        <v>37</v>
      </c>
      <c r="F2026" s="17" t="s">
        <v>52</v>
      </c>
      <c r="G2026" s="17" t="s">
        <v>38</v>
      </c>
      <c r="H2026" s="17" t="s">
        <v>60</v>
      </c>
      <c r="I2026" s="17" t="s">
        <v>23</v>
      </c>
      <c r="J2026" s="36">
        <v>5600</v>
      </c>
      <c r="K2026" s="36">
        <v>2002.64</v>
      </c>
      <c r="L2026" s="36">
        <f t="shared" si="155"/>
        <v>-3597.3599999999997</v>
      </c>
      <c r="M2026" s="37">
        <f t="shared" si="156"/>
        <v>-0.64238571428571423</v>
      </c>
      <c r="N2026" s="17" t="str">
        <f t="shared" si="157"/>
        <v>Under Budget</v>
      </c>
      <c r="O2026" s="38">
        <f t="shared" si="158"/>
        <v>-2002.64</v>
      </c>
      <c r="P2026" s="39">
        <f t="shared" si="159"/>
        <v>46174</v>
      </c>
    </row>
    <row r="2027" spans="1:16" ht="15.5" x14ac:dyDescent="0.35">
      <c r="A2027" s="17" t="s">
        <v>2075</v>
      </c>
      <c r="B2027" s="35">
        <v>45911</v>
      </c>
      <c r="C2027" s="17" t="s">
        <v>12</v>
      </c>
      <c r="D2027" s="17" t="s">
        <v>13</v>
      </c>
      <c r="E2027" s="17" t="s">
        <v>65</v>
      </c>
      <c r="F2027" s="17" t="s">
        <v>34</v>
      </c>
      <c r="G2027" s="17" t="s">
        <v>29</v>
      </c>
      <c r="H2027" s="17" t="s">
        <v>2598</v>
      </c>
      <c r="I2027" s="17" t="s">
        <v>48</v>
      </c>
      <c r="J2027" s="36">
        <v>6111.11</v>
      </c>
      <c r="K2027" s="36">
        <v>5241.08</v>
      </c>
      <c r="L2027" s="36">
        <f t="shared" si="155"/>
        <v>-870.02999999999975</v>
      </c>
      <c r="M2027" s="37">
        <f t="shared" si="156"/>
        <v>-0.14236857133974021</v>
      </c>
      <c r="N2027" s="17" t="str">
        <f t="shared" si="157"/>
        <v>Under Budget</v>
      </c>
      <c r="O2027" s="38">
        <f t="shared" si="158"/>
        <v>-5241.08</v>
      </c>
      <c r="P2027" s="39">
        <f t="shared" si="159"/>
        <v>45901</v>
      </c>
    </row>
    <row r="2028" spans="1:16" ht="15.5" x14ac:dyDescent="0.35">
      <c r="A2028" s="17" t="s">
        <v>2076</v>
      </c>
      <c r="B2028" s="35">
        <v>46067</v>
      </c>
      <c r="C2028" s="17" t="s">
        <v>25</v>
      </c>
      <c r="D2028" s="17" t="s">
        <v>36</v>
      </c>
      <c r="E2028" s="17" t="s">
        <v>27</v>
      </c>
      <c r="F2028" s="17" t="s">
        <v>52</v>
      </c>
      <c r="G2028" s="17" t="s">
        <v>43</v>
      </c>
      <c r="H2028" s="17" t="s">
        <v>2592</v>
      </c>
      <c r="I2028" s="17" t="s">
        <v>39</v>
      </c>
      <c r="J2028" s="36">
        <v>12933.33</v>
      </c>
      <c r="K2028" s="36">
        <v>1746.24</v>
      </c>
      <c r="L2028" s="36">
        <f t="shared" si="155"/>
        <v>-11187.09</v>
      </c>
      <c r="M2028" s="37">
        <f t="shared" si="156"/>
        <v>-0.86498140850036298</v>
      </c>
      <c r="N2028" s="17" t="str">
        <f t="shared" si="157"/>
        <v>Under Budget</v>
      </c>
      <c r="O2028" s="38">
        <f t="shared" si="158"/>
        <v>1746.24</v>
      </c>
      <c r="P2028" s="39">
        <f t="shared" si="159"/>
        <v>46054</v>
      </c>
    </row>
    <row r="2029" spans="1:16" ht="15.5" x14ac:dyDescent="0.35">
      <c r="A2029" s="17" t="s">
        <v>2077</v>
      </c>
      <c r="B2029" s="35">
        <v>46097</v>
      </c>
      <c r="C2029" s="17" t="s">
        <v>12</v>
      </c>
      <c r="D2029" s="17" t="s">
        <v>2585</v>
      </c>
      <c r="E2029" s="17" t="s">
        <v>77</v>
      </c>
      <c r="F2029" s="17" t="s">
        <v>34</v>
      </c>
      <c r="G2029" s="17" t="s">
        <v>22</v>
      </c>
      <c r="H2029" s="17" t="s">
        <v>2592</v>
      </c>
      <c r="I2029" s="17" t="s">
        <v>30</v>
      </c>
      <c r="J2029" s="36">
        <v>1833.33</v>
      </c>
      <c r="K2029" s="36">
        <v>1107.8</v>
      </c>
      <c r="L2029" s="36">
        <f t="shared" si="155"/>
        <v>-725.53</v>
      </c>
      <c r="M2029" s="37">
        <f t="shared" si="156"/>
        <v>-0.39574435589882889</v>
      </c>
      <c r="N2029" s="17" t="str">
        <f t="shared" si="157"/>
        <v>Under Budget</v>
      </c>
      <c r="O2029" s="38">
        <f t="shared" si="158"/>
        <v>-1107.8</v>
      </c>
      <c r="P2029" s="39">
        <f t="shared" si="159"/>
        <v>46082</v>
      </c>
    </row>
    <row r="2030" spans="1:16" ht="15.5" x14ac:dyDescent="0.35">
      <c r="A2030" s="17" t="s">
        <v>2078</v>
      </c>
      <c r="B2030" s="35">
        <v>45956</v>
      </c>
      <c r="C2030" s="17" t="s">
        <v>12</v>
      </c>
      <c r="D2030" s="17" t="s">
        <v>19</v>
      </c>
      <c r="E2030" s="17" t="s">
        <v>74</v>
      </c>
      <c r="F2030" s="17" t="s">
        <v>15</v>
      </c>
      <c r="G2030" s="17" t="s">
        <v>38</v>
      </c>
      <c r="H2030" s="17" t="s">
        <v>2590</v>
      </c>
      <c r="I2030" s="17" t="s">
        <v>30</v>
      </c>
      <c r="J2030" s="36">
        <v>3333.33</v>
      </c>
      <c r="K2030" s="36">
        <v>1567.37</v>
      </c>
      <c r="L2030" s="36">
        <f t="shared" si="155"/>
        <v>-1765.96</v>
      </c>
      <c r="M2030" s="37">
        <f t="shared" si="156"/>
        <v>-0.52978852978852986</v>
      </c>
      <c r="N2030" s="17" t="str">
        <f t="shared" si="157"/>
        <v>Under Budget</v>
      </c>
      <c r="O2030" s="38">
        <f t="shared" si="158"/>
        <v>-1567.37</v>
      </c>
      <c r="P2030" s="39">
        <f t="shared" si="159"/>
        <v>45931</v>
      </c>
    </row>
    <row r="2031" spans="1:16" ht="15.5" x14ac:dyDescent="0.35">
      <c r="A2031" s="17" t="s">
        <v>2079</v>
      </c>
      <c r="B2031" s="35">
        <v>46011</v>
      </c>
      <c r="C2031" s="17" t="s">
        <v>12</v>
      </c>
      <c r="D2031" s="17" t="s">
        <v>36</v>
      </c>
      <c r="E2031" s="17" t="s">
        <v>74</v>
      </c>
      <c r="F2031" s="17" t="s">
        <v>34</v>
      </c>
      <c r="G2031" s="17" t="s">
        <v>38</v>
      </c>
      <c r="H2031" s="17" t="s">
        <v>2593</v>
      </c>
      <c r="I2031" s="17" t="s">
        <v>30</v>
      </c>
      <c r="J2031" s="36">
        <v>8400</v>
      </c>
      <c r="K2031" s="36">
        <v>5062.76</v>
      </c>
      <c r="L2031" s="36">
        <f t="shared" si="155"/>
        <v>-3337.24</v>
      </c>
      <c r="M2031" s="37">
        <f t="shared" si="156"/>
        <v>-0.39729047619047614</v>
      </c>
      <c r="N2031" s="17" t="str">
        <f t="shared" si="157"/>
        <v>Under Budget</v>
      </c>
      <c r="O2031" s="38">
        <f t="shared" si="158"/>
        <v>-5062.76</v>
      </c>
      <c r="P2031" s="39">
        <f t="shared" si="159"/>
        <v>45992</v>
      </c>
    </row>
    <row r="2032" spans="1:16" ht="15.5" x14ac:dyDescent="0.35">
      <c r="A2032" s="17" t="s">
        <v>2080</v>
      </c>
      <c r="B2032" s="35">
        <v>45710</v>
      </c>
      <c r="C2032" s="17" t="s">
        <v>12</v>
      </c>
      <c r="D2032" s="17" t="s">
        <v>32</v>
      </c>
      <c r="E2032" s="17" t="s">
        <v>14</v>
      </c>
      <c r="F2032" s="17" t="s">
        <v>28</v>
      </c>
      <c r="G2032" s="17" t="s">
        <v>22</v>
      </c>
      <c r="H2032" s="17" t="s">
        <v>2588</v>
      </c>
      <c r="I2032" s="17" t="s">
        <v>23</v>
      </c>
      <c r="J2032" s="36">
        <v>6208</v>
      </c>
      <c r="K2032" s="36">
        <v>1964.16</v>
      </c>
      <c r="L2032" s="36">
        <f t="shared" si="155"/>
        <v>-4243.84</v>
      </c>
      <c r="M2032" s="37">
        <f t="shared" si="156"/>
        <v>-0.68360824742268045</v>
      </c>
      <c r="N2032" s="17" t="str">
        <f t="shared" si="157"/>
        <v>Under Budget</v>
      </c>
      <c r="O2032" s="38">
        <f t="shared" si="158"/>
        <v>-1964.16</v>
      </c>
      <c r="P2032" s="39">
        <f t="shared" si="159"/>
        <v>45689</v>
      </c>
    </row>
    <row r="2033" spans="1:16" ht="15.5" x14ac:dyDescent="0.35">
      <c r="A2033" s="17" t="s">
        <v>2081</v>
      </c>
      <c r="B2033" s="35">
        <v>45959</v>
      </c>
      <c r="C2033" s="17" t="s">
        <v>12</v>
      </c>
      <c r="D2033" s="17" t="s">
        <v>13</v>
      </c>
      <c r="E2033" s="17" t="s">
        <v>45</v>
      </c>
      <c r="F2033" s="17" t="s">
        <v>52</v>
      </c>
      <c r="G2033" s="17" t="s">
        <v>38</v>
      </c>
      <c r="H2033" s="17" t="s">
        <v>2594</v>
      </c>
      <c r="I2033" s="17" t="s">
        <v>23</v>
      </c>
      <c r="J2033" s="36">
        <v>7826.09</v>
      </c>
      <c r="K2033" s="36">
        <v>8717.67</v>
      </c>
      <c r="L2033" s="36">
        <f t="shared" si="155"/>
        <v>891.57999999999993</v>
      </c>
      <c r="M2033" s="37">
        <f t="shared" si="156"/>
        <v>0.11392406680730734</v>
      </c>
      <c r="N2033" s="17" t="str">
        <f t="shared" si="157"/>
        <v>Over Budget</v>
      </c>
      <c r="O2033" s="38">
        <f t="shared" si="158"/>
        <v>-8717.67</v>
      </c>
      <c r="P2033" s="39">
        <f t="shared" si="159"/>
        <v>45931</v>
      </c>
    </row>
    <row r="2034" spans="1:16" ht="15.5" x14ac:dyDescent="0.35">
      <c r="A2034" s="17" t="s">
        <v>2082</v>
      </c>
      <c r="B2034" s="35">
        <v>46032</v>
      </c>
      <c r="C2034" s="17" t="s">
        <v>25</v>
      </c>
      <c r="D2034" s="17" t="s">
        <v>2585</v>
      </c>
      <c r="E2034" s="17" t="s">
        <v>27</v>
      </c>
      <c r="F2034" s="17" t="s">
        <v>15</v>
      </c>
      <c r="G2034" s="17" t="s">
        <v>29</v>
      </c>
      <c r="H2034" s="17" t="s">
        <v>2592</v>
      </c>
      <c r="I2034" s="17" t="s">
        <v>23</v>
      </c>
      <c r="J2034" s="36">
        <v>8622.2199999999993</v>
      </c>
      <c r="K2034" s="36">
        <v>732.49</v>
      </c>
      <c r="L2034" s="36">
        <f t="shared" si="155"/>
        <v>-7889.73</v>
      </c>
      <c r="M2034" s="37">
        <f t="shared" si="156"/>
        <v>-0.91504624099129928</v>
      </c>
      <c r="N2034" s="17" t="str">
        <f t="shared" si="157"/>
        <v>Under Budget</v>
      </c>
      <c r="O2034" s="38">
        <f t="shared" si="158"/>
        <v>732.49</v>
      </c>
      <c r="P2034" s="39">
        <f t="shared" si="159"/>
        <v>46023</v>
      </c>
    </row>
    <row r="2035" spans="1:16" ht="15.5" x14ac:dyDescent="0.35">
      <c r="A2035" s="17" t="s">
        <v>2083</v>
      </c>
      <c r="B2035" s="35">
        <v>45968</v>
      </c>
      <c r="C2035" s="17" t="s">
        <v>25</v>
      </c>
      <c r="D2035" s="17" t="s">
        <v>32</v>
      </c>
      <c r="E2035" s="17" t="s">
        <v>109</v>
      </c>
      <c r="F2035" s="17" t="s">
        <v>21</v>
      </c>
      <c r="G2035" s="17" t="s">
        <v>29</v>
      </c>
      <c r="H2035" s="17" t="s">
        <v>60</v>
      </c>
      <c r="I2035" s="17" t="s">
        <v>30</v>
      </c>
      <c r="J2035" s="36">
        <v>9545.4500000000007</v>
      </c>
      <c r="K2035" s="36">
        <v>14805.48</v>
      </c>
      <c r="L2035" s="36">
        <f t="shared" si="155"/>
        <v>5260.0299999999988</v>
      </c>
      <c r="M2035" s="37">
        <f t="shared" si="156"/>
        <v>0.55105102431001141</v>
      </c>
      <c r="N2035" s="17" t="str">
        <f t="shared" si="157"/>
        <v>Over Budget</v>
      </c>
      <c r="O2035" s="38">
        <f t="shared" si="158"/>
        <v>14805.48</v>
      </c>
      <c r="P2035" s="39">
        <f t="shared" si="159"/>
        <v>45962</v>
      </c>
    </row>
    <row r="2036" spans="1:16" ht="15.5" x14ac:dyDescent="0.35">
      <c r="A2036" s="17" t="s">
        <v>2084</v>
      </c>
      <c r="B2036" s="35">
        <v>45683</v>
      </c>
      <c r="C2036" s="17" t="s">
        <v>12</v>
      </c>
      <c r="D2036" s="17" t="s">
        <v>36</v>
      </c>
      <c r="E2036" s="17" t="s">
        <v>65</v>
      </c>
      <c r="F2036" s="17" t="s">
        <v>15</v>
      </c>
      <c r="G2036" s="17" t="s">
        <v>43</v>
      </c>
      <c r="H2036" s="17" t="s">
        <v>2587</v>
      </c>
      <c r="I2036" s="17" t="s">
        <v>23</v>
      </c>
      <c r="J2036" s="36">
        <v>3810.71</v>
      </c>
      <c r="K2036" s="36">
        <v>1594.52</v>
      </c>
      <c r="L2036" s="36">
        <f t="shared" si="155"/>
        <v>-2216.19</v>
      </c>
      <c r="M2036" s="37">
        <f t="shared" si="156"/>
        <v>-0.58156878901831943</v>
      </c>
      <c r="N2036" s="17" t="str">
        <f t="shared" si="157"/>
        <v>Under Budget</v>
      </c>
      <c r="O2036" s="38">
        <f t="shared" si="158"/>
        <v>-1594.52</v>
      </c>
      <c r="P2036" s="39">
        <f t="shared" si="159"/>
        <v>45658</v>
      </c>
    </row>
    <row r="2037" spans="1:16" ht="15.5" x14ac:dyDescent="0.35">
      <c r="A2037" s="17" t="s">
        <v>2085</v>
      </c>
      <c r="B2037" s="35">
        <v>45863</v>
      </c>
      <c r="C2037" s="17" t="s">
        <v>12</v>
      </c>
      <c r="D2037" s="17" t="s">
        <v>2584</v>
      </c>
      <c r="E2037" s="17" t="s">
        <v>65</v>
      </c>
      <c r="F2037" s="17" t="s">
        <v>34</v>
      </c>
      <c r="G2037" s="17" t="s">
        <v>22</v>
      </c>
      <c r="H2037" s="17" t="s">
        <v>60</v>
      </c>
      <c r="I2037" s="17" t="s">
        <v>48</v>
      </c>
      <c r="J2037" s="36">
        <v>3437.5</v>
      </c>
      <c r="K2037" s="36">
        <v>6621.21</v>
      </c>
      <c r="L2037" s="36">
        <f t="shared" si="155"/>
        <v>3183.71</v>
      </c>
      <c r="M2037" s="37">
        <f t="shared" si="156"/>
        <v>0.92617018181818178</v>
      </c>
      <c r="N2037" s="17" t="str">
        <f t="shared" si="157"/>
        <v>Over Budget</v>
      </c>
      <c r="O2037" s="38">
        <f t="shared" si="158"/>
        <v>-6621.21</v>
      </c>
      <c r="P2037" s="39">
        <f t="shared" si="159"/>
        <v>45839</v>
      </c>
    </row>
    <row r="2038" spans="1:16" ht="15.5" x14ac:dyDescent="0.35">
      <c r="A2038" s="17" t="s">
        <v>2086</v>
      </c>
      <c r="B2038" s="35">
        <v>45835</v>
      </c>
      <c r="C2038" s="17" t="s">
        <v>12</v>
      </c>
      <c r="D2038" s="17" t="s">
        <v>26</v>
      </c>
      <c r="E2038" s="17" t="s">
        <v>65</v>
      </c>
      <c r="F2038" s="17" t="s">
        <v>34</v>
      </c>
      <c r="G2038" s="17" t="s">
        <v>22</v>
      </c>
      <c r="H2038" s="17" t="s">
        <v>2597</v>
      </c>
      <c r="I2038" s="17" t="s">
        <v>48</v>
      </c>
      <c r="J2038" s="36">
        <v>5500</v>
      </c>
      <c r="K2038" s="36">
        <v>2645.72</v>
      </c>
      <c r="L2038" s="36">
        <f t="shared" si="155"/>
        <v>-2854.28</v>
      </c>
      <c r="M2038" s="37">
        <f t="shared" si="156"/>
        <v>-0.51896000000000009</v>
      </c>
      <c r="N2038" s="17" t="str">
        <f t="shared" si="157"/>
        <v>Under Budget</v>
      </c>
      <c r="O2038" s="38">
        <f t="shared" si="158"/>
        <v>-2645.72</v>
      </c>
      <c r="P2038" s="39">
        <f t="shared" si="159"/>
        <v>45809</v>
      </c>
    </row>
    <row r="2039" spans="1:16" ht="15.5" x14ac:dyDescent="0.35">
      <c r="A2039" s="17" t="s">
        <v>2087</v>
      </c>
      <c r="B2039" s="35">
        <v>46096</v>
      </c>
      <c r="C2039" s="17" t="s">
        <v>12</v>
      </c>
      <c r="D2039" s="17" t="s">
        <v>2584</v>
      </c>
      <c r="E2039" s="17" t="s">
        <v>45</v>
      </c>
      <c r="F2039" s="17" t="s">
        <v>34</v>
      </c>
      <c r="G2039" s="17" t="s">
        <v>22</v>
      </c>
      <c r="H2039" s="17" t="s">
        <v>2593</v>
      </c>
      <c r="I2039" s="17" t="s">
        <v>48</v>
      </c>
      <c r="J2039" s="36">
        <v>7200</v>
      </c>
      <c r="K2039" s="36">
        <v>4071.52</v>
      </c>
      <c r="L2039" s="36">
        <f t="shared" si="155"/>
        <v>-3128.48</v>
      </c>
      <c r="M2039" s="37">
        <f t="shared" si="156"/>
        <v>-0.43451111111111113</v>
      </c>
      <c r="N2039" s="17" t="str">
        <f t="shared" si="157"/>
        <v>Under Budget</v>
      </c>
      <c r="O2039" s="38">
        <f t="shared" si="158"/>
        <v>-4071.52</v>
      </c>
      <c r="P2039" s="39">
        <f t="shared" si="159"/>
        <v>46082</v>
      </c>
    </row>
    <row r="2040" spans="1:16" ht="15.5" x14ac:dyDescent="0.35">
      <c r="A2040" s="17" t="s">
        <v>2088</v>
      </c>
      <c r="B2040" s="35">
        <v>46009</v>
      </c>
      <c r="C2040" s="17" t="s">
        <v>12</v>
      </c>
      <c r="D2040" s="17" t="s">
        <v>2584</v>
      </c>
      <c r="E2040" s="17" t="s">
        <v>47</v>
      </c>
      <c r="F2040" s="17" t="s">
        <v>15</v>
      </c>
      <c r="G2040" s="17" t="s">
        <v>43</v>
      </c>
      <c r="H2040" s="17" t="s">
        <v>80</v>
      </c>
      <c r="I2040" s="17" t="s">
        <v>17</v>
      </c>
      <c r="J2040" s="36">
        <v>6125</v>
      </c>
      <c r="K2040" s="36">
        <v>4803.5200000000004</v>
      </c>
      <c r="L2040" s="36">
        <f t="shared" si="155"/>
        <v>-1321.4799999999996</v>
      </c>
      <c r="M2040" s="37">
        <f t="shared" si="156"/>
        <v>-0.21575183673469381</v>
      </c>
      <c r="N2040" s="17" t="str">
        <f t="shared" si="157"/>
        <v>Under Budget</v>
      </c>
      <c r="O2040" s="38">
        <f t="shared" si="158"/>
        <v>-4803.5200000000004</v>
      </c>
      <c r="P2040" s="39">
        <f t="shared" si="159"/>
        <v>45992</v>
      </c>
    </row>
    <row r="2041" spans="1:16" ht="15.5" x14ac:dyDescent="0.35">
      <c r="A2041" s="17" t="s">
        <v>2089</v>
      </c>
      <c r="B2041" s="35">
        <v>45978</v>
      </c>
      <c r="C2041" s="17" t="s">
        <v>12</v>
      </c>
      <c r="D2041" s="17" t="s">
        <v>19</v>
      </c>
      <c r="E2041" s="17" t="s">
        <v>45</v>
      </c>
      <c r="F2041" s="17" t="s">
        <v>34</v>
      </c>
      <c r="G2041" s="17" t="s">
        <v>38</v>
      </c>
      <c r="H2041" s="17" t="s">
        <v>80</v>
      </c>
      <c r="I2041" s="17" t="s">
        <v>48</v>
      </c>
      <c r="J2041" s="36">
        <v>9947.3700000000008</v>
      </c>
      <c r="K2041" s="36">
        <v>12891.98</v>
      </c>
      <c r="L2041" s="36">
        <f t="shared" si="155"/>
        <v>2944.6099999999988</v>
      </c>
      <c r="M2041" s="37">
        <f t="shared" si="156"/>
        <v>0.29601894772185999</v>
      </c>
      <c r="N2041" s="17" t="str">
        <f t="shared" si="157"/>
        <v>Over Budget</v>
      </c>
      <c r="O2041" s="38">
        <f t="shared" si="158"/>
        <v>-12891.98</v>
      </c>
      <c r="P2041" s="39">
        <f t="shared" si="159"/>
        <v>45962</v>
      </c>
    </row>
    <row r="2042" spans="1:16" ht="15.5" x14ac:dyDescent="0.35">
      <c r="A2042" s="17" t="s">
        <v>2090</v>
      </c>
      <c r="B2042" s="35">
        <v>46051</v>
      </c>
      <c r="C2042" s="17" t="s">
        <v>12</v>
      </c>
      <c r="D2042" s="17" t="s">
        <v>2585</v>
      </c>
      <c r="E2042" s="17" t="s">
        <v>45</v>
      </c>
      <c r="F2042" s="17" t="s">
        <v>34</v>
      </c>
      <c r="G2042" s="17" t="s">
        <v>22</v>
      </c>
      <c r="H2042" s="17" t="s">
        <v>2583</v>
      </c>
      <c r="I2042" s="17" t="s">
        <v>39</v>
      </c>
      <c r="J2042" s="36">
        <v>6715.38</v>
      </c>
      <c r="K2042" s="36">
        <v>3228.06</v>
      </c>
      <c r="L2042" s="36">
        <f t="shared" si="155"/>
        <v>-3487.32</v>
      </c>
      <c r="M2042" s="37">
        <f t="shared" si="156"/>
        <v>-0.51930344969309261</v>
      </c>
      <c r="N2042" s="17" t="str">
        <f t="shared" si="157"/>
        <v>Under Budget</v>
      </c>
      <c r="O2042" s="38">
        <f t="shared" si="158"/>
        <v>-3228.06</v>
      </c>
      <c r="P2042" s="39">
        <f t="shared" si="159"/>
        <v>46023</v>
      </c>
    </row>
    <row r="2043" spans="1:16" ht="15.5" x14ac:dyDescent="0.35">
      <c r="A2043" s="17" t="s">
        <v>2091</v>
      </c>
      <c r="B2043" s="35">
        <v>45771</v>
      </c>
      <c r="C2043" s="17" t="s">
        <v>25</v>
      </c>
      <c r="D2043" s="17" t="s">
        <v>26</v>
      </c>
      <c r="E2043" s="17" t="s">
        <v>33</v>
      </c>
      <c r="F2043" s="17" t="s">
        <v>21</v>
      </c>
      <c r="G2043" s="17" t="s">
        <v>16</v>
      </c>
      <c r="H2043" s="17" t="s">
        <v>2593</v>
      </c>
      <c r="I2043" s="17" t="s">
        <v>48</v>
      </c>
      <c r="J2043" s="36">
        <v>11363.64</v>
      </c>
      <c r="K2043" s="36">
        <v>23319.4</v>
      </c>
      <c r="L2043" s="36">
        <f t="shared" si="155"/>
        <v>11955.760000000002</v>
      </c>
      <c r="M2043" s="37">
        <f t="shared" si="156"/>
        <v>1.0521065433259065</v>
      </c>
      <c r="N2043" s="17" t="str">
        <f t="shared" si="157"/>
        <v>Over Budget</v>
      </c>
      <c r="O2043" s="38">
        <f t="shared" si="158"/>
        <v>23319.4</v>
      </c>
      <c r="P2043" s="39">
        <f t="shared" si="159"/>
        <v>45748</v>
      </c>
    </row>
    <row r="2044" spans="1:16" ht="15.5" x14ac:dyDescent="0.35">
      <c r="A2044" s="17" t="s">
        <v>2092</v>
      </c>
      <c r="B2044" s="35">
        <v>46125</v>
      </c>
      <c r="C2044" s="17" t="s">
        <v>12</v>
      </c>
      <c r="D2044" s="17" t="s">
        <v>36</v>
      </c>
      <c r="E2044" s="17" t="s">
        <v>47</v>
      </c>
      <c r="F2044" s="17" t="s">
        <v>34</v>
      </c>
      <c r="G2044" s="17" t="s">
        <v>38</v>
      </c>
      <c r="H2044" s="17" t="s">
        <v>2587</v>
      </c>
      <c r="I2044" s="17" t="s">
        <v>23</v>
      </c>
      <c r="J2044" s="36">
        <v>5833.33</v>
      </c>
      <c r="K2044" s="36">
        <v>2721.35</v>
      </c>
      <c r="L2044" s="36">
        <f t="shared" si="155"/>
        <v>-3111.98</v>
      </c>
      <c r="M2044" s="37">
        <f t="shared" si="156"/>
        <v>-0.53348259056148029</v>
      </c>
      <c r="N2044" s="17" t="str">
        <f t="shared" si="157"/>
        <v>Under Budget</v>
      </c>
      <c r="O2044" s="38">
        <f t="shared" si="158"/>
        <v>-2721.35</v>
      </c>
      <c r="P2044" s="39">
        <f t="shared" si="159"/>
        <v>46113</v>
      </c>
    </row>
    <row r="2045" spans="1:16" ht="15.5" x14ac:dyDescent="0.35">
      <c r="A2045" s="17" t="s">
        <v>2093</v>
      </c>
      <c r="B2045" s="35">
        <v>45871</v>
      </c>
      <c r="C2045" s="17" t="s">
        <v>25</v>
      </c>
      <c r="D2045" s="17" t="s">
        <v>13</v>
      </c>
      <c r="E2045" s="17" t="s">
        <v>33</v>
      </c>
      <c r="F2045" s="17" t="s">
        <v>28</v>
      </c>
      <c r="G2045" s="17" t="s">
        <v>38</v>
      </c>
      <c r="H2045" s="17" t="s">
        <v>2592</v>
      </c>
      <c r="I2045" s="17" t="s">
        <v>48</v>
      </c>
      <c r="J2045" s="36">
        <v>10416.67</v>
      </c>
      <c r="K2045" s="36">
        <v>24971.65</v>
      </c>
      <c r="L2045" s="36">
        <f t="shared" si="155"/>
        <v>14554.980000000001</v>
      </c>
      <c r="M2045" s="37">
        <f t="shared" si="156"/>
        <v>1.3972776328711576</v>
      </c>
      <c r="N2045" s="17" t="str">
        <f t="shared" si="157"/>
        <v>Over Budget</v>
      </c>
      <c r="O2045" s="38">
        <f t="shared" si="158"/>
        <v>24971.65</v>
      </c>
      <c r="P2045" s="39">
        <f t="shared" si="159"/>
        <v>45870</v>
      </c>
    </row>
    <row r="2046" spans="1:16" ht="15.5" x14ac:dyDescent="0.35">
      <c r="A2046" s="17" t="s">
        <v>2094</v>
      </c>
      <c r="B2046" s="35">
        <v>46018</v>
      </c>
      <c r="C2046" s="17" t="s">
        <v>12</v>
      </c>
      <c r="D2046" s="17" t="s">
        <v>2584</v>
      </c>
      <c r="E2046" s="17" t="s">
        <v>41</v>
      </c>
      <c r="F2046" s="17" t="s">
        <v>28</v>
      </c>
      <c r="G2046" s="17" t="s">
        <v>22</v>
      </c>
      <c r="H2046" s="17" t="s">
        <v>2589</v>
      </c>
      <c r="I2046" s="17" t="s">
        <v>30</v>
      </c>
      <c r="J2046" s="36">
        <v>5250</v>
      </c>
      <c r="K2046" s="36">
        <v>9739.27</v>
      </c>
      <c r="L2046" s="36">
        <f t="shared" si="155"/>
        <v>4489.2700000000004</v>
      </c>
      <c r="M2046" s="37">
        <f t="shared" si="156"/>
        <v>0.85509904761904765</v>
      </c>
      <c r="N2046" s="17" t="str">
        <f t="shared" si="157"/>
        <v>Over Budget</v>
      </c>
      <c r="O2046" s="38">
        <f t="shared" si="158"/>
        <v>-9739.27</v>
      </c>
      <c r="P2046" s="39">
        <f t="shared" si="159"/>
        <v>45992</v>
      </c>
    </row>
    <row r="2047" spans="1:16" ht="15.5" x14ac:dyDescent="0.35">
      <c r="A2047" s="17" t="s">
        <v>2095</v>
      </c>
      <c r="B2047" s="35">
        <v>45955</v>
      </c>
      <c r="C2047" s="17" t="s">
        <v>25</v>
      </c>
      <c r="D2047" s="17" t="s">
        <v>32</v>
      </c>
      <c r="E2047" s="17" t="s">
        <v>27</v>
      </c>
      <c r="F2047" s="17" t="s">
        <v>52</v>
      </c>
      <c r="G2047" s="17" t="s">
        <v>38</v>
      </c>
      <c r="H2047" s="17" t="s">
        <v>2598</v>
      </c>
      <c r="I2047" s="17" t="s">
        <v>48</v>
      </c>
      <c r="J2047" s="36">
        <v>4705.88</v>
      </c>
      <c r="K2047" s="36">
        <v>2611.3200000000002</v>
      </c>
      <c r="L2047" s="36">
        <f t="shared" si="155"/>
        <v>-2094.56</v>
      </c>
      <c r="M2047" s="37">
        <f t="shared" si="156"/>
        <v>-0.44509422254711123</v>
      </c>
      <c r="N2047" s="17" t="str">
        <f t="shared" si="157"/>
        <v>Under Budget</v>
      </c>
      <c r="O2047" s="38">
        <f t="shared" si="158"/>
        <v>2611.3200000000002</v>
      </c>
      <c r="P2047" s="39">
        <f t="shared" si="159"/>
        <v>45931</v>
      </c>
    </row>
    <row r="2048" spans="1:16" ht="15.5" x14ac:dyDescent="0.35">
      <c r="A2048" s="17" t="s">
        <v>2096</v>
      </c>
      <c r="B2048" s="35">
        <v>45894</v>
      </c>
      <c r="C2048" s="17" t="s">
        <v>25</v>
      </c>
      <c r="D2048" s="17" t="s">
        <v>26</v>
      </c>
      <c r="E2048" s="17" t="s">
        <v>33</v>
      </c>
      <c r="F2048" s="17" t="s">
        <v>34</v>
      </c>
      <c r="G2048" s="17" t="s">
        <v>43</v>
      </c>
      <c r="H2048" s="17" t="s">
        <v>2590</v>
      </c>
      <c r="I2048" s="17" t="s">
        <v>30</v>
      </c>
      <c r="J2048" s="36">
        <v>10416.67</v>
      </c>
      <c r="K2048" s="36">
        <v>22325.48</v>
      </c>
      <c r="L2048" s="36">
        <f t="shared" si="155"/>
        <v>11908.81</v>
      </c>
      <c r="M2048" s="37">
        <f t="shared" si="156"/>
        <v>1.1432453941614737</v>
      </c>
      <c r="N2048" s="17" t="str">
        <f t="shared" si="157"/>
        <v>Over Budget</v>
      </c>
      <c r="O2048" s="38">
        <f t="shared" si="158"/>
        <v>22325.48</v>
      </c>
      <c r="P2048" s="39">
        <f t="shared" si="159"/>
        <v>45870</v>
      </c>
    </row>
    <row r="2049" spans="1:16" ht="15.5" x14ac:dyDescent="0.35">
      <c r="A2049" s="17" t="s">
        <v>2097</v>
      </c>
      <c r="B2049" s="35">
        <v>45950</v>
      </c>
      <c r="C2049" s="17" t="s">
        <v>25</v>
      </c>
      <c r="D2049" s="17" t="s">
        <v>32</v>
      </c>
      <c r="E2049" s="17" t="s">
        <v>33</v>
      </c>
      <c r="F2049" s="17" t="s">
        <v>28</v>
      </c>
      <c r="G2049" s="17" t="s">
        <v>82</v>
      </c>
      <c r="H2049" s="17" t="s">
        <v>2593</v>
      </c>
      <c r="I2049" s="17" t="s">
        <v>23</v>
      </c>
      <c r="J2049" s="36">
        <v>8928.57</v>
      </c>
      <c r="K2049" s="36">
        <v>24971.07</v>
      </c>
      <c r="L2049" s="36">
        <f t="shared" si="155"/>
        <v>16042.5</v>
      </c>
      <c r="M2049" s="37">
        <f t="shared" si="156"/>
        <v>1.796760287481646</v>
      </c>
      <c r="N2049" s="17" t="str">
        <f t="shared" si="157"/>
        <v>Over Budget</v>
      </c>
      <c r="O2049" s="38">
        <f t="shared" si="158"/>
        <v>24971.07</v>
      </c>
      <c r="P2049" s="39">
        <f t="shared" si="159"/>
        <v>45931</v>
      </c>
    </row>
    <row r="2050" spans="1:16" ht="15.5" x14ac:dyDescent="0.35">
      <c r="A2050" s="17" t="s">
        <v>2098</v>
      </c>
      <c r="B2050" s="35">
        <v>45709</v>
      </c>
      <c r="C2050" s="17" t="s">
        <v>25</v>
      </c>
      <c r="D2050" s="17" t="s">
        <v>32</v>
      </c>
      <c r="E2050" s="17" t="s">
        <v>33</v>
      </c>
      <c r="F2050" s="17" t="s">
        <v>34</v>
      </c>
      <c r="G2050" s="17" t="s">
        <v>82</v>
      </c>
      <c r="H2050" s="17" t="s">
        <v>2590</v>
      </c>
      <c r="I2050" s="17" t="s">
        <v>30</v>
      </c>
      <c r="J2050" s="36">
        <v>13472.22</v>
      </c>
      <c r="K2050" s="36">
        <v>16421.439999999999</v>
      </c>
      <c r="L2050" s="36">
        <f t="shared" si="155"/>
        <v>2949.2199999999993</v>
      </c>
      <c r="M2050" s="37">
        <f t="shared" si="156"/>
        <v>0.21891121136679773</v>
      </c>
      <c r="N2050" s="17" t="str">
        <f t="shared" si="157"/>
        <v>Over Budget</v>
      </c>
      <c r="O2050" s="38">
        <f t="shared" si="158"/>
        <v>16421.439999999999</v>
      </c>
      <c r="P2050" s="39">
        <f t="shared" si="159"/>
        <v>45689</v>
      </c>
    </row>
    <row r="2051" spans="1:16" ht="15.5" x14ac:dyDescent="0.35">
      <c r="A2051" s="17" t="s">
        <v>2099</v>
      </c>
      <c r="B2051" s="35">
        <v>45685</v>
      </c>
      <c r="C2051" s="17" t="s">
        <v>12</v>
      </c>
      <c r="D2051" s="17" t="s">
        <v>26</v>
      </c>
      <c r="E2051" s="17" t="s">
        <v>45</v>
      </c>
      <c r="F2051" s="17" t="s">
        <v>34</v>
      </c>
      <c r="G2051" s="17" t="s">
        <v>22</v>
      </c>
      <c r="H2051" s="17" t="s">
        <v>2595</v>
      </c>
      <c r="I2051" s="17" t="s">
        <v>39</v>
      </c>
      <c r="J2051" s="36">
        <v>7591.3</v>
      </c>
      <c r="K2051" s="36">
        <v>7967.43</v>
      </c>
      <c r="L2051" s="36">
        <f t="shared" ref="L2051:L2114" si="160">K2051-J2051</f>
        <v>376.13000000000011</v>
      </c>
      <c r="M2051" s="37">
        <f t="shared" ref="M2051:M2114" si="161">IF(J2051=0,0,L2051/J2051)</f>
        <v>4.9547508331906277E-2</v>
      </c>
      <c r="N2051" s="17" t="str">
        <f t="shared" ref="N2051:N2114" si="162">IF(J2051=0,"No Budget",IF(K2051&gt;J2051,"Over Budget",IF(K2051&lt;J2051,"Under Budget","On Budget")))</f>
        <v>Over Budget</v>
      </c>
      <c r="O2051" s="38">
        <f t="shared" ref="O2051:O2114" si="163">IF(C2051="Revenue",K2051,-K2051)</f>
        <v>-7967.43</v>
      </c>
      <c r="P2051" s="39">
        <f t="shared" ref="P2051:P2114" si="164">DATE(YEAR(B2051),MONTH(B2051),1)</f>
        <v>45658</v>
      </c>
    </row>
    <row r="2052" spans="1:16" ht="15.5" x14ac:dyDescent="0.35">
      <c r="A2052" s="17" t="s">
        <v>2100</v>
      </c>
      <c r="B2052" s="35">
        <v>45996</v>
      </c>
      <c r="C2052" s="17" t="s">
        <v>25</v>
      </c>
      <c r="D2052" s="17" t="s">
        <v>36</v>
      </c>
      <c r="E2052" s="17" t="s">
        <v>27</v>
      </c>
      <c r="F2052" s="17" t="s">
        <v>28</v>
      </c>
      <c r="G2052" s="17" t="s">
        <v>38</v>
      </c>
      <c r="H2052" s="17" t="s">
        <v>80</v>
      </c>
      <c r="I2052" s="17" t="s">
        <v>48</v>
      </c>
      <c r="J2052" s="36">
        <v>9333.33</v>
      </c>
      <c r="K2052" s="36">
        <v>0</v>
      </c>
      <c r="L2052" s="36">
        <f t="shared" si="160"/>
        <v>-9333.33</v>
      </c>
      <c r="M2052" s="37">
        <f t="shared" si="161"/>
        <v>-1</v>
      </c>
      <c r="N2052" s="17" t="str">
        <f t="shared" si="162"/>
        <v>Under Budget</v>
      </c>
      <c r="O2052" s="38">
        <f t="shared" si="163"/>
        <v>0</v>
      </c>
      <c r="P2052" s="39">
        <f t="shared" si="164"/>
        <v>45992</v>
      </c>
    </row>
    <row r="2053" spans="1:16" ht="15.5" x14ac:dyDescent="0.35">
      <c r="A2053" s="17" t="s">
        <v>2101</v>
      </c>
      <c r="B2053" s="35">
        <v>45953</v>
      </c>
      <c r="C2053" s="17" t="s">
        <v>12</v>
      </c>
      <c r="D2053" s="17" t="s">
        <v>19</v>
      </c>
      <c r="E2053" s="17" t="s">
        <v>45</v>
      </c>
      <c r="F2053" s="17" t="s">
        <v>15</v>
      </c>
      <c r="G2053" s="17" t="s">
        <v>22</v>
      </c>
      <c r="H2053" s="17" t="s">
        <v>2586</v>
      </c>
      <c r="I2053" s="17" t="s">
        <v>39</v>
      </c>
      <c r="J2053" s="36">
        <v>7826.09</v>
      </c>
      <c r="K2053" s="36">
        <v>12210.14</v>
      </c>
      <c r="L2053" s="36">
        <f t="shared" si="160"/>
        <v>4384.0499999999993</v>
      </c>
      <c r="M2053" s="37">
        <f t="shared" si="161"/>
        <v>0.56018394881735312</v>
      </c>
      <c r="N2053" s="17" t="str">
        <f t="shared" si="162"/>
        <v>Over Budget</v>
      </c>
      <c r="O2053" s="38">
        <f t="shared" si="163"/>
        <v>-12210.14</v>
      </c>
      <c r="P2053" s="39">
        <f t="shared" si="164"/>
        <v>45931</v>
      </c>
    </row>
    <row r="2054" spans="1:16" ht="15.5" x14ac:dyDescent="0.35">
      <c r="A2054" s="17" t="s">
        <v>2102</v>
      </c>
      <c r="B2054" s="35">
        <v>45926</v>
      </c>
      <c r="C2054" s="17" t="s">
        <v>12</v>
      </c>
      <c r="D2054" s="17" t="s">
        <v>36</v>
      </c>
      <c r="E2054" s="17" t="s">
        <v>37</v>
      </c>
      <c r="F2054" s="17" t="s">
        <v>21</v>
      </c>
      <c r="G2054" s="17" t="s">
        <v>43</v>
      </c>
      <c r="H2054" s="17" t="s">
        <v>2595</v>
      </c>
      <c r="I2054" s="17" t="s">
        <v>48</v>
      </c>
      <c r="J2054" s="36">
        <v>3500</v>
      </c>
      <c r="K2054" s="36">
        <v>3454.46</v>
      </c>
      <c r="L2054" s="36">
        <f t="shared" si="160"/>
        <v>-45.539999999999964</v>
      </c>
      <c r="M2054" s="37">
        <f t="shared" si="161"/>
        <v>-1.3011428571428561E-2</v>
      </c>
      <c r="N2054" s="17" t="str">
        <f t="shared" si="162"/>
        <v>Under Budget</v>
      </c>
      <c r="O2054" s="38">
        <f t="shared" si="163"/>
        <v>-3454.46</v>
      </c>
      <c r="P2054" s="39">
        <f t="shared" si="164"/>
        <v>45901</v>
      </c>
    </row>
    <row r="2055" spans="1:16" ht="15.5" x14ac:dyDescent="0.35">
      <c r="A2055" s="17" t="s">
        <v>2103</v>
      </c>
      <c r="B2055" s="35">
        <v>46109</v>
      </c>
      <c r="C2055" s="17" t="s">
        <v>25</v>
      </c>
      <c r="D2055" s="17" t="s">
        <v>32</v>
      </c>
      <c r="E2055" s="17" t="s">
        <v>33</v>
      </c>
      <c r="F2055" s="17" t="s">
        <v>52</v>
      </c>
      <c r="G2055" s="17" t="s">
        <v>16</v>
      </c>
      <c r="H2055" s="17" t="s">
        <v>2591</v>
      </c>
      <c r="I2055" s="17" t="s">
        <v>23</v>
      </c>
      <c r="J2055" s="36">
        <v>11363.64</v>
      </c>
      <c r="K2055" s="36">
        <v>3500.22</v>
      </c>
      <c r="L2055" s="36">
        <f t="shared" si="160"/>
        <v>-7863.42</v>
      </c>
      <c r="M2055" s="37">
        <f t="shared" si="161"/>
        <v>-0.69198073856616371</v>
      </c>
      <c r="N2055" s="17" t="str">
        <f t="shared" si="162"/>
        <v>Under Budget</v>
      </c>
      <c r="O2055" s="38">
        <f t="shared" si="163"/>
        <v>3500.22</v>
      </c>
      <c r="P2055" s="39">
        <f t="shared" si="164"/>
        <v>46082</v>
      </c>
    </row>
    <row r="2056" spans="1:16" ht="15.5" x14ac:dyDescent="0.35">
      <c r="A2056" s="17" t="s">
        <v>2104</v>
      </c>
      <c r="B2056" s="35">
        <v>45889</v>
      </c>
      <c r="C2056" s="17" t="s">
        <v>12</v>
      </c>
      <c r="D2056" s="17" t="s">
        <v>13</v>
      </c>
      <c r="E2056" s="17" t="s">
        <v>45</v>
      </c>
      <c r="F2056" s="17" t="s">
        <v>15</v>
      </c>
      <c r="G2056" s="17" t="s">
        <v>22</v>
      </c>
      <c r="H2056" s="17" t="s">
        <v>2596</v>
      </c>
      <c r="I2056" s="17" t="s">
        <v>48</v>
      </c>
      <c r="J2056" s="36">
        <v>8181.82</v>
      </c>
      <c r="K2056" s="36">
        <v>8717.26</v>
      </c>
      <c r="L2056" s="36">
        <f t="shared" si="160"/>
        <v>535.44000000000051</v>
      </c>
      <c r="M2056" s="37">
        <f t="shared" si="161"/>
        <v>6.5442652123855152E-2</v>
      </c>
      <c r="N2056" s="17" t="str">
        <f t="shared" si="162"/>
        <v>Over Budget</v>
      </c>
      <c r="O2056" s="38">
        <f t="shared" si="163"/>
        <v>-8717.26</v>
      </c>
      <c r="P2056" s="39">
        <f t="shared" si="164"/>
        <v>45870</v>
      </c>
    </row>
    <row r="2057" spans="1:16" ht="15.5" x14ac:dyDescent="0.35">
      <c r="A2057" s="17" t="s">
        <v>2105</v>
      </c>
      <c r="B2057" s="35">
        <v>46082</v>
      </c>
      <c r="C2057" s="17" t="s">
        <v>12</v>
      </c>
      <c r="D2057" s="17" t="s">
        <v>19</v>
      </c>
      <c r="E2057" s="17" t="s">
        <v>45</v>
      </c>
      <c r="F2057" s="17" t="s">
        <v>34</v>
      </c>
      <c r="G2057" s="17" t="s">
        <v>22</v>
      </c>
      <c r="H2057" s="17" t="s">
        <v>2589</v>
      </c>
      <c r="I2057" s="17" t="s">
        <v>23</v>
      </c>
      <c r="J2057" s="36">
        <v>7200</v>
      </c>
      <c r="K2057" s="36">
        <v>4140.0200000000004</v>
      </c>
      <c r="L2057" s="36">
        <f t="shared" si="160"/>
        <v>-3059.9799999999996</v>
      </c>
      <c r="M2057" s="37">
        <f t="shared" si="161"/>
        <v>-0.42499722222222214</v>
      </c>
      <c r="N2057" s="17" t="str">
        <f t="shared" si="162"/>
        <v>Under Budget</v>
      </c>
      <c r="O2057" s="38">
        <f t="shared" si="163"/>
        <v>-4140.0200000000004</v>
      </c>
      <c r="P2057" s="39">
        <f t="shared" si="164"/>
        <v>46082</v>
      </c>
    </row>
    <row r="2058" spans="1:16" ht="15.5" x14ac:dyDescent="0.35">
      <c r="A2058" s="17" t="s">
        <v>2106</v>
      </c>
      <c r="B2058" s="35">
        <v>45673</v>
      </c>
      <c r="C2058" s="17" t="s">
        <v>25</v>
      </c>
      <c r="D2058" s="17" t="s">
        <v>2584</v>
      </c>
      <c r="E2058" s="17" t="s">
        <v>27</v>
      </c>
      <c r="F2058" s="17" t="s">
        <v>34</v>
      </c>
      <c r="G2058" s="17" t="s">
        <v>38</v>
      </c>
      <c r="H2058" s="17" t="s">
        <v>2587</v>
      </c>
      <c r="I2058" s="17" t="s">
        <v>17</v>
      </c>
      <c r="J2058" s="36">
        <v>11085.71</v>
      </c>
      <c r="K2058" s="36">
        <v>1720.45</v>
      </c>
      <c r="L2058" s="36">
        <f t="shared" si="160"/>
        <v>-9365.2599999999984</v>
      </c>
      <c r="M2058" s="37">
        <f t="shared" si="161"/>
        <v>-0.84480470804305718</v>
      </c>
      <c r="N2058" s="17" t="str">
        <f t="shared" si="162"/>
        <v>Under Budget</v>
      </c>
      <c r="O2058" s="38">
        <f t="shared" si="163"/>
        <v>1720.45</v>
      </c>
      <c r="P2058" s="39">
        <f t="shared" si="164"/>
        <v>45658</v>
      </c>
    </row>
    <row r="2059" spans="1:16" ht="15.5" x14ac:dyDescent="0.35">
      <c r="A2059" s="17" t="s">
        <v>2107</v>
      </c>
      <c r="B2059" s="35">
        <v>45794</v>
      </c>
      <c r="C2059" s="17" t="s">
        <v>12</v>
      </c>
      <c r="D2059" s="17" t="s">
        <v>26</v>
      </c>
      <c r="E2059" s="17" t="s">
        <v>14</v>
      </c>
      <c r="F2059" s="17" t="s">
        <v>15</v>
      </c>
      <c r="G2059" s="17" t="s">
        <v>38</v>
      </c>
      <c r="H2059" s="17" t="s">
        <v>2586</v>
      </c>
      <c r="I2059" s="17" t="s">
        <v>23</v>
      </c>
      <c r="J2059" s="36">
        <v>2909.09</v>
      </c>
      <c r="K2059" s="36">
        <v>1893.56</v>
      </c>
      <c r="L2059" s="36">
        <f t="shared" si="160"/>
        <v>-1015.5300000000002</v>
      </c>
      <c r="M2059" s="37">
        <f t="shared" si="161"/>
        <v>-0.34908854659017086</v>
      </c>
      <c r="N2059" s="17" t="str">
        <f t="shared" si="162"/>
        <v>Under Budget</v>
      </c>
      <c r="O2059" s="38">
        <f t="shared" si="163"/>
        <v>-1893.56</v>
      </c>
      <c r="P2059" s="39">
        <f t="shared" si="164"/>
        <v>45778</v>
      </c>
    </row>
    <row r="2060" spans="1:16" ht="15.5" x14ac:dyDescent="0.35">
      <c r="A2060" s="17" t="s">
        <v>2108</v>
      </c>
      <c r="B2060" s="35">
        <v>45993</v>
      </c>
      <c r="C2060" s="17" t="s">
        <v>12</v>
      </c>
      <c r="D2060" s="17" t="s">
        <v>19</v>
      </c>
      <c r="E2060" s="17" t="s">
        <v>41</v>
      </c>
      <c r="F2060" s="17" t="s">
        <v>52</v>
      </c>
      <c r="G2060" s="17" t="s">
        <v>38</v>
      </c>
      <c r="H2060" s="17" t="s">
        <v>2589</v>
      </c>
      <c r="I2060" s="17" t="s">
        <v>17</v>
      </c>
      <c r="J2060" s="36">
        <v>5250</v>
      </c>
      <c r="K2060" s="36">
        <v>5915.57</v>
      </c>
      <c r="L2060" s="36">
        <f t="shared" si="160"/>
        <v>665.56999999999971</v>
      </c>
      <c r="M2060" s="37">
        <f t="shared" si="161"/>
        <v>0.12677523809523805</v>
      </c>
      <c r="N2060" s="17" t="str">
        <f t="shared" si="162"/>
        <v>Over Budget</v>
      </c>
      <c r="O2060" s="38">
        <f t="shared" si="163"/>
        <v>-5915.57</v>
      </c>
      <c r="P2060" s="39">
        <f t="shared" si="164"/>
        <v>45992</v>
      </c>
    </row>
    <row r="2061" spans="1:16" ht="15.5" x14ac:dyDescent="0.35">
      <c r="A2061" s="17" t="s">
        <v>2109</v>
      </c>
      <c r="B2061" s="35">
        <v>45985</v>
      </c>
      <c r="C2061" s="17" t="s">
        <v>12</v>
      </c>
      <c r="D2061" s="17" t="s">
        <v>19</v>
      </c>
      <c r="E2061" s="17" t="s">
        <v>47</v>
      </c>
      <c r="F2061" s="17" t="s">
        <v>34</v>
      </c>
      <c r="G2061" s="17" t="s">
        <v>16</v>
      </c>
      <c r="H2061" s="17" t="s">
        <v>2598</v>
      </c>
      <c r="I2061" s="17" t="s">
        <v>48</v>
      </c>
      <c r="J2061" s="36">
        <v>7350</v>
      </c>
      <c r="K2061" s="36">
        <v>4153.58</v>
      </c>
      <c r="L2061" s="36">
        <f t="shared" si="160"/>
        <v>-3196.42</v>
      </c>
      <c r="M2061" s="37">
        <f t="shared" si="161"/>
        <v>-0.434887074829932</v>
      </c>
      <c r="N2061" s="17" t="str">
        <f t="shared" si="162"/>
        <v>Under Budget</v>
      </c>
      <c r="O2061" s="38">
        <f t="shared" si="163"/>
        <v>-4153.58</v>
      </c>
      <c r="P2061" s="39">
        <f t="shared" si="164"/>
        <v>45962</v>
      </c>
    </row>
    <row r="2062" spans="1:16" ht="15.5" x14ac:dyDescent="0.35">
      <c r="A2062" s="17" t="s">
        <v>2110</v>
      </c>
      <c r="B2062" s="35">
        <v>46047</v>
      </c>
      <c r="C2062" s="17" t="s">
        <v>12</v>
      </c>
      <c r="D2062" s="17" t="s">
        <v>26</v>
      </c>
      <c r="E2062" s="17" t="s">
        <v>47</v>
      </c>
      <c r="F2062" s="17" t="s">
        <v>15</v>
      </c>
      <c r="G2062" s="17" t="s">
        <v>43</v>
      </c>
      <c r="H2062" s="17" t="s">
        <v>2596</v>
      </c>
      <c r="I2062" s="17" t="s">
        <v>30</v>
      </c>
      <c r="J2062" s="36">
        <v>3395</v>
      </c>
      <c r="K2062" s="36">
        <v>4854.09</v>
      </c>
      <c r="L2062" s="36">
        <f t="shared" si="160"/>
        <v>1459.0900000000001</v>
      </c>
      <c r="M2062" s="37">
        <f t="shared" si="161"/>
        <v>0.42977614138438885</v>
      </c>
      <c r="N2062" s="17" t="str">
        <f t="shared" si="162"/>
        <v>Over Budget</v>
      </c>
      <c r="O2062" s="38">
        <f t="shared" si="163"/>
        <v>-4854.09</v>
      </c>
      <c r="P2062" s="39">
        <f t="shared" si="164"/>
        <v>46023</v>
      </c>
    </row>
    <row r="2063" spans="1:16" ht="15.5" x14ac:dyDescent="0.35">
      <c r="A2063" s="17" t="s">
        <v>2111</v>
      </c>
      <c r="B2063" s="35">
        <v>45958</v>
      </c>
      <c r="C2063" s="17" t="s">
        <v>12</v>
      </c>
      <c r="D2063" s="17" t="s">
        <v>32</v>
      </c>
      <c r="E2063" s="17" t="s">
        <v>37</v>
      </c>
      <c r="F2063" s="17" t="s">
        <v>34</v>
      </c>
      <c r="G2063" s="17" t="s">
        <v>38</v>
      </c>
      <c r="H2063" s="17" t="s">
        <v>2595</v>
      </c>
      <c r="I2063" s="17" t="s">
        <v>23</v>
      </c>
      <c r="J2063" s="36">
        <v>3500</v>
      </c>
      <c r="K2063" s="36">
        <v>1958</v>
      </c>
      <c r="L2063" s="36">
        <f t="shared" si="160"/>
        <v>-1542</v>
      </c>
      <c r="M2063" s="37">
        <f t="shared" si="161"/>
        <v>-0.44057142857142856</v>
      </c>
      <c r="N2063" s="17" t="str">
        <f t="shared" si="162"/>
        <v>Under Budget</v>
      </c>
      <c r="O2063" s="38">
        <f t="shared" si="163"/>
        <v>-1958</v>
      </c>
      <c r="P2063" s="39">
        <f t="shared" si="164"/>
        <v>45931</v>
      </c>
    </row>
    <row r="2064" spans="1:16" ht="15.5" x14ac:dyDescent="0.35">
      <c r="A2064" s="17" t="s">
        <v>2112</v>
      </c>
      <c r="B2064" s="35">
        <v>45769</v>
      </c>
      <c r="C2064" s="17" t="s">
        <v>12</v>
      </c>
      <c r="D2064" s="17" t="s">
        <v>26</v>
      </c>
      <c r="E2064" s="17" t="s">
        <v>74</v>
      </c>
      <c r="F2064" s="17" t="s">
        <v>52</v>
      </c>
      <c r="G2064" s="17" t="s">
        <v>38</v>
      </c>
      <c r="H2064" s="17" t="s">
        <v>2591</v>
      </c>
      <c r="I2064" s="17" t="s">
        <v>17</v>
      </c>
      <c r="J2064" s="36">
        <v>5714.29</v>
      </c>
      <c r="K2064" s="36">
        <v>5072.42</v>
      </c>
      <c r="L2064" s="36">
        <f t="shared" si="160"/>
        <v>-641.86999999999989</v>
      </c>
      <c r="M2064" s="37">
        <f t="shared" si="161"/>
        <v>-0.11232716575462566</v>
      </c>
      <c r="N2064" s="17" t="str">
        <f t="shared" si="162"/>
        <v>Under Budget</v>
      </c>
      <c r="O2064" s="38">
        <f t="shared" si="163"/>
        <v>-5072.42</v>
      </c>
      <c r="P2064" s="39">
        <f t="shared" si="164"/>
        <v>45748</v>
      </c>
    </row>
    <row r="2065" spans="1:16" ht="15.5" x14ac:dyDescent="0.35">
      <c r="A2065" s="17" t="s">
        <v>2113</v>
      </c>
      <c r="B2065" s="35">
        <v>45947</v>
      </c>
      <c r="C2065" s="17" t="s">
        <v>12</v>
      </c>
      <c r="D2065" s="17" t="s">
        <v>26</v>
      </c>
      <c r="E2065" s="17" t="s">
        <v>65</v>
      </c>
      <c r="F2065" s="17" t="s">
        <v>52</v>
      </c>
      <c r="G2065" s="17" t="s">
        <v>38</v>
      </c>
      <c r="H2065" s="17" t="s">
        <v>2590</v>
      </c>
      <c r="I2065" s="17" t="s">
        <v>23</v>
      </c>
      <c r="J2065" s="36">
        <v>3928.57</v>
      </c>
      <c r="K2065" s="36">
        <v>5074.55</v>
      </c>
      <c r="L2065" s="36">
        <f t="shared" si="160"/>
        <v>1145.98</v>
      </c>
      <c r="M2065" s="37">
        <f t="shared" si="161"/>
        <v>0.29170410607422037</v>
      </c>
      <c r="N2065" s="17" t="str">
        <f t="shared" si="162"/>
        <v>Over Budget</v>
      </c>
      <c r="O2065" s="38">
        <f t="shared" si="163"/>
        <v>-5074.55</v>
      </c>
      <c r="P2065" s="39">
        <f t="shared" si="164"/>
        <v>45931</v>
      </c>
    </row>
    <row r="2066" spans="1:16" ht="15.5" x14ac:dyDescent="0.35">
      <c r="A2066" s="17" t="s">
        <v>2114</v>
      </c>
      <c r="B2066" s="35">
        <v>46163</v>
      </c>
      <c r="C2066" s="17" t="s">
        <v>12</v>
      </c>
      <c r="D2066" s="17" t="s">
        <v>2585</v>
      </c>
      <c r="E2066" s="17" t="s">
        <v>45</v>
      </c>
      <c r="F2066" s="17" t="s">
        <v>34</v>
      </c>
      <c r="G2066" s="17" t="s">
        <v>22</v>
      </c>
      <c r="H2066" s="17" t="s">
        <v>2589</v>
      </c>
      <c r="I2066" s="17" t="s">
        <v>39</v>
      </c>
      <c r="J2066" s="36">
        <v>16363.64</v>
      </c>
      <c r="K2066" s="36">
        <v>10857.98</v>
      </c>
      <c r="L2066" s="36">
        <f t="shared" si="160"/>
        <v>-5505.66</v>
      </c>
      <c r="M2066" s="37">
        <f t="shared" si="161"/>
        <v>-0.33645692523179438</v>
      </c>
      <c r="N2066" s="17" t="str">
        <f t="shared" si="162"/>
        <v>Under Budget</v>
      </c>
      <c r="O2066" s="38">
        <f t="shared" si="163"/>
        <v>-10857.98</v>
      </c>
      <c r="P2066" s="39">
        <f t="shared" si="164"/>
        <v>46143</v>
      </c>
    </row>
    <row r="2067" spans="1:16" ht="15.5" x14ac:dyDescent="0.35">
      <c r="A2067" s="17" t="s">
        <v>2115</v>
      </c>
      <c r="B2067" s="35">
        <v>45967</v>
      </c>
      <c r="C2067" s="17" t="s">
        <v>25</v>
      </c>
      <c r="D2067" s="17" t="s">
        <v>32</v>
      </c>
      <c r="E2067" s="17" t="s">
        <v>27</v>
      </c>
      <c r="F2067" s="17" t="s">
        <v>34</v>
      </c>
      <c r="G2067" s="17" t="s">
        <v>38</v>
      </c>
      <c r="H2067" s="17" t="s">
        <v>2596</v>
      </c>
      <c r="I2067" s="17" t="s">
        <v>23</v>
      </c>
      <c r="J2067" s="36">
        <v>8400</v>
      </c>
      <c r="K2067" s="36">
        <v>3908.78</v>
      </c>
      <c r="L2067" s="36">
        <f t="shared" si="160"/>
        <v>-4491.2199999999993</v>
      </c>
      <c r="M2067" s="37">
        <f t="shared" si="161"/>
        <v>-0.53466904761904754</v>
      </c>
      <c r="N2067" s="17" t="str">
        <f t="shared" si="162"/>
        <v>Under Budget</v>
      </c>
      <c r="O2067" s="38">
        <f t="shared" si="163"/>
        <v>3908.78</v>
      </c>
      <c r="P2067" s="39">
        <f t="shared" si="164"/>
        <v>45962</v>
      </c>
    </row>
    <row r="2068" spans="1:16" ht="15.5" x14ac:dyDescent="0.35">
      <c r="A2068" s="17" t="s">
        <v>2116</v>
      </c>
      <c r="B2068" s="35">
        <v>46051</v>
      </c>
      <c r="C2068" s="17" t="s">
        <v>25</v>
      </c>
      <c r="D2068" s="17" t="s">
        <v>32</v>
      </c>
      <c r="E2068" s="17" t="s">
        <v>109</v>
      </c>
      <c r="F2068" s="17" t="s">
        <v>15</v>
      </c>
      <c r="G2068" s="17" t="s">
        <v>38</v>
      </c>
      <c r="H2068" s="17" t="s">
        <v>2587</v>
      </c>
      <c r="I2068" s="17" t="s">
        <v>23</v>
      </c>
      <c r="J2068" s="36">
        <v>6062.5</v>
      </c>
      <c r="K2068" s="36">
        <v>14652.33</v>
      </c>
      <c r="L2068" s="36">
        <f t="shared" si="160"/>
        <v>8589.83</v>
      </c>
      <c r="M2068" s="37">
        <f t="shared" si="161"/>
        <v>1.4168791752577319</v>
      </c>
      <c r="N2068" s="17" t="str">
        <f t="shared" si="162"/>
        <v>Over Budget</v>
      </c>
      <c r="O2068" s="38">
        <f t="shared" si="163"/>
        <v>14652.33</v>
      </c>
      <c r="P2068" s="39">
        <f t="shared" si="164"/>
        <v>46023</v>
      </c>
    </row>
    <row r="2069" spans="1:16" ht="15.5" x14ac:dyDescent="0.35">
      <c r="A2069" s="17" t="s">
        <v>2117</v>
      </c>
      <c r="B2069" s="35">
        <v>46117</v>
      </c>
      <c r="C2069" s="17" t="s">
        <v>12</v>
      </c>
      <c r="D2069" s="17" t="s">
        <v>36</v>
      </c>
      <c r="E2069" s="17" t="s">
        <v>20</v>
      </c>
      <c r="F2069" s="17" t="s">
        <v>34</v>
      </c>
      <c r="G2069" s="17" t="s">
        <v>38</v>
      </c>
      <c r="H2069" s="17" t="s">
        <v>2590</v>
      </c>
      <c r="I2069" s="17" t="s">
        <v>30</v>
      </c>
      <c r="J2069" s="36">
        <v>2250</v>
      </c>
      <c r="K2069" s="36">
        <v>1773.17</v>
      </c>
      <c r="L2069" s="36">
        <f t="shared" si="160"/>
        <v>-476.82999999999993</v>
      </c>
      <c r="M2069" s="37">
        <f t="shared" si="161"/>
        <v>-0.21192444444444442</v>
      </c>
      <c r="N2069" s="17" t="str">
        <f t="shared" si="162"/>
        <v>Under Budget</v>
      </c>
      <c r="O2069" s="38">
        <f t="shared" si="163"/>
        <v>-1773.17</v>
      </c>
      <c r="P2069" s="39">
        <f t="shared" si="164"/>
        <v>46113</v>
      </c>
    </row>
    <row r="2070" spans="1:16" ht="15.5" x14ac:dyDescent="0.35">
      <c r="A2070" s="17" t="s">
        <v>2118</v>
      </c>
      <c r="B2070" s="35">
        <v>45865</v>
      </c>
      <c r="C2070" s="17" t="s">
        <v>12</v>
      </c>
      <c r="D2070" s="17" t="s">
        <v>2584</v>
      </c>
      <c r="E2070" s="17" t="s">
        <v>65</v>
      </c>
      <c r="F2070" s="17" t="s">
        <v>34</v>
      </c>
      <c r="G2070" s="17" t="s">
        <v>38</v>
      </c>
      <c r="H2070" s="17" t="s">
        <v>80</v>
      </c>
      <c r="I2070" s="17" t="s">
        <v>39</v>
      </c>
      <c r="J2070" s="36">
        <v>3437.5</v>
      </c>
      <c r="K2070" s="36">
        <v>2207.75</v>
      </c>
      <c r="L2070" s="36">
        <f t="shared" si="160"/>
        <v>-1229.75</v>
      </c>
      <c r="M2070" s="37">
        <f t="shared" si="161"/>
        <v>-0.35774545454545453</v>
      </c>
      <c r="N2070" s="17" t="str">
        <f t="shared" si="162"/>
        <v>Under Budget</v>
      </c>
      <c r="O2070" s="38">
        <f t="shared" si="163"/>
        <v>-2207.75</v>
      </c>
      <c r="P2070" s="39">
        <f t="shared" si="164"/>
        <v>45839</v>
      </c>
    </row>
    <row r="2071" spans="1:16" ht="15.5" x14ac:dyDescent="0.35">
      <c r="A2071" s="17" t="s">
        <v>2119</v>
      </c>
      <c r="B2071" s="35">
        <v>45810</v>
      </c>
      <c r="C2071" s="17" t="s">
        <v>12</v>
      </c>
      <c r="D2071" s="17" t="s">
        <v>36</v>
      </c>
      <c r="E2071" s="17" t="s">
        <v>14</v>
      </c>
      <c r="F2071" s="17" t="s">
        <v>34</v>
      </c>
      <c r="G2071" s="17" t="s">
        <v>38</v>
      </c>
      <c r="H2071" s="17" t="s">
        <v>2586</v>
      </c>
      <c r="I2071" s="17" t="s">
        <v>23</v>
      </c>
      <c r="J2071" s="36">
        <v>4571.43</v>
      </c>
      <c r="K2071" s="36">
        <v>1598.93</v>
      </c>
      <c r="L2071" s="36">
        <f t="shared" si="160"/>
        <v>-2972.5</v>
      </c>
      <c r="M2071" s="37">
        <f t="shared" si="161"/>
        <v>-0.6502341718018213</v>
      </c>
      <c r="N2071" s="17" t="str">
        <f t="shared" si="162"/>
        <v>Under Budget</v>
      </c>
      <c r="O2071" s="38">
        <f t="shared" si="163"/>
        <v>-1598.93</v>
      </c>
      <c r="P2071" s="39">
        <f t="shared" si="164"/>
        <v>45809</v>
      </c>
    </row>
    <row r="2072" spans="1:16" ht="15.5" x14ac:dyDescent="0.35">
      <c r="A2072" s="17" t="s">
        <v>2120</v>
      </c>
      <c r="B2072" s="35">
        <v>45758</v>
      </c>
      <c r="C2072" s="17" t="s">
        <v>25</v>
      </c>
      <c r="D2072" s="17" t="s">
        <v>36</v>
      </c>
      <c r="E2072" s="17" t="s">
        <v>33</v>
      </c>
      <c r="F2072" s="17" t="s">
        <v>34</v>
      </c>
      <c r="G2072" s="17" t="s">
        <v>38</v>
      </c>
      <c r="H2072" s="17" t="s">
        <v>2586</v>
      </c>
      <c r="I2072" s="17" t="s">
        <v>48</v>
      </c>
      <c r="J2072" s="36">
        <v>11363.64</v>
      </c>
      <c r="K2072" s="36">
        <v>24439.33</v>
      </c>
      <c r="L2072" s="36">
        <f t="shared" si="160"/>
        <v>13075.690000000002</v>
      </c>
      <c r="M2072" s="37">
        <f t="shared" si="161"/>
        <v>1.1506603517886878</v>
      </c>
      <c r="N2072" s="17" t="str">
        <f t="shared" si="162"/>
        <v>Over Budget</v>
      </c>
      <c r="O2072" s="38">
        <f t="shared" si="163"/>
        <v>24439.33</v>
      </c>
      <c r="P2072" s="39">
        <f t="shared" si="164"/>
        <v>45748</v>
      </c>
    </row>
    <row r="2073" spans="1:16" ht="15.5" x14ac:dyDescent="0.35">
      <c r="A2073" s="17" t="s">
        <v>2121</v>
      </c>
      <c r="B2073" s="35">
        <v>46114</v>
      </c>
      <c r="C2073" s="17" t="s">
        <v>25</v>
      </c>
      <c r="D2073" s="17" t="s">
        <v>2584</v>
      </c>
      <c r="E2073" s="17" t="s">
        <v>109</v>
      </c>
      <c r="F2073" s="17" t="s">
        <v>52</v>
      </c>
      <c r="G2073" s="17" t="s">
        <v>82</v>
      </c>
      <c r="H2073" s="17" t="s">
        <v>80</v>
      </c>
      <c r="I2073" s="17" t="s">
        <v>48</v>
      </c>
      <c r="J2073" s="36">
        <v>7142.86</v>
      </c>
      <c r="K2073" s="36">
        <v>12820.2</v>
      </c>
      <c r="L2073" s="36">
        <f t="shared" si="160"/>
        <v>5677.3400000000011</v>
      </c>
      <c r="M2073" s="37">
        <f t="shared" si="161"/>
        <v>0.79482728206908737</v>
      </c>
      <c r="N2073" s="17" t="str">
        <f t="shared" si="162"/>
        <v>Over Budget</v>
      </c>
      <c r="O2073" s="38">
        <f t="shared" si="163"/>
        <v>12820.2</v>
      </c>
      <c r="P2073" s="39">
        <f t="shared" si="164"/>
        <v>46113</v>
      </c>
    </row>
    <row r="2074" spans="1:16" ht="15.5" x14ac:dyDescent="0.35">
      <c r="A2074" s="17" t="s">
        <v>2122</v>
      </c>
      <c r="B2074" s="35">
        <v>45818</v>
      </c>
      <c r="C2074" s="17" t="s">
        <v>25</v>
      </c>
      <c r="D2074" s="17" t="s">
        <v>32</v>
      </c>
      <c r="E2074" s="17" t="s">
        <v>33</v>
      </c>
      <c r="F2074" s="17" t="s">
        <v>15</v>
      </c>
      <c r="G2074" s="17" t="s">
        <v>38</v>
      </c>
      <c r="H2074" s="17" t="s">
        <v>2597</v>
      </c>
      <c r="I2074" s="17" t="s">
        <v>30</v>
      </c>
      <c r="J2074" s="36">
        <v>9615.3799999999992</v>
      </c>
      <c r="K2074" s="36">
        <v>19576.990000000002</v>
      </c>
      <c r="L2074" s="36">
        <f t="shared" si="160"/>
        <v>9961.6100000000024</v>
      </c>
      <c r="M2074" s="37">
        <f t="shared" si="161"/>
        <v>1.0360079372838102</v>
      </c>
      <c r="N2074" s="17" t="str">
        <f t="shared" si="162"/>
        <v>Over Budget</v>
      </c>
      <c r="O2074" s="38">
        <f t="shared" si="163"/>
        <v>19576.990000000002</v>
      </c>
      <c r="P2074" s="39">
        <f t="shared" si="164"/>
        <v>45809</v>
      </c>
    </row>
    <row r="2075" spans="1:16" ht="15.5" x14ac:dyDescent="0.35">
      <c r="A2075" s="17" t="s">
        <v>2123</v>
      </c>
      <c r="B2075" s="35">
        <v>45879</v>
      </c>
      <c r="C2075" s="17" t="s">
        <v>25</v>
      </c>
      <c r="D2075" s="17" t="s">
        <v>19</v>
      </c>
      <c r="E2075" s="17" t="s">
        <v>109</v>
      </c>
      <c r="F2075" s="17" t="s">
        <v>34</v>
      </c>
      <c r="G2075" s="17" t="s">
        <v>82</v>
      </c>
      <c r="H2075" s="17" t="s">
        <v>60</v>
      </c>
      <c r="I2075" s="17" t="s">
        <v>39</v>
      </c>
      <c r="J2075" s="36">
        <v>7142.86</v>
      </c>
      <c r="K2075" s="36">
        <v>14449.58</v>
      </c>
      <c r="L2075" s="36">
        <f t="shared" si="160"/>
        <v>7306.72</v>
      </c>
      <c r="M2075" s="37">
        <f t="shared" si="161"/>
        <v>1.0229403908238437</v>
      </c>
      <c r="N2075" s="17" t="str">
        <f t="shared" si="162"/>
        <v>Over Budget</v>
      </c>
      <c r="O2075" s="38">
        <f t="shared" si="163"/>
        <v>14449.58</v>
      </c>
      <c r="P2075" s="39">
        <f t="shared" si="164"/>
        <v>45870</v>
      </c>
    </row>
    <row r="2076" spans="1:16" ht="15.5" x14ac:dyDescent="0.35">
      <c r="A2076" s="17" t="s">
        <v>2124</v>
      </c>
      <c r="B2076" s="35">
        <v>45870</v>
      </c>
      <c r="C2076" s="17" t="s">
        <v>25</v>
      </c>
      <c r="D2076" s="17" t="s">
        <v>32</v>
      </c>
      <c r="E2076" s="17" t="s">
        <v>109</v>
      </c>
      <c r="F2076" s="17" t="s">
        <v>52</v>
      </c>
      <c r="G2076" s="17" t="s">
        <v>82</v>
      </c>
      <c r="H2076" s="17" t="s">
        <v>2589</v>
      </c>
      <c r="I2076" s="17" t="s">
        <v>39</v>
      </c>
      <c r="J2076" s="36">
        <v>7142.86</v>
      </c>
      <c r="K2076" s="36">
        <v>6265.69</v>
      </c>
      <c r="L2076" s="36">
        <f t="shared" si="160"/>
        <v>-877.17000000000007</v>
      </c>
      <c r="M2076" s="37">
        <f t="shared" si="161"/>
        <v>-0.12280375087849967</v>
      </c>
      <c r="N2076" s="17" t="str">
        <f t="shared" si="162"/>
        <v>Under Budget</v>
      </c>
      <c r="O2076" s="38">
        <f t="shared" si="163"/>
        <v>6265.69</v>
      </c>
      <c r="P2076" s="39">
        <f t="shared" si="164"/>
        <v>45870</v>
      </c>
    </row>
    <row r="2077" spans="1:16" ht="15.5" x14ac:dyDescent="0.35">
      <c r="A2077" s="17" t="s">
        <v>2125</v>
      </c>
      <c r="B2077" s="35">
        <v>46011</v>
      </c>
      <c r="C2077" s="17" t="s">
        <v>25</v>
      </c>
      <c r="D2077" s="17" t="s">
        <v>32</v>
      </c>
      <c r="E2077" s="17" t="s">
        <v>33</v>
      </c>
      <c r="F2077" s="17" t="s">
        <v>52</v>
      </c>
      <c r="G2077" s="17" t="s">
        <v>29</v>
      </c>
      <c r="H2077" s="17" t="s">
        <v>2589</v>
      </c>
      <c r="I2077" s="17" t="s">
        <v>23</v>
      </c>
      <c r="J2077" s="36">
        <v>15441.18</v>
      </c>
      <c r="K2077" s="36">
        <v>15786.76</v>
      </c>
      <c r="L2077" s="36">
        <f t="shared" si="160"/>
        <v>345.57999999999993</v>
      </c>
      <c r="M2077" s="37">
        <f t="shared" si="161"/>
        <v>2.2380413932095857E-2</v>
      </c>
      <c r="N2077" s="17" t="str">
        <f t="shared" si="162"/>
        <v>Over Budget</v>
      </c>
      <c r="O2077" s="38">
        <f t="shared" si="163"/>
        <v>15786.76</v>
      </c>
      <c r="P2077" s="39">
        <f t="shared" si="164"/>
        <v>45992</v>
      </c>
    </row>
    <row r="2078" spans="1:16" ht="15.5" x14ac:dyDescent="0.35">
      <c r="A2078" s="17" t="s">
        <v>2126</v>
      </c>
      <c r="B2078" s="35">
        <v>45809</v>
      </c>
      <c r="C2078" s="17" t="s">
        <v>12</v>
      </c>
      <c r="D2078" s="17" t="s">
        <v>26</v>
      </c>
      <c r="E2078" s="17" t="s">
        <v>20</v>
      </c>
      <c r="F2078" s="17" t="s">
        <v>34</v>
      </c>
      <c r="G2078" s="17" t="s">
        <v>38</v>
      </c>
      <c r="H2078" s="17" t="s">
        <v>2597</v>
      </c>
      <c r="I2078" s="17" t="s">
        <v>30</v>
      </c>
      <c r="J2078" s="36">
        <v>2000</v>
      </c>
      <c r="K2078" s="36">
        <v>257.58999999999997</v>
      </c>
      <c r="L2078" s="36">
        <f t="shared" si="160"/>
        <v>-1742.41</v>
      </c>
      <c r="M2078" s="37">
        <f t="shared" si="161"/>
        <v>-0.87120500000000001</v>
      </c>
      <c r="N2078" s="17" t="str">
        <f t="shared" si="162"/>
        <v>Under Budget</v>
      </c>
      <c r="O2078" s="38">
        <f t="shared" si="163"/>
        <v>-257.58999999999997</v>
      </c>
      <c r="P2078" s="39">
        <f t="shared" si="164"/>
        <v>45809</v>
      </c>
    </row>
    <row r="2079" spans="1:16" ht="15.5" x14ac:dyDescent="0.35">
      <c r="A2079" s="17" t="s">
        <v>2127</v>
      </c>
      <c r="B2079" s="35">
        <v>45849</v>
      </c>
      <c r="C2079" s="17" t="s">
        <v>12</v>
      </c>
      <c r="D2079" s="17" t="s">
        <v>19</v>
      </c>
      <c r="E2079" s="17" t="s">
        <v>77</v>
      </c>
      <c r="F2079" s="17" t="s">
        <v>34</v>
      </c>
      <c r="G2079" s="17" t="s">
        <v>43</v>
      </c>
      <c r="H2079" s="17" t="s">
        <v>2592</v>
      </c>
      <c r="I2079" s="17" t="s">
        <v>39</v>
      </c>
      <c r="J2079" s="36">
        <v>2750</v>
      </c>
      <c r="K2079" s="36">
        <v>2846.85</v>
      </c>
      <c r="L2079" s="36">
        <f t="shared" si="160"/>
        <v>96.849999999999909</v>
      </c>
      <c r="M2079" s="37">
        <f t="shared" si="161"/>
        <v>3.5218181818181787E-2</v>
      </c>
      <c r="N2079" s="17" t="str">
        <f t="shared" si="162"/>
        <v>Over Budget</v>
      </c>
      <c r="O2079" s="38">
        <f t="shared" si="163"/>
        <v>-2846.85</v>
      </c>
      <c r="P2079" s="39">
        <f t="shared" si="164"/>
        <v>45839</v>
      </c>
    </row>
    <row r="2080" spans="1:16" ht="15.5" x14ac:dyDescent="0.35">
      <c r="A2080" s="17" t="s">
        <v>2128</v>
      </c>
      <c r="B2080" s="35">
        <v>45847</v>
      </c>
      <c r="C2080" s="17" t="s">
        <v>12</v>
      </c>
      <c r="D2080" s="17" t="s">
        <v>2585</v>
      </c>
      <c r="E2080" s="17" t="s">
        <v>65</v>
      </c>
      <c r="F2080" s="17" t="s">
        <v>52</v>
      </c>
      <c r="G2080" s="17" t="s">
        <v>38</v>
      </c>
      <c r="H2080" s="17" t="s">
        <v>2597</v>
      </c>
      <c r="I2080" s="17" t="s">
        <v>23</v>
      </c>
      <c r="J2080" s="36">
        <v>3437.5</v>
      </c>
      <c r="K2080" s="36">
        <v>1268.5899999999999</v>
      </c>
      <c r="L2080" s="36">
        <f t="shared" si="160"/>
        <v>-2168.91</v>
      </c>
      <c r="M2080" s="37">
        <f t="shared" si="161"/>
        <v>-0.63095563636363627</v>
      </c>
      <c r="N2080" s="17" t="str">
        <f t="shared" si="162"/>
        <v>Under Budget</v>
      </c>
      <c r="O2080" s="38">
        <f t="shared" si="163"/>
        <v>-1268.5899999999999</v>
      </c>
      <c r="P2080" s="39">
        <f t="shared" si="164"/>
        <v>45839</v>
      </c>
    </row>
    <row r="2081" spans="1:16" ht="15.5" x14ac:dyDescent="0.35">
      <c r="A2081" s="17" t="s">
        <v>2129</v>
      </c>
      <c r="B2081" s="35">
        <v>45836</v>
      </c>
      <c r="C2081" s="17" t="s">
        <v>25</v>
      </c>
      <c r="D2081" s="17" t="s">
        <v>32</v>
      </c>
      <c r="E2081" s="17" t="s">
        <v>109</v>
      </c>
      <c r="F2081" s="17" t="s">
        <v>21</v>
      </c>
      <c r="G2081" s="17" t="s">
        <v>38</v>
      </c>
      <c r="H2081" s="17" t="s">
        <v>2597</v>
      </c>
      <c r="I2081" s="17" t="s">
        <v>48</v>
      </c>
      <c r="J2081" s="36">
        <v>6250</v>
      </c>
      <c r="K2081" s="36">
        <v>17663.09</v>
      </c>
      <c r="L2081" s="36">
        <f t="shared" si="160"/>
        <v>11413.09</v>
      </c>
      <c r="M2081" s="37">
        <f t="shared" si="161"/>
        <v>1.8260944000000001</v>
      </c>
      <c r="N2081" s="17" t="str">
        <f t="shared" si="162"/>
        <v>Over Budget</v>
      </c>
      <c r="O2081" s="38">
        <f t="shared" si="163"/>
        <v>17663.09</v>
      </c>
      <c r="P2081" s="39">
        <f t="shared" si="164"/>
        <v>45809</v>
      </c>
    </row>
    <row r="2082" spans="1:16" ht="15.5" x14ac:dyDescent="0.35">
      <c r="A2082" s="17" t="s">
        <v>2130</v>
      </c>
      <c r="B2082" s="35">
        <v>46078</v>
      </c>
      <c r="C2082" s="17" t="s">
        <v>12</v>
      </c>
      <c r="D2082" s="17" t="s">
        <v>13</v>
      </c>
      <c r="E2082" s="17" t="s">
        <v>37</v>
      </c>
      <c r="F2082" s="17" t="s">
        <v>28</v>
      </c>
      <c r="G2082" s="17" t="s">
        <v>43</v>
      </c>
      <c r="H2082" s="17" t="s">
        <v>2590</v>
      </c>
      <c r="I2082" s="17" t="s">
        <v>23</v>
      </c>
      <c r="J2082" s="36">
        <v>3880</v>
      </c>
      <c r="K2082" s="36">
        <v>2271.84</v>
      </c>
      <c r="L2082" s="36">
        <f t="shared" si="160"/>
        <v>-1608.1599999999999</v>
      </c>
      <c r="M2082" s="37">
        <f t="shared" si="161"/>
        <v>-0.41447422680412366</v>
      </c>
      <c r="N2082" s="17" t="str">
        <f t="shared" si="162"/>
        <v>Under Budget</v>
      </c>
      <c r="O2082" s="38">
        <f t="shared" si="163"/>
        <v>-2271.84</v>
      </c>
      <c r="P2082" s="39">
        <f t="shared" si="164"/>
        <v>46054</v>
      </c>
    </row>
    <row r="2083" spans="1:16" ht="15.5" x14ac:dyDescent="0.35">
      <c r="A2083" s="17" t="s">
        <v>2131</v>
      </c>
      <c r="B2083" s="35">
        <v>46101</v>
      </c>
      <c r="C2083" s="17" t="s">
        <v>12</v>
      </c>
      <c r="D2083" s="17" t="s">
        <v>19</v>
      </c>
      <c r="E2083" s="17" t="s">
        <v>65</v>
      </c>
      <c r="F2083" s="17" t="s">
        <v>34</v>
      </c>
      <c r="G2083" s="17" t="s">
        <v>38</v>
      </c>
      <c r="H2083" s="17" t="s">
        <v>2596</v>
      </c>
      <c r="I2083" s="17" t="s">
        <v>17</v>
      </c>
      <c r="J2083" s="36">
        <v>5000</v>
      </c>
      <c r="K2083" s="36">
        <v>7376.8</v>
      </c>
      <c r="L2083" s="36">
        <f t="shared" si="160"/>
        <v>2376.8000000000002</v>
      </c>
      <c r="M2083" s="37">
        <f t="shared" si="161"/>
        <v>0.47536000000000006</v>
      </c>
      <c r="N2083" s="17" t="str">
        <f t="shared" si="162"/>
        <v>Over Budget</v>
      </c>
      <c r="O2083" s="38">
        <f t="shared" si="163"/>
        <v>-7376.8</v>
      </c>
      <c r="P2083" s="39">
        <f t="shared" si="164"/>
        <v>46082</v>
      </c>
    </row>
    <row r="2084" spans="1:16" ht="15.5" x14ac:dyDescent="0.35">
      <c r="A2084" s="17" t="s">
        <v>2132</v>
      </c>
      <c r="B2084" s="35">
        <v>45680</v>
      </c>
      <c r="C2084" s="17" t="s">
        <v>25</v>
      </c>
      <c r="D2084" s="17" t="s">
        <v>32</v>
      </c>
      <c r="E2084" s="17" t="s">
        <v>109</v>
      </c>
      <c r="F2084" s="17" t="s">
        <v>15</v>
      </c>
      <c r="G2084" s="17" t="s">
        <v>38</v>
      </c>
      <c r="H2084" s="17" t="s">
        <v>2590</v>
      </c>
      <c r="I2084" s="17" t="s">
        <v>48</v>
      </c>
      <c r="J2084" s="36">
        <v>9700</v>
      </c>
      <c r="K2084" s="36">
        <v>2032.52</v>
      </c>
      <c r="L2084" s="36">
        <f t="shared" si="160"/>
        <v>-7667.48</v>
      </c>
      <c r="M2084" s="37">
        <f t="shared" si="161"/>
        <v>-0.79046185567010308</v>
      </c>
      <c r="N2084" s="17" t="str">
        <f t="shared" si="162"/>
        <v>Under Budget</v>
      </c>
      <c r="O2084" s="38">
        <f t="shared" si="163"/>
        <v>2032.52</v>
      </c>
      <c r="P2084" s="39">
        <f t="shared" si="164"/>
        <v>45658</v>
      </c>
    </row>
    <row r="2085" spans="1:16" ht="15.5" x14ac:dyDescent="0.35">
      <c r="A2085" s="17" t="s">
        <v>2133</v>
      </c>
      <c r="B2085" s="35">
        <v>45734</v>
      </c>
      <c r="C2085" s="17" t="s">
        <v>25</v>
      </c>
      <c r="D2085" s="17" t="s">
        <v>26</v>
      </c>
      <c r="E2085" s="17" t="s">
        <v>27</v>
      </c>
      <c r="F2085" s="17" t="s">
        <v>34</v>
      </c>
      <c r="G2085" s="17" t="s">
        <v>29</v>
      </c>
      <c r="H2085" s="17" t="s">
        <v>2591</v>
      </c>
      <c r="I2085" s="17" t="s">
        <v>30</v>
      </c>
      <c r="J2085" s="36">
        <v>11428.57</v>
      </c>
      <c r="K2085" s="36">
        <v>4000.65</v>
      </c>
      <c r="L2085" s="36">
        <f t="shared" si="160"/>
        <v>-7427.92</v>
      </c>
      <c r="M2085" s="37">
        <f t="shared" si="161"/>
        <v>-0.64994308124288513</v>
      </c>
      <c r="N2085" s="17" t="str">
        <f t="shared" si="162"/>
        <v>Under Budget</v>
      </c>
      <c r="O2085" s="38">
        <f t="shared" si="163"/>
        <v>4000.65</v>
      </c>
      <c r="P2085" s="39">
        <f t="shared" si="164"/>
        <v>45717</v>
      </c>
    </row>
    <row r="2086" spans="1:16" ht="15.5" x14ac:dyDescent="0.35">
      <c r="A2086" s="17" t="s">
        <v>2134</v>
      </c>
      <c r="B2086" s="35">
        <v>46053</v>
      </c>
      <c r="C2086" s="17" t="s">
        <v>12</v>
      </c>
      <c r="D2086" s="17" t="s">
        <v>19</v>
      </c>
      <c r="E2086" s="17" t="s">
        <v>47</v>
      </c>
      <c r="F2086" s="17" t="s">
        <v>28</v>
      </c>
      <c r="G2086" s="17" t="s">
        <v>82</v>
      </c>
      <c r="H2086" s="17" t="s">
        <v>2587</v>
      </c>
      <c r="I2086" s="17" t="s">
        <v>48</v>
      </c>
      <c r="J2086" s="36">
        <v>3395</v>
      </c>
      <c r="K2086" s="36">
        <v>4101.16</v>
      </c>
      <c r="L2086" s="36">
        <f t="shared" si="160"/>
        <v>706.15999999999985</v>
      </c>
      <c r="M2086" s="37">
        <f t="shared" si="161"/>
        <v>0.20799999999999996</v>
      </c>
      <c r="N2086" s="17" t="str">
        <f t="shared" si="162"/>
        <v>Over Budget</v>
      </c>
      <c r="O2086" s="38">
        <f t="shared" si="163"/>
        <v>-4101.16</v>
      </c>
      <c r="P2086" s="39">
        <f t="shared" si="164"/>
        <v>46023</v>
      </c>
    </row>
    <row r="2087" spans="1:16" ht="15.5" x14ac:dyDescent="0.35">
      <c r="A2087" s="17" t="s">
        <v>2135</v>
      </c>
      <c r="B2087" s="35">
        <v>45759</v>
      </c>
      <c r="C2087" s="17" t="s">
        <v>12</v>
      </c>
      <c r="D2087" s="17" t="s">
        <v>2585</v>
      </c>
      <c r="E2087" s="17" t="s">
        <v>2583</v>
      </c>
      <c r="F2087" s="17" t="s">
        <v>21</v>
      </c>
      <c r="G2087" s="17" t="s">
        <v>29</v>
      </c>
      <c r="H2087" s="17" t="s">
        <v>2589</v>
      </c>
      <c r="I2087" s="17" t="s">
        <v>23</v>
      </c>
      <c r="J2087" s="36">
        <v>6111.11</v>
      </c>
      <c r="K2087" s="36">
        <v>3864.25</v>
      </c>
      <c r="L2087" s="36">
        <f t="shared" si="160"/>
        <v>-2246.8599999999997</v>
      </c>
      <c r="M2087" s="37">
        <f t="shared" si="161"/>
        <v>-0.36766806684873937</v>
      </c>
      <c r="N2087" s="17" t="str">
        <f t="shared" si="162"/>
        <v>Under Budget</v>
      </c>
      <c r="O2087" s="38">
        <f t="shared" si="163"/>
        <v>-3864.25</v>
      </c>
      <c r="P2087" s="39">
        <f t="shared" si="164"/>
        <v>45748</v>
      </c>
    </row>
    <row r="2088" spans="1:16" ht="15.5" x14ac:dyDescent="0.35">
      <c r="A2088" s="17" t="s">
        <v>2136</v>
      </c>
      <c r="B2088" s="35">
        <v>45908</v>
      </c>
      <c r="C2088" s="17" t="s">
        <v>12</v>
      </c>
      <c r="D2088" s="17" t="s">
        <v>19</v>
      </c>
      <c r="E2088" s="17" t="s">
        <v>45</v>
      </c>
      <c r="F2088" s="17" t="s">
        <v>52</v>
      </c>
      <c r="G2088" s="17" t="s">
        <v>82</v>
      </c>
      <c r="H2088" s="17" t="s">
        <v>2595</v>
      </c>
      <c r="I2088" s="17" t="s">
        <v>48</v>
      </c>
      <c r="J2088" s="36">
        <v>7500</v>
      </c>
      <c r="K2088" s="36">
        <v>10827.12</v>
      </c>
      <c r="L2088" s="36">
        <f t="shared" si="160"/>
        <v>3327.1200000000008</v>
      </c>
      <c r="M2088" s="37">
        <f t="shared" si="161"/>
        <v>0.44361600000000012</v>
      </c>
      <c r="N2088" s="17" t="str">
        <f t="shared" si="162"/>
        <v>Over Budget</v>
      </c>
      <c r="O2088" s="38">
        <f t="shared" si="163"/>
        <v>-10827.12</v>
      </c>
      <c r="P2088" s="39">
        <f t="shared" si="164"/>
        <v>45901</v>
      </c>
    </row>
    <row r="2089" spans="1:16" ht="15.5" x14ac:dyDescent="0.35">
      <c r="A2089" s="17" t="s">
        <v>2137</v>
      </c>
      <c r="B2089" s="35">
        <v>45978</v>
      </c>
      <c r="C2089" s="17" t="s">
        <v>25</v>
      </c>
      <c r="D2089" s="17" t="s">
        <v>19</v>
      </c>
      <c r="E2089" s="17" t="s">
        <v>27</v>
      </c>
      <c r="F2089" s="17" t="s">
        <v>52</v>
      </c>
      <c r="G2089" s="17" t="s">
        <v>38</v>
      </c>
      <c r="H2089" s="17" t="s">
        <v>2593</v>
      </c>
      <c r="I2089" s="17" t="s">
        <v>39</v>
      </c>
      <c r="J2089" s="36">
        <v>8400</v>
      </c>
      <c r="K2089" s="36">
        <v>3088.17</v>
      </c>
      <c r="L2089" s="36">
        <f t="shared" si="160"/>
        <v>-5311.83</v>
      </c>
      <c r="M2089" s="37">
        <f t="shared" si="161"/>
        <v>-0.63236071428571428</v>
      </c>
      <c r="N2089" s="17" t="str">
        <f t="shared" si="162"/>
        <v>Under Budget</v>
      </c>
      <c r="O2089" s="38">
        <f t="shared" si="163"/>
        <v>3088.17</v>
      </c>
      <c r="P2089" s="39">
        <f t="shared" si="164"/>
        <v>45962</v>
      </c>
    </row>
    <row r="2090" spans="1:16" ht="15.5" x14ac:dyDescent="0.35">
      <c r="A2090" s="17" t="s">
        <v>2138</v>
      </c>
      <c r="B2090" s="35">
        <v>46159</v>
      </c>
      <c r="C2090" s="17" t="s">
        <v>12</v>
      </c>
      <c r="D2090" s="17" t="s">
        <v>2584</v>
      </c>
      <c r="E2090" s="17" t="s">
        <v>65</v>
      </c>
      <c r="F2090" s="17" t="s">
        <v>34</v>
      </c>
      <c r="G2090" s="17" t="s">
        <v>38</v>
      </c>
      <c r="H2090" s="17" t="s">
        <v>2594</v>
      </c>
      <c r="I2090" s="17" t="s">
        <v>48</v>
      </c>
      <c r="J2090" s="36">
        <v>7857.14</v>
      </c>
      <c r="K2090" s="36">
        <v>5898.88</v>
      </c>
      <c r="L2090" s="36">
        <f t="shared" si="160"/>
        <v>-1958.2600000000002</v>
      </c>
      <c r="M2090" s="37">
        <f t="shared" si="161"/>
        <v>-0.24923318153933877</v>
      </c>
      <c r="N2090" s="17" t="str">
        <f t="shared" si="162"/>
        <v>Under Budget</v>
      </c>
      <c r="O2090" s="38">
        <f t="shared" si="163"/>
        <v>-5898.88</v>
      </c>
      <c r="P2090" s="39">
        <f t="shared" si="164"/>
        <v>46143</v>
      </c>
    </row>
    <row r="2091" spans="1:16" ht="15.5" x14ac:dyDescent="0.35">
      <c r="A2091" s="17" t="s">
        <v>2139</v>
      </c>
      <c r="B2091" s="35">
        <v>46188</v>
      </c>
      <c r="C2091" s="17" t="s">
        <v>12</v>
      </c>
      <c r="D2091" s="17" t="s">
        <v>36</v>
      </c>
      <c r="E2091" s="17" t="s">
        <v>45</v>
      </c>
      <c r="F2091" s="17" t="s">
        <v>52</v>
      </c>
      <c r="G2091" s="17" t="s">
        <v>43</v>
      </c>
      <c r="H2091" s="17" t="s">
        <v>2590</v>
      </c>
      <c r="I2091" s="17" t="s">
        <v>48</v>
      </c>
      <c r="J2091" s="36">
        <v>8571.43</v>
      </c>
      <c r="K2091" s="36">
        <v>9920.2000000000007</v>
      </c>
      <c r="L2091" s="36">
        <f t="shared" si="160"/>
        <v>1348.7700000000004</v>
      </c>
      <c r="M2091" s="37">
        <f t="shared" si="161"/>
        <v>0.15735647377392109</v>
      </c>
      <c r="N2091" s="17" t="str">
        <f t="shared" si="162"/>
        <v>Over Budget</v>
      </c>
      <c r="O2091" s="38">
        <f t="shared" si="163"/>
        <v>-9920.2000000000007</v>
      </c>
      <c r="P2091" s="39">
        <f t="shared" si="164"/>
        <v>46174</v>
      </c>
    </row>
    <row r="2092" spans="1:16" ht="15.5" x14ac:dyDescent="0.35">
      <c r="A2092" s="17" t="s">
        <v>2140</v>
      </c>
      <c r="B2092" s="35">
        <v>45829</v>
      </c>
      <c r="C2092" s="17" t="s">
        <v>12</v>
      </c>
      <c r="D2092" s="17" t="s">
        <v>36</v>
      </c>
      <c r="E2092" s="17" t="s">
        <v>20</v>
      </c>
      <c r="F2092" s="17" t="s">
        <v>28</v>
      </c>
      <c r="G2092" s="17" t="s">
        <v>82</v>
      </c>
      <c r="H2092" s="17" t="s">
        <v>2598</v>
      </c>
      <c r="I2092" s="17" t="s">
        <v>23</v>
      </c>
      <c r="J2092" s="36">
        <v>2000</v>
      </c>
      <c r="K2092" s="36">
        <v>1465.42</v>
      </c>
      <c r="L2092" s="36">
        <f t="shared" si="160"/>
        <v>-534.57999999999993</v>
      </c>
      <c r="M2092" s="37">
        <f t="shared" si="161"/>
        <v>-0.26728999999999997</v>
      </c>
      <c r="N2092" s="17" t="str">
        <f t="shared" si="162"/>
        <v>Under Budget</v>
      </c>
      <c r="O2092" s="38">
        <f t="shared" si="163"/>
        <v>-1465.42</v>
      </c>
      <c r="P2092" s="39">
        <f t="shared" si="164"/>
        <v>45809</v>
      </c>
    </row>
    <row r="2093" spans="1:16" ht="15.5" x14ac:dyDescent="0.35">
      <c r="A2093" s="17" t="s">
        <v>2141</v>
      </c>
      <c r="B2093" s="35">
        <v>45918</v>
      </c>
      <c r="C2093" s="17" t="s">
        <v>12</v>
      </c>
      <c r="D2093" s="17" t="s">
        <v>2585</v>
      </c>
      <c r="E2093" s="17" t="s">
        <v>45</v>
      </c>
      <c r="F2093" s="17" t="s">
        <v>34</v>
      </c>
      <c r="G2093" s="17" t="s">
        <v>38</v>
      </c>
      <c r="H2093" s="17" t="s">
        <v>80</v>
      </c>
      <c r="I2093" s="17" t="s">
        <v>30</v>
      </c>
      <c r="J2093" s="36">
        <v>7500</v>
      </c>
      <c r="K2093" s="36">
        <v>12043.35</v>
      </c>
      <c r="L2093" s="36">
        <f t="shared" si="160"/>
        <v>4543.3500000000004</v>
      </c>
      <c r="M2093" s="37">
        <f t="shared" si="161"/>
        <v>0.6057800000000001</v>
      </c>
      <c r="N2093" s="17" t="str">
        <f t="shared" si="162"/>
        <v>Over Budget</v>
      </c>
      <c r="O2093" s="38">
        <f t="shared" si="163"/>
        <v>-12043.35</v>
      </c>
      <c r="P2093" s="39">
        <f t="shared" si="164"/>
        <v>45901</v>
      </c>
    </row>
    <row r="2094" spans="1:16" ht="15.5" x14ac:dyDescent="0.35">
      <c r="A2094" s="17" t="s">
        <v>2142</v>
      </c>
      <c r="B2094" s="35">
        <v>46175</v>
      </c>
      <c r="C2094" s="17" t="s">
        <v>12</v>
      </c>
      <c r="D2094" s="17" t="s">
        <v>19</v>
      </c>
      <c r="E2094" s="17" t="s">
        <v>2583</v>
      </c>
      <c r="F2094" s="17" t="s">
        <v>34</v>
      </c>
      <c r="G2094" s="17" t="s">
        <v>82</v>
      </c>
      <c r="H2094" s="17" t="s">
        <v>2591</v>
      </c>
      <c r="I2094" s="17" t="s">
        <v>39</v>
      </c>
      <c r="J2094" s="36">
        <v>3555.56</v>
      </c>
      <c r="K2094" s="36">
        <v>5120.58</v>
      </c>
      <c r="L2094" s="36">
        <f t="shared" si="160"/>
        <v>1565.02</v>
      </c>
      <c r="M2094" s="37">
        <f t="shared" si="161"/>
        <v>0.44016132479834402</v>
      </c>
      <c r="N2094" s="17" t="str">
        <f t="shared" si="162"/>
        <v>Over Budget</v>
      </c>
      <c r="O2094" s="38">
        <f t="shared" si="163"/>
        <v>-5120.58</v>
      </c>
      <c r="P2094" s="39">
        <f t="shared" si="164"/>
        <v>46174</v>
      </c>
    </row>
    <row r="2095" spans="1:16" ht="15.5" x14ac:dyDescent="0.35">
      <c r="A2095" s="17" t="s">
        <v>2143</v>
      </c>
      <c r="B2095" s="35">
        <v>46063</v>
      </c>
      <c r="C2095" s="17" t="s">
        <v>12</v>
      </c>
      <c r="D2095" s="17" t="s">
        <v>19</v>
      </c>
      <c r="E2095" s="17" t="s">
        <v>45</v>
      </c>
      <c r="F2095" s="17" t="s">
        <v>34</v>
      </c>
      <c r="G2095" s="17" t="s">
        <v>38</v>
      </c>
      <c r="H2095" s="17" t="s">
        <v>2587</v>
      </c>
      <c r="I2095" s="17" t="s">
        <v>48</v>
      </c>
      <c r="J2095" s="36">
        <v>9189.4699999999993</v>
      </c>
      <c r="K2095" s="36">
        <v>11922.71</v>
      </c>
      <c r="L2095" s="36">
        <f t="shared" si="160"/>
        <v>2733.24</v>
      </c>
      <c r="M2095" s="37">
        <f t="shared" si="161"/>
        <v>0.29743173436552922</v>
      </c>
      <c r="N2095" s="17" t="str">
        <f t="shared" si="162"/>
        <v>Over Budget</v>
      </c>
      <c r="O2095" s="38">
        <f t="shared" si="163"/>
        <v>-11922.71</v>
      </c>
      <c r="P2095" s="39">
        <f t="shared" si="164"/>
        <v>46054</v>
      </c>
    </row>
    <row r="2096" spans="1:16" ht="15.5" x14ac:dyDescent="0.35">
      <c r="A2096" s="17" t="s">
        <v>2144</v>
      </c>
      <c r="B2096" s="35">
        <v>45828</v>
      </c>
      <c r="C2096" s="17" t="s">
        <v>12</v>
      </c>
      <c r="D2096" s="17" t="s">
        <v>2584</v>
      </c>
      <c r="E2096" s="17" t="s">
        <v>77</v>
      </c>
      <c r="F2096" s="17" t="s">
        <v>34</v>
      </c>
      <c r="G2096" s="17" t="s">
        <v>22</v>
      </c>
      <c r="H2096" s="17" t="s">
        <v>2594</v>
      </c>
      <c r="I2096" s="17" t="s">
        <v>30</v>
      </c>
      <c r="J2096" s="36">
        <v>3666.67</v>
      </c>
      <c r="K2096" s="36">
        <v>1160.42</v>
      </c>
      <c r="L2096" s="36">
        <f t="shared" si="160"/>
        <v>-2506.25</v>
      </c>
      <c r="M2096" s="37">
        <f t="shared" si="161"/>
        <v>-0.68352210588899465</v>
      </c>
      <c r="N2096" s="17" t="str">
        <f t="shared" si="162"/>
        <v>Under Budget</v>
      </c>
      <c r="O2096" s="38">
        <f t="shared" si="163"/>
        <v>-1160.42</v>
      </c>
      <c r="P2096" s="39">
        <f t="shared" si="164"/>
        <v>45809</v>
      </c>
    </row>
    <row r="2097" spans="1:16" ht="15.5" x14ac:dyDescent="0.35">
      <c r="A2097" s="17" t="s">
        <v>2145</v>
      </c>
      <c r="B2097" s="35">
        <v>46064</v>
      </c>
      <c r="C2097" s="17" t="s">
        <v>12</v>
      </c>
      <c r="D2097" s="17" t="s">
        <v>32</v>
      </c>
      <c r="E2097" s="17" t="s">
        <v>65</v>
      </c>
      <c r="F2097" s="17" t="s">
        <v>15</v>
      </c>
      <c r="G2097" s="17" t="s">
        <v>38</v>
      </c>
      <c r="H2097" s="17" t="s">
        <v>80</v>
      </c>
      <c r="I2097" s="17" t="s">
        <v>39</v>
      </c>
      <c r="J2097" s="36">
        <v>4850</v>
      </c>
      <c r="K2097" s="36">
        <v>8350.42</v>
      </c>
      <c r="L2097" s="36">
        <f t="shared" si="160"/>
        <v>3500.42</v>
      </c>
      <c r="M2097" s="37">
        <f t="shared" si="161"/>
        <v>0.72173608247422683</v>
      </c>
      <c r="N2097" s="17" t="str">
        <f t="shared" si="162"/>
        <v>Over Budget</v>
      </c>
      <c r="O2097" s="38">
        <f t="shared" si="163"/>
        <v>-8350.42</v>
      </c>
      <c r="P2097" s="39">
        <f t="shared" si="164"/>
        <v>46054</v>
      </c>
    </row>
    <row r="2098" spans="1:16" ht="15.5" x14ac:dyDescent="0.35">
      <c r="A2098" s="17" t="s">
        <v>2146</v>
      </c>
      <c r="B2098" s="35">
        <v>46169</v>
      </c>
      <c r="C2098" s="17" t="s">
        <v>25</v>
      </c>
      <c r="D2098" s="17" t="s">
        <v>19</v>
      </c>
      <c r="E2098" s="17" t="s">
        <v>169</v>
      </c>
      <c r="F2098" s="17" t="s">
        <v>52</v>
      </c>
      <c r="G2098" s="17" t="s">
        <v>22</v>
      </c>
      <c r="H2098" s="17" t="s">
        <v>2590</v>
      </c>
      <c r="I2098" s="17" t="s">
        <v>30</v>
      </c>
      <c r="J2098" s="36">
        <v>5000</v>
      </c>
      <c r="K2098" s="36">
        <v>4914.78</v>
      </c>
      <c r="L2098" s="36">
        <f t="shared" si="160"/>
        <v>-85.220000000000255</v>
      </c>
      <c r="M2098" s="37">
        <f t="shared" si="161"/>
        <v>-1.7044000000000052E-2</v>
      </c>
      <c r="N2098" s="17" t="str">
        <f t="shared" si="162"/>
        <v>Under Budget</v>
      </c>
      <c r="O2098" s="38">
        <f t="shared" si="163"/>
        <v>4914.78</v>
      </c>
      <c r="P2098" s="39">
        <f t="shared" si="164"/>
        <v>46143</v>
      </c>
    </row>
    <row r="2099" spans="1:16" ht="15.5" x14ac:dyDescent="0.35">
      <c r="A2099" s="17" t="s">
        <v>2147</v>
      </c>
      <c r="B2099" s="35">
        <v>45788</v>
      </c>
      <c r="C2099" s="17" t="s">
        <v>12</v>
      </c>
      <c r="D2099" s="17" t="s">
        <v>32</v>
      </c>
      <c r="E2099" s="17" t="s">
        <v>47</v>
      </c>
      <c r="F2099" s="17" t="s">
        <v>21</v>
      </c>
      <c r="G2099" s="17" t="s">
        <v>38</v>
      </c>
      <c r="H2099" s="17" t="s">
        <v>2591</v>
      </c>
      <c r="I2099" s="17" t="s">
        <v>23</v>
      </c>
      <c r="J2099" s="36">
        <v>3888.89</v>
      </c>
      <c r="K2099" s="36">
        <v>3096.43</v>
      </c>
      <c r="L2099" s="36">
        <f t="shared" si="160"/>
        <v>-792.46</v>
      </c>
      <c r="M2099" s="37">
        <f t="shared" si="161"/>
        <v>-0.20377537034989421</v>
      </c>
      <c r="N2099" s="17" t="str">
        <f t="shared" si="162"/>
        <v>Under Budget</v>
      </c>
      <c r="O2099" s="38">
        <f t="shared" si="163"/>
        <v>-3096.43</v>
      </c>
      <c r="P2099" s="39">
        <f t="shared" si="164"/>
        <v>45778</v>
      </c>
    </row>
    <row r="2100" spans="1:16" ht="15.5" x14ac:dyDescent="0.35">
      <c r="A2100" s="17" t="s">
        <v>2148</v>
      </c>
      <c r="B2100" s="35">
        <v>46020</v>
      </c>
      <c r="C2100" s="17" t="s">
        <v>12</v>
      </c>
      <c r="D2100" s="17" t="s">
        <v>32</v>
      </c>
      <c r="E2100" s="17" t="s">
        <v>65</v>
      </c>
      <c r="F2100" s="17" t="s">
        <v>52</v>
      </c>
      <c r="G2100" s="17" t="s">
        <v>43</v>
      </c>
      <c r="H2100" s="17" t="s">
        <v>2595</v>
      </c>
      <c r="I2100" s="17" t="s">
        <v>39</v>
      </c>
      <c r="J2100" s="36">
        <v>4125</v>
      </c>
      <c r="K2100" s="36">
        <v>6769.32</v>
      </c>
      <c r="L2100" s="36">
        <f t="shared" si="160"/>
        <v>2644.3199999999997</v>
      </c>
      <c r="M2100" s="37">
        <f t="shared" si="161"/>
        <v>0.64104727272727269</v>
      </c>
      <c r="N2100" s="17" t="str">
        <f t="shared" si="162"/>
        <v>Over Budget</v>
      </c>
      <c r="O2100" s="38">
        <f t="shared" si="163"/>
        <v>-6769.32</v>
      </c>
      <c r="P2100" s="39">
        <f t="shared" si="164"/>
        <v>45992</v>
      </c>
    </row>
    <row r="2101" spans="1:16" ht="15.5" x14ac:dyDescent="0.35">
      <c r="A2101" s="17" t="s">
        <v>2149</v>
      </c>
      <c r="B2101" s="35">
        <v>45678</v>
      </c>
      <c r="C2101" s="17" t="s">
        <v>12</v>
      </c>
      <c r="D2101" s="17" t="s">
        <v>2585</v>
      </c>
      <c r="E2101" s="17" t="s">
        <v>41</v>
      </c>
      <c r="F2101" s="17" t="s">
        <v>28</v>
      </c>
      <c r="G2101" s="17" t="s">
        <v>22</v>
      </c>
      <c r="H2101" s="17" t="s">
        <v>2590</v>
      </c>
      <c r="I2101" s="17" t="s">
        <v>48</v>
      </c>
      <c r="J2101" s="36">
        <v>12610</v>
      </c>
      <c r="K2101" s="36">
        <v>7796.49</v>
      </c>
      <c r="L2101" s="36">
        <f t="shared" si="160"/>
        <v>-4813.51</v>
      </c>
      <c r="M2101" s="37">
        <f t="shared" si="161"/>
        <v>-0.38172164948453607</v>
      </c>
      <c r="N2101" s="17" t="str">
        <f t="shared" si="162"/>
        <v>Under Budget</v>
      </c>
      <c r="O2101" s="38">
        <f t="shared" si="163"/>
        <v>-7796.49</v>
      </c>
      <c r="P2101" s="39">
        <f t="shared" si="164"/>
        <v>45658</v>
      </c>
    </row>
    <row r="2102" spans="1:16" ht="15.5" x14ac:dyDescent="0.35">
      <c r="A2102" s="17" t="s">
        <v>2150</v>
      </c>
      <c r="B2102" s="35">
        <v>46178</v>
      </c>
      <c r="C2102" s="17" t="s">
        <v>12</v>
      </c>
      <c r="D2102" s="17" t="s">
        <v>13</v>
      </c>
      <c r="E2102" s="17" t="s">
        <v>45</v>
      </c>
      <c r="F2102" s="17" t="s">
        <v>15</v>
      </c>
      <c r="G2102" s="17" t="s">
        <v>43</v>
      </c>
      <c r="H2102" s="17" t="s">
        <v>2590</v>
      </c>
      <c r="I2102" s="17" t="s">
        <v>23</v>
      </c>
      <c r="J2102" s="36">
        <v>8571.43</v>
      </c>
      <c r="K2102" s="36">
        <v>3086.78</v>
      </c>
      <c r="L2102" s="36">
        <f t="shared" si="160"/>
        <v>-5484.65</v>
      </c>
      <c r="M2102" s="37">
        <f t="shared" si="161"/>
        <v>-0.6398757266873788</v>
      </c>
      <c r="N2102" s="17" t="str">
        <f t="shared" si="162"/>
        <v>Under Budget</v>
      </c>
      <c r="O2102" s="38">
        <f t="shared" si="163"/>
        <v>-3086.78</v>
      </c>
      <c r="P2102" s="39">
        <f t="shared" si="164"/>
        <v>46174</v>
      </c>
    </row>
    <row r="2103" spans="1:16" ht="15.5" x14ac:dyDescent="0.35">
      <c r="A2103" s="17" t="s">
        <v>2151</v>
      </c>
      <c r="B2103" s="35">
        <v>45944</v>
      </c>
      <c r="C2103" s="17" t="s">
        <v>12</v>
      </c>
      <c r="D2103" s="17" t="s">
        <v>19</v>
      </c>
      <c r="E2103" s="17" t="s">
        <v>74</v>
      </c>
      <c r="F2103" s="17" t="s">
        <v>34</v>
      </c>
      <c r="G2103" s="17" t="s">
        <v>82</v>
      </c>
      <c r="H2103" s="17" t="s">
        <v>2592</v>
      </c>
      <c r="I2103" s="17" t="s">
        <v>39</v>
      </c>
      <c r="J2103" s="36">
        <v>3333.33</v>
      </c>
      <c r="K2103" s="36">
        <v>5098.68</v>
      </c>
      <c r="L2103" s="36">
        <f t="shared" si="160"/>
        <v>1765.3500000000004</v>
      </c>
      <c r="M2103" s="37">
        <f t="shared" si="161"/>
        <v>0.52960552960552976</v>
      </c>
      <c r="N2103" s="17" t="str">
        <f t="shared" si="162"/>
        <v>Over Budget</v>
      </c>
      <c r="O2103" s="38">
        <f t="shared" si="163"/>
        <v>-5098.68</v>
      </c>
      <c r="P2103" s="39">
        <f t="shared" si="164"/>
        <v>45931</v>
      </c>
    </row>
    <row r="2104" spans="1:16" ht="15.5" x14ac:dyDescent="0.35">
      <c r="A2104" s="17" t="s">
        <v>2152</v>
      </c>
      <c r="B2104" s="35">
        <v>45673</v>
      </c>
      <c r="C2104" s="17" t="s">
        <v>25</v>
      </c>
      <c r="D2104" s="17" t="s">
        <v>26</v>
      </c>
      <c r="E2104" s="17" t="s">
        <v>27</v>
      </c>
      <c r="F2104" s="17" t="s">
        <v>15</v>
      </c>
      <c r="G2104" s="17" t="s">
        <v>43</v>
      </c>
      <c r="H2104" s="17" t="s">
        <v>80</v>
      </c>
      <c r="I2104" s="17" t="s">
        <v>30</v>
      </c>
      <c r="J2104" s="36">
        <v>11085.71</v>
      </c>
      <c r="K2104" s="36">
        <v>2495.86</v>
      </c>
      <c r="L2104" s="36">
        <f t="shared" si="160"/>
        <v>-8589.8499999999985</v>
      </c>
      <c r="M2104" s="37">
        <f t="shared" si="161"/>
        <v>-0.77485790265125098</v>
      </c>
      <c r="N2104" s="17" t="str">
        <f t="shared" si="162"/>
        <v>Under Budget</v>
      </c>
      <c r="O2104" s="38">
        <f t="shared" si="163"/>
        <v>2495.86</v>
      </c>
      <c r="P2104" s="39">
        <f t="shared" si="164"/>
        <v>45658</v>
      </c>
    </row>
    <row r="2105" spans="1:16" ht="15.5" x14ac:dyDescent="0.35">
      <c r="A2105" s="17" t="s">
        <v>2153</v>
      </c>
      <c r="B2105" s="35">
        <v>46164</v>
      </c>
      <c r="C2105" s="17" t="s">
        <v>12</v>
      </c>
      <c r="D2105" s="17" t="s">
        <v>32</v>
      </c>
      <c r="E2105" s="17" t="s">
        <v>41</v>
      </c>
      <c r="F2105" s="17" t="s">
        <v>34</v>
      </c>
      <c r="G2105" s="17" t="s">
        <v>38</v>
      </c>
      <c r="H2105" s="17" t="s">
        <v>2597</v>
      </c>
      <c r="I2105" s="17" t="s">
        <v>39</v>
      </c>
      <c r="J2105" s="36">
        <v>6500</v>
      </c>
      <c r="K2105" s="36">
        <v>9744.31</v>
      </c>
      <c r="L2105" s="36">
        <f t="shared" si="160"/>
        <v>3244.3099999999995</v>
      </c>
      <c r="M2105" s="37">
        <f t="shared" si="161"/>
        <v>0.49912461538461533</v>
      </c>
      <c r="N2105" s="17" t="str">
        <f t="shared" si="162"/>
        <v>Over Budget</v>
      </c>
      <c r="O2105" s="38">
        <f t="shared" si="163"/>
        <v>-9744.31</v>
      </c>
      <c r="P2105" s="39">
        <f t="shared" si="164"/>
        <v>46143</v>
      </c>
    </row>
    <row r="2106" spans="1:16" ht="15.5" x14ac:dyDescent="0.35">
      <c r="A2106" s="17" t="s">
        <v>2154</v>
      </c>
      <c r="B2106" s="35">
        <v>45933</v>
      </c>
      <c r="C2106" s="17" t="s">
        <v>12</v>
      </c>
      <c r="D2106" s="17" t="s">
        <v>2584</v>
      </c>
      <c r="E2106" s="17" t="s">
        <v>14</v>
      </c>
      <c r="F2106" s="17" t="s">
        <v>28</v>
      </c>
      <c r="G2106" s="17" t="s">
        <v>38</v>
      </c>
      <c r="H2106" s="17" t="s">
        <v>2587</v>
      </c>
      <c r="I2106" s="17" t="s">
        <v>30</v>
      </c>
      <c r="J2106" s="36">
        <v>2666.67</v>
      </c>
      <c r="K2106" s="36">
        <v>3625.98</v>
      </c>
      <c r="L2106" s="36">
        <f t="shared" si="160"/>
        <v>959.31</v>
      </c>
      <c r="M2106" s="37">
        <f t="shared" si="161"/>
        <v>0.35974080032399958</v>
      </c>
      <c r="N2106" s="17" t="str">
        <f t="shared" si="162"/>
        <v>Over Budget</v>
      </c>
      <c r="O2106" s="38">
        <f t="shared" si="163"/>
        <v>-3625.98</v>
      </c>
      <c r="P2106" s="39">
        <f t="shared" si="164"/>
        <v>45931</v>
      </c>
    </row>
    <row r="2107" spans="1:16" ht="15.5" x14ac:dyDescent="0.35">
      <c r="A2107" s="17" t="s">
        <v>2155</v>
      </c>
      <c r="B2107" s="35">
        <v>45895</v>
      </c>
      <c r="C2107" s="17" t="s">
        <v>12</v>
      </c>
      <c r="D2107" s="17" t="s">
        <v>13</v>
      </c>
      <c r="E2107" s="17" t="s">
        <v>65</v>
      </c>
      <c r="F2107" s="17" t="s">
        <v>52</v>
      </c>
      <c r="G2107" s="17" t="s">
        <v>38</v>
      </c>
      <c r="H2107" s="17" t="s">
        <v>2589</v>
      </c>
      <c r="I2107" s="17" t="s">
        <v>23</v>
      </c>
      <c r="J2107" s="36">
        <v>3928.57</v>
      </c>
      <c r="K2107" s="36">
        <v>7383.7</v>
      </c>
      <c r="L2107" s="36">
        <f t="shared" si="160"/>
        <v>3455.1299999999997</v>
      </c>
      <c r="M2107" s="37">
        <f t="shared" si="161"/>
        <v>0.87948795617743847</v>
      </c>
      <c r="N2107" s="17" t="str">
        <f t="shared" si="162"/>
        <v>Over Budget</v>
      </c>
      <c r="O2107" s="38">
        <f t="shared" si="163"/>
        <v>-7383.7</v>
      </c>
      <c r="P2107" s="39">
        <f t="shared" si="164"/>
        <v>45870</v>
      </c>
    </row>
    <row r="2108" spans="1:16" ht="15.5" x14ac:dyDescent="0.35">
      <c r="A2108" s="17" t="s">
        <v>2156</v>
      </c>
      <c r="B2108" s="35">
        <v>46080</v>
      </c>
      <c r="C2108" s="17" t="s">
        <v>12</v>
      </c>
      <c r="D2108" s="17" t="s">
        <v>2585</v>
      </c>
      <c r="E2108" s="17" t="s">
        <v>51</v>
      </c>
      <c r="F2108" s="17" t="s">
        <v>34</v>
      </c>
      <c r="G2108" s="17" t="s">
        <v>16</v>
      </c>
      <c r="H2108" s="17" t="s">
        <v>2593</v>
      </c>
      <c r="I2108" s="17" t="s">
        <v>48</v>
      </c>
      <c r="J2108" s="36">
        <v>2910</v>
      </c>
      <c r="K2108" s="36">
        <v>899.57</v>
      </c>
      <c r="L2108" s="36">
        <f t="shared" si="160"/>
        <v>-2010.4299999999998</v>
      </c>
      <c r="M2108" s="37">
        <f t="shared" si="161"/>
        <v>-0.69086941580756012</v>
      </c>
      <c r="N2108" s="17" t="str">
        <f t="shared" si="162"/>
        <v>Under Budget</v>
      </c>
      <c r="O2108" s="38">
        <f t="shared" si="163"/>
        <v>-899.57</v>
      </c>
      <c r="P2108" s="39">
        <f t="shared" si="164"/>
        <v>46054</v>
      </c>
    </row>
    <row r="2109" spans="1:16" ht="15.5" x14ac:dyDescent="0.35">
      <c r="A2109" s="17" t="s">
        <v>2157</v>
      </c>
      <c r="B2109" s="35">
        <v>45658</v>
      </c>
      <c r="C2109" s="17" t="s">
        <v>12</v>
      </c>
      <c r="D2109" s="17" t="s">
        <v>19</v>
      </c>
      <c r="E2109" s="17" t="s">
        <v>45</v>
      </c>
      <c r="F2109" s="17" t="s">
        <v>15</v>
      </c>
      <c r="G2109" s="17" t="s">
        <v>38</v>
      </c>
      <c r="H2109" s="17" t="s">
        <v>2598</v>
      </c>
      <c r="I2109" s="17" t="s">
        <v>23</v>
      </c>
      <c r="J2109" s="36">
        <v>7591.3</v>
      </c>
      <c r="K2109" s="36">
        <v>14633.26</v>
      </c>
      <c r="L2109" s="36">
        <f t="shared" si="160"/>
        <v>7041.96</v>
      </c>
      <c r="M2109" s="37">
        <f t="shared" si="161"/>
        <v>0.92763558283824898</v>
      </c>
      <c r="N2109" s="17" t="str">
        <f t="shared" si="162"/>
        <v>Over Budget</v>
      </c>
      <c r="O2109" s="38">
        <f t="shared" si="163"/>
        <v>-14633.26</v>
      </c>
      <c r="P2109" s="39">
        <f t="shared" si="164"/>
        <v>45658</v>
      </c>
    </row>
    <row r="2110" spans="1:16" ht="15.5" x14ac:dyDescent="0.35">
      <c r="A2110" s="17" t="s">
        <v>2158</v>
      </c>
      <c r="B2110" s="35">
        <v>45799</v>
      </c>
      <c r="C2110" s="17" t="s">
        <v>12</v>
      </c>
      <c r="D2110" s="17" t="s">
        <v>2585</v>
      </c>
      <c r="E2110" s="17" t="s">
        <v>20</v>
      </c>
      <c r="F2110" s="17" t="s">
        <v>34</v>
      </c>
      <c r="G2110" s="17" t="s">
        <v>29</v>
      </c>
      <c r="H2110" s="17" t="s">
        <v>80</v>
      </c>
      <c r="I2110" s="17" t="s">
        <v>39</v>
      </c>
      <c r="J2110" s="36">
        <v>0</v>
      </c>
      <c r="K2110" s="36">
        <v>152.52000000000001</v>
      </c>
      <c r="L2110" s="36">
        <f t="shared" si="160"/>
        <v>152.52000000000001</v>
      </c>
      <c r="M2110" s="37">
        <f t="shared" si="161"/>
        <v>0</v>
      </c>
      <c r="N2110" s="17" t="str">
        <f t="shared" si="162"/>
        <v>No Budget</v>
      </c>
      <c r="O2110" s="38">
        <f t="shared" si="163"/>
        <v>-152.52000000000001</v>
      </c>
      <c r="P2110" s="39">
        <f t="shared" si="164"/>
        <v>45778</v>
      </c>
    </row>
    <row r="2111" spans="1:16" ht="15.5" x14ac:dyDescent="0.35">
      <c r="A2111" s="17" t="s">
        <v>2159</v>
      </c>
      <c r="B2111" s="35">
        <v>45773</v>
      </c>
      <c r="C2111" s="17" t="s">
        <v>12</v>
      </c>
      <c r="D2111" s="17" t="s">
        <v>32</v>
      </c>
      <c r="E2111" s="17" t="s">
        <v>41</v>
      </c>
      <c r="F2111" s="17" t="s">
        <v>52</v>
      </c>
      <c r="G2111" s="17" t="s">
        <v>38</v>
      </c>
      <c r="H2111" s="17" t="s">
        <v>2590</v>
      </c>
      <c r="I2111" s="17" t="s">
        <v>39</v>
      </c>
      <c r="J2111" s="36">
        <v>5416.67</v>
      </c>
      <c r="K2111" s="36">
        <v>8865.44</v>
      </c>
      <c r="L2111" s="36">
        <f t="shared" si="160"/>
        <v>3448.7700000000004</v>
      </c>
      <c r="M2111" s="37">
        <f t="shared" si="161"/>
        <v>0.63669560818731807</v>
      </c>
      <c r="N2111" s="17" t="str">
        <f t="shared" si="162"/>
        <v>Over Budget</v>
      </c>
      <c r="O2111" s="38">
        <f t="shared" si="163"/>
        <v>-8865.44</v>
      </c>
      <c r="P2111" s="39">
        <f t="shared" si="164"/>
        <v>45748</v>
      </c>
    </row>
    <row r="2112" spans="1:16" ht="15.5" x14ac:dyDescent="0.35">
      <c r="A2112" s="17" t="s">
        <v>2160</v>
      </c>
      <c r="B2112" s="35">
        <v>45666</v>
      </c>
      <c r="C2112" s="17" t="s">
        <v>25</v>
      </c>
      <c r="D2112" s="17" t="s">
        <v>32</v>
      </c>
      <c r="E2112" s="17" t="s">
        <v>109</v>
      </c>
      <c r="F2112" s="17" t="s">
        <v>52</v>
      </c>
      <c r="G2112" s="17" t="s">
        <v>43</v>
      </c>
      <c r="H2112" s="17" t="s">
        <v>2598</v>
      </c>
      <c r="I2112" s="17" t="s">
        <v>30</v>
      </c>
      <c r="J2112" s="36">
        <v>9700</v>
      </c>
      <c r="K2112" s="36">
        <v>9826.8700000000008</v>
      </c>
      <c r="L2112" s="36">
        <f t="shared" si="160"/>
        <v>126.8700000000008</v>
      </c>
      <c r="M2112" s="37">
        <f t="shared" si="161"/>
        <v>1.3079381443299051E-2</v>
      </c>
      <c r="N2112" s="17" t="str">
        <f t="shared" si="162"/>
        <v>Over Budget</v>
      </c>
      <c r="O2112" s="38">
        <f t="shared" si="163"/>
        <v>9826.8700000000008</v>
      </c>
      <c r="P2112" s="39">
        <f t="shared" si="164"/>
        <v>45658</v>
      </c>
    </row>
    <row r="2113" spans="1:16" ht="15.5" x14ac:dyDescent="0.35">
      <c r="A2113" s="17" t="s">
        <v>2161</v>
      </c>
      <c r="B2113" s="35">
        <v>46199</v>
      </c>
      <c r="C2113" s="17" t="s">
        <v>12</v>
      </c>
      <c r="D2113" s="17" t="s">
        <v>26</v>
      </c>
      <c r="E2113" s="17" t="s">
        <v>45</v>
      </c>
      <c r="F2113" s="17" t="s">
        <v>52</v>
      </c>
      <c r="G2113" s="17" t="s">
        <v>38</v>
      </c>
      <c r="H2113" s="17" t="s">
        <v>2587</v>
      </c>
      <c r="I2113" s="17" t="s">
        <v>17</v>
      </c>
      <c r="J2113" s="36">
        <v>8571.43</v>
      </c>
      <c r="K2113" s="36">
        <v>6946.68</v>
      </c>
      <c r="L2113" s="36">
        <f t="shared" si="160"/>
        <v>-1624.75</v>
      </c>
      <c r="M2113" s="37">
        <f t="shared" si="161"/>
        <v>-0.18955413507431082</v>
      </c>
      <c r="N2113" s="17" t="str">
        <f t="shared" si="162"/>
        <v>Under Budget</v>
      </c>
      <c r="O2113" s="38">
        <f t="shared" si="163"/>
        <v>-6946.68</v>
      </c>
      <c r="P2113" s="39">
        <f t="shared" si="164"/>
        <v>46174</v>
      </c>
    </row>
    <row r="2114" spans="1:16" ht="15.5" x14ac:dyDescent="0.35">
      <c r="A2114" s="17" t="s">
        <v>2162</v>
      </c>
      <c r="B2114" s="35">
        <v>45867</v>
      </c>
      <c r="C2114" s="17" t="s">
        <v>12</v>
      </c>
      <c r="D2114" s="17" t="s">
        <v>2584</v>
      </c>
      <c r="E2114" s="17" t="s">
        <v>74</v>
      </c>
      <c r="F2114" s="17" t="s">
        <v>52</v>
      </c>
      <c r="G2114" s="17" t="s">
        <v>22</v>
      </c>
      <c r="H2114" s="17" t="s">
        <v>2586</v>
      </c>
      <c r="I2114" s="17" t="s">
        <v>30</v>
      </c>
      <c r="J2114" s="36">
        <v>3333.33</v>
      </c>
      <c r="K2114" s="36">
        <v>930.32</v>
      </c>
      <c r="L2114" s="36">
        <f t="shared" si="160"/>
        <v>-2403.0099999999998</v>
      </c>
      <c r="M2114" s="37">
        <f t="shared" si="161"/>
        <v>-0.7209037209037209</v>
      </c>
      <c r="N2114" s="17" t="str">
        <f t="shared" si="162"/>
        <v>Under Budget</v>
      </c>
      <c r="O2114" s="38">
        <f t="shared" si="163"/>
        <v>-930.32</v>
      </c>
      <c r="P2114" s="39">
        <f t="shared" si="164"/>
        <v>45839</v>
      </c>
    </row>
    <row r="2115" spans="1:16" ht="15.5" x14ac:dyDescent="0.35">
      <c r="A2115" s="17" t="s">
        <v>2163</v>
      </c>
      <c r="B2115" s="35">
        <v>46190</v>
      </c>
      <c r="C2115" s="17" t="s">
        <v>25</v>
      </c>
      <c r="D2115" s="17" t="s">
        <v>19</v>
      </c>
      <c r="E2115" s="17" t="s">
        <v>33</v>
      </c>
      <c r="F2115" s="17" t="s">
        <v>21</v>
      </c>
      <c r="G2115" s="17" t="s">
        <v>22</v>
      </c>
      <c r="H2115" s="17" t="s">
        <v>2589</v>
      </c>
      <c r="I2115" s="17" t="s">
        <v>48</v>
      </c>
      <c r="J2115" s="36">
        <v>10000</v>
      </c>
      <c r="K2115" s="36">
        <v>11511.18</v>
      </c>
      <c r="L2115" s="36">
        <f t="shared" ref="L2115:L2178" si="165">K2115-J2115</f>
        <v>1511.1800000000003</v>
      </c>
      <c r="M2115" s="37">
        <f t="shared" ref="M2115:M2178" si="166">IF(J2115=0,0,L2115/J2115)</f>
        <v>0.15111800000000003</v>
      </c>
      <c r="N2115" s="17" t="str">
        <f t="shared" ref="N2115:N2178" si="167">IF(J2115=0,"No Budget",IF(K2115&gt;J2115,"Over Budget",IF(K2115&lt;J2115,"Under Budget","On Budget")))</f>
        <v>Over Budget</v>
      </c>
      <c r="O2115" s="38">
        <f t="shared" ref="O2115:O2178" si="168">IF(C2115="Revenue",K2115,-K2115)</f>
        <v>11511.18</v>
      </c>
      <c r="P2115" s="39">
        <f t="shared" ref="P2115:P2178" si="169">DATE(YEAR(B2115),MONTH(B2115),1)</f>
        <v>46174</v>
      </c>
    </row>
    <row r="2116" spans="1:16" ht="15.5" x14ac:dyDescent="0.35">
      <c r="A2116" s="17" t="s">
        <v>2164</v>
      </c>
      <c r="B2116" s="35">
        <v>45916</v>
      </c>
      <c r="C2116" s="17" t="s">
        <v>12</v>
      </c>
      <c r="D2116" s="17" t="s">
        <v>2584</v>
      </c>
      <c r="E2116" s="17" t="s">
        <v>41</v>
      </c>
      <c r="F2116" s="17" t="s">
        <v>52</v>
      </c>
      <c r="G2116" s="17" t="s">
        <v>38</v>
      </c>
      <c r="H2116" s="17" t="s">
        <v>2590</v>
      </c>
      <c r="I2116" s="17" t="s">
        <v>23</v>
      </c>
      <c r="J2116" s="36">
        <v>9285.7099999999991</v>
      </c>
      <c r="K2116" s="36">
        <v>5042.37</v>
      </c>
      <c r="L2116" s="36">
        <f t="shared" si="165"/>
        <v>-4243.3399999999992</v>
      </c>
      <c r="M2116" s="37">
        <f t="shared" si="166"/>
        <v>-0.45697528783474817</v>
      </c>
      <c r="N2116" s="17" t="str">
        <f t="shared" si="167"/>
        <v>Under Budget</v>
      </c>
      <c r="O2116" s="38">
        <f t="shared" si="168"/>
        <v>-5042.37</v>
      </c>
      <c r="P2116" s="39">
        <f t="shared" si="169"/>
        <v>45901</v>
      </c>
    </row>
    <row r="2117" spans="1:16" ht="15.5" x14ac:dyDescent="0.35">
      <c r="A2117" s="17" t="s">
        <v>2165</v>
      </c>
      <c r="B2117" s="35">
        <v>45719</v>
      </c>
      <c r="C2117" s="17" t="s">
        <v>12</v>
      </c>
      <c r="D2117" s="17" t="s">
        <v>13</v>
      </c>
      <c r="E2117" s="17" t="s">
        <v>51</v>
      </c>
      <c r="F2117" s="17" t="s">
        <v>15</v>
      </c>
      <c r="G2117" s="17" t="s">
        <v>29</v>
      </c>
      <c r="H2117" s="17" t="s">
        <v>2593</v>
      </c>
      <c r="I2117" s="17" t="s">
        <v>23</v>
      </c>
      <c r="J2117" s="36">
        <v>3000</v>
      </c>
      <c r="K2117" s="36">
        <v>5924.25</v>
      </c>
      <c r="L2117" s="36">
        <f t="shared" si="165"/>
        <v>2924.25</v>
      </c>
      <c r="M2117" s="37">
        <f t="shared" si="166"/>
        <v>0.97475000000000001</v>
      </c>
      <c r="N2117" s="17" t="str">
        <f t="shared" si="167"/>
        <v>Over Budget</v>
      </c>
      <c r="O2117" s="38">
        <f t="shared" si="168"/>
        <v>-5924.25</v>
      </c>
      <c r="P2117" s="39">
        <f t="shared" si="169"/>
        <v>45717</v>
      </c>
    </row>
    <row r="2118" spans="1:16" ht="15.5" x14ac:dyDescent="0.35">
      <c r="A2118" s="17" t="s">
        <v>2166</v>
      </c>
      <c r="B2118" s="35">
        <v>46168</v>
      </c>
      <c r="C2118" s="17" t="s">
        <v>25</v>
      </c>
      <c r="D2118" s="17" t="s">
        <v>32</v>
      </c>
      <c r="E2118" s="17" t="s">
        <v>27</v>
      </c>
      <c r="F2118" s="17" t="s">
        <v>34</v>
      </c>
      <c r="G2118" s="17" t="s">
        <v>43</v>
      </c>
      <c r="H2118" s="17" t="s">
        <v>2593</v>
      </c>
      <c r="I2118" s="17" t="s">
        <v>39</v>
      </c>
      <c r="J2118" s="36">
        <v>6153.85</v>
      </c>
      <c r="K2118" s="36">
        <v>2787.14</v>
      </c>
      <c r="L2118" s="36">
        <f t="shared" si="165"/>
        <v>-3366.7100000000005</v>
      </c>
      <c r="M2118" s="37">
        <f t="shared" si="166"/>
        <v>-0.54709003306872939</v>
      </c>
      <c r="N2118" s="17" t="str">
        <f t="shared" si="167"/>
        <v>Under Budget</v>
      </c>
      <c r="O2118" s="38">
        <f t="shared" si="168"/>
        <v>2787.14</v>
      </c>
      <c r="P2118" s="39">
        <f t="shared" si="169"/>
        <v>46143</v>
      </c>
    </row>
    <row r="2119" spans="1:16" ht="15.5" x14ac:dyDescent="0.35">
      <c r="A2119" s="17" t="s">
        <v>2167</v>
      </c>
      <c r="B2119" s="35">
        <v>46156</v>
      </c>
      <c r="C2119" s="17" t="s">
        <v>12</v>
      </c>
      <c r="D2119" s="17" t="s">
        <v>36</v>
      </c>
      <c r="E2119" s="17" t="s">
        <v>14</v>
      </c>
      <c r="F2119" s="17" t="s">
        <v>34</v>
      </c>
      <c r="G2119" s="17" t="s">
        <v>38</v>
      </c>
      <c r="H2119" s="17" t="s">
        <v>2586</v>
      </c>
      <c r="I2119" s="17" t="s">
        <v>30</v>
      </c>
      <c r="J2119" s="36">
        <v>8000</v>
      </c>
      <c r="K2119" s="36">
        <v>6033.91</v>
      </c>
      <c r="L2119" s="36">
        <f t="shared" si="165"/>
        <v>-1966.0900000000001</v>
      </c>
      <c r="M2119" s="37">
        <f t="shared" si="166"/>
        <v>-0.24576125000000001</v>
      </c>
      <c r="N2119" s="17" t="str">
        <f t="shared" si="167"/>
        <v>Under Budget</v>
      </c>
      <c r="O2119" s="38">
        <f t="shared" si="168"/>
        <v>-6033.91</v>
      </c>
      <c r="P2119" s="39">
        <f t="shared" si="169"/>
        <v>46143</v>
      </c>
    </row>
    <row r="2120" spans="1:16" ht="15.5" x14ac:dyDescent="0.35">
      <c r="A2120" s="17" t="s">
        <v>2168</v>
      </c>
      <c r="B2120" s="35">
        <v>45983</v>
      </c>
      <c r="C2120" s="17" t="s">
        <v>12</v>
      </c>
      <c r="D2120" s="17" t="s">
        <v>26</v>
      </c>
      <c r="E2120" s="17" t="s">
        <v>74</v>
      </c>
      <c r="F2120" s="17" t="s">
        <v>52</v>
      </c>
      <c r="G2120" s="17" t="s">
        <v>82</v>
      </c>
      <c r="H2120" s="17" t="s">
        <v>60</v>
      </c>
      <c r="I2120" s="17" t="s">
        <v>30</v>
      </c>
      <c r="J2120" s="36">
        <v>4666.67</v>
      </c>
      <c r="K2120" s="36">
        <v>1482.66</v>
      </c>
      <c r="L2120" s="36">
        <f t="shared" si="165"/>
        <v>-3184.01</v>
      </c>
      <c r="M2120" s="37">
        <f t="shared" si="166"/>
        <v>-0.68228736979473592</v>
      </c>
      <c r="N2120" s="17" t="str">
        <f t="shared" si="167"/>
        <v>Under Budget</v>
      </c>
      <c r="O2120" s="38">
        <f t="shared" si="168"/>
        <v>-1482.66</v>
      </c>
      <c r="P2120" s="39">
        <f t="shared" si="169"/>
        <v>45962</v>
      </c>
    </row>
    <row r="2121" spans="1:16" ht="15.5" x14ac:dyDescent="0.35">
      <c r="A2121" s="17" t="s">
        <v>2169</v>
      </c>
      <c r="B2121" s="35">
        <v>46102</v>
      </c>
      <c r="C2121" s="17" t="s">
        <v>12</v>
      </c>
      <c r="D2121" s="17" t="s">
        <v>36</v>
      </c>
      <c r="E2121" s="17" t="s">
        <v>77</v>
      </c>
      <c r="F2121" s="17" t="s">
        <v>34</v>
      </c>
      <c r="G2121" s="17" t="s">
        <v>16</v>
      </c>
      <c r="H2121" s="17" t="s">
        <v>60</v>
      </c>
      <c r="I2121" s="17" t="s">
        <v>23</v>
      </c>
      <c r="J2121" s="36">
        <v>1833.33</v>
      </c>
      <c r="K2121" s="36">
        <v>826.42</v>
      </c>
      <c r="L2121" s="36">
        <f t="shared" si="165"/>
        <v>-1006.91</v>
      </c>
      <c r="M2121" s="37">
        <f t="shared" si="166"/>
        <v>-0.54922463495388174</v>
      </c>
      <c r="N2121" s="17" t="str">
        <f t="shared" si="167"/>
        <v>Under Budget</v>
      </c>
      <c r="O2121" s="38">
        <f t="shared" si="168"/>
        <v>-826.42</v>
      </c>
      <c r="P2121" s="39">
        <f t="shared" si="169"/>
        <v>46082</v>
      </c>
    </row>
    <row r="2122" spans="1:16" ht="15.5" x14ac:dyDescent="0.35">
      <c r="A2122" s="17" t="s">
        <v>2170</v>
      </c>
      <c r="B2122" s="35">
        <v>45914</v>
      </c>
      <c r="C2122" s="17" t="s">
        <v>12</v>
      </c>
      <c r="D2122" s="17" t="s">
        <v>19</v>
      </c>
      <c r="E2122" s="17" t="s">
        <v>65</v>
      </c>
      <c r="F2122" s="17" t="s">
        <v>21</v>
      </c>
      <c r="G2122" s="17" t="s">
        <v>38</v>
      </c>
      <c r="H2122" s="17" t="s">
        <v>80</v>
      </c>
      <c r="I2122" s="17" t="s">
        <v>48</v>
      </c>
      <c r="J2122" s="36">
        <v>6111.11</v>
      </c>
      <c r="K2122" s="36">
        <v>5508.08</v>
      </c>
      <c r="L2122" s="36">
        <f t="shared" si="165"/>
        <v>-603.02999999999975</v>
      </c>
      <c r="M2122" s="37">
        <f t="shared" si="166"/>
        <v>-9.867765430502802E-2</v>
      </c>
      <c r="N2122" s="17" t="str">
        <f t="shared" si="167"/>
        <v>Under Budget</v>
      </c>
      <c r="O2122" s="38">
        <f t="shared" si="168"/>
        <v>-5508.08</v>
      </c>
      <c r="P2122" s="39">
        <f t="shared" si="169"/>
        <v>45901</v>
      </c>
    </row>
    <row r="2123" spans="1:16" ht="15.5" x14ac:dyDescent="0.35">
      <c r="A2123" s="17" t="s">
        <v>2171</v>
      </c>
      <c r="B2123" s="35">
        <v>45970</v>
      </c>
      <c r="C2123" s="17" t="s">
        <v>12</v>
      </c>
      <c r="D2123" s="17" t="s">
        <v>19</v>
      </c>
      <c r="E2123" s="17" t="s">
        <v>51</v>
      </c>
      <c r="F2123" s="17" t="s">
        <v>52</v>
      </c>
      <c r="G2123" s="17" t="s">
        <v>29</v>
      </c>
      <c r="H2123" s="17" t="s">
        <v>2597</v>
      </c>
      <c r="I2123" s="17" t="s">
        <v>23</v>
      </c>
      <c r="J2123" s="36">
        <v>7875</v>
      </c>
      <c r="K2123" s="36">
        <v>7191.7</v>
      </c>
      <c r="L2123" s="36">
        <f t="shared" si="165"/>
        <v>-683.30000000000018</v>
      </c>
      <c r="M2123" s="37">
        <f t="shared" si="166"/>
        <v>-8.6768253968253994E-2</v>
      </c>
      <c r="N2123" s="17" t="str">
        <f t="shared" si="167"/>
        <v>Under Budget</v>
      </c>
      <c r="O2123" s="38">
        <f t="shared" si="168"/>
        <v>-7191.7</v>
      </c>
      <c r="P2123" s="39">
        <f t="shared" si="169"/>
        <v>45962</v>
      </c>
    </row>
    <row r="2124" spans="1:16" ht="15.5" x14ac:dyDescent="0.35">
      <c r="A2124" s="17" t="s">
        <v>2172</v>
      </c>
      <c r="B2124" s="35">
        <v>46199</v>
      </c>
      <c r="C2124" s="17" t="s">
        <v>12</v>
      </c>
      <c r="D2124" s="17" t="s">
        <v>19</v>
      </c>
      <c r="E2124" s="17" t="s">
        <v>14</v>
      </c>
      <c r="F2124" s="17" t="s">
        <v>52</v>
      </c>
      <c r="G2124" s="17" t="s">
        <v>38</v>
      </c>
      <c r="H2124" s="17" t="s">
        <v>2597</v>
      </c>
      <c r="I2124" s="17" t="s">
        <v>23</v>
      </c>
      <c r="J2124" s="36">
        <v>3555.56</v>
      </c>
      <c r="K2124" s="36">
        <v>5801.09</v>
      </c>
      <c r="L2124" s="36">
        <f t="shared" si="165"/>
        <v>2245.5300000000002</v>
      </c>
      <c r="M2124" s="37">
        <f t="shared" si="166"/>
        <v>0.63155452305684623</v>
      </c>
      <c r="N2124" s="17" t="str">
        <f t="shared" si="167"/>
        <v>Over Budget</v>
      </c>
      <c r="O2124" s="38">
        <f t="shared" si="168"/>
        <v>-5801.09</v>
      </c>
      <c r="P2124" s="39">
        <f t="shared" si="169"/>
        <v>46174</v>
      </c>
    </row>
    <row r="2125" spans="1:16" ht="15.5" x14ac:dyDescent="0.35">
      <c r="A2125" s="17" t="s">
        <v>2173</v>
      </c>
      <c r="B2125" s="35">
        <v>45891</v>
      </c>
      <c r="C2125" s="17" t="s">
        <v>12</v>
      </c>
      <c r="D2125" s="17" t="s">
        <v>2584</v>
      </c>
      <c r="E2125" s="17" t="s">
        <v>45</v>
      </c>
      <c r="F2125" s="17" t="s">
        <v>21</v>
      </c>
      <c r="G2125" s="17" t="s">
        <v>38</v>
      </c>
      <c r="H2125" s="17" t="s">
        <v>2588</v>
      </c>
      <c r="I2125" s="17" t="s">
        <v>48</v>
      </c>
      <c r="J2125" s="36">
        <v>8181.82</v>
      </c>
      <c r="K2125" s="36">
        <v>10557.97</v>
      </c>
      <c r="L2125" s="36">
        <f t="shared" si="165"/>
        <v>2376.1499999999996</v>
      </c>
      <c r="M2125" s="37">
        <f t="shared" si="166"/>
        <v>0.29041826879594024</v>
      </c>
      <c r="N2125" s="17" t="str">
        <f t="shared" si="167"/>
        <v>Over Budget</v>
      </c>
      <c r="O2125" s="38">
        <f t="shared" si="168"/>
        <v>-10557.97</v>
      </c>
      <c r="P2125" s="39">
        <f t="shared" si="169"/>
        <v>45870</v>
      </c>
    </row>
    <row r="2126" spans="1:16" ht="15.5" x14ac:dyDescent="0.35">
      <c r="A2126" s="17" t="s">
        <v>2174</v>
      </c>
      <c r="B2126" s="35">
        <v>46039</v>
      </c>
      <c r="C2126" s="17" t="s">
        <v>12</v>
      </c>
      <c r="D2126" s="17" t="s">
        <v>32</v>
      </c>
      <c r="E2126" s="17" t="s">
        <v>65</v>
      </c>
      <c r="F2126" s="17" t="s">
        <v>21</v>
      </c>
      <c r="G2126" s="17" t="s">
        <v>38</v>
      </c>
      <c r="H2126" s="17" t="s">
        <v>2592</v>
      </c>
      <c r="I2126" s="17" t="s">
        <v>39</v>
      </c>
      <c r="J2126" s="36">
        <v>7621.43</v>
      </c>
      <c r="K2126" s="36">
        <v>8527.51</v>
      </c>
      <c r="L2126" s="36">
        <f t="shared" si="165"/>
        <v>906.07999999999993</v>
      </c>
      <c r="M2126" s="37">
        <f t="shared" si="166"/>
        <v>0.11888582588831753</v>
      </c>
      <c r="N2126" s="17" t="str">
        <f t="shared" si="167"/>
        <v>Over Budget</v>
      </c>
      <c r="O2126" s="38">
        <f t="shared" si="168"/>
        <v>-8527.51</v>
      </c>
      <c r="P2126" s="39">
        <f t="shared" si="169"/>
        <v>46023</v>
      </c>
    </row>
    <row r="2127" spans="1:16" ht="15.5" x14ac:dyDescent="0.35">
      <c r="A2127" s="17" t="s">
        <v>2175</v>
      </c>
      <c r="B2127" s="35">
        <v>45706</v>
      </c>
      <c r="C2127" s="17" t="s">
        <v>25</v>
      </c>
      <c r="D2127" s="17" t="s">
        <v>19</v>
      </c>
      <c r="E2127" s="17" t="s">
        <v>33</v>
      </c>
      <c r="F2127" s="17" t="s">
        <v>52</v>
      </c>
      <c r="G2127" s="17" t="s">
        <v>16</v>
      </c>
      <c r="H2127" s="17" t="s">
        <v>2588</v>
      </c>
      <c r="I2127" s="17" t="s">
        <v>48</v>
      </c>
      <c r="J2127" s="36">
        <v>13472.22</v>
      </c>
      <c r="K2127" s="36">
        <v>12897.07</v>
      </c>
      <c r="L2127" s="36">
        <f t="shared" si="165"/>
        <v>-575.14999999999964</v>
      </c>
      <c r="M2127" s="37">
        <f t="shared" si="166"/>
        <v>-4.2691553433658276E-2</v>
      </c>
      <c r="N2127" s="17" t="str">
        <f t="shared" si="167"/>
        <v>Under Budget</v>
      </c>
      <c r="O2127" s="38">
        <f t="shared" si="168"/>
        <v>12897.07</v>
      </c>
      <c r="P2127" s="39">
        <f t="shared" si="169"/>
        <v>45689</v>
      </c>
    </row>
    <row r="2128" spans="1:16" ht="15.5" x14ac:dyDescent="0.35">
      <c r="A2128" s="17" t="s">
        <v>2176</v>
      </c>
      <c r="B2128" s="35">
        <v>45672</v>
      </c>
      <c r="C2128" s="17" t="s">
        <v>25</v>
      </c>
      <c r="D2128" s="17" t="s">
        <v>32</v>
      </c>
      <c r="E2128" s="17" t="s">
        <v>33</v>
      </c>
      <c r="F2128" s="17" t="s">
        <v>34</v>
      </c>
      <c r="G2128" s="17" t="s">
        <v>16</v>
      </c>
      <c r="H2128" s="17" t="s">
        <v>2592</v>
      </c>
      <c r="I2128" s="17" t="s">
        <v>23</v>
      </c>
      <c r="J2128" s="36">
        <v>11022.73</v>
      </c>
      <c r="K2128" s="36">
        <v>24336.71</v>
      </c>
      <c r="L2128" s="36">
        <f t="shared" si="165"/>
        <v>13313.98</v>
      </c>
      <c r="M2128" s="37">
        <f t="shared" si="166"/>
        <v>1.2078659279506982</v>
      </c>
      <c r="N2128" s="17" t="str">
        <f t="shared" si="167"/>
        <v>Over Budget</v>
      </c>
      <c r="O2128" s="38">
        <f t="shared" si="168"/>
        <v>24336.71</v>
      </c>
      <c r="P2128" s="39">
        <f t="shared" si="169"/>
        <v>45658</v>
      </c>
    </row>
    <row r="2129" spans="1:16" ht="15.5" x14ac:dyDescent="0.35">
      <c r="A2129" s="17" t="s">
        <v>2177</v>
      </c>
      <c r="B2129" s="35">
        <v>46079</v>
      </c>
      <c r="C2129" s="17" t="s">
        <v>12</v>
      </c>
      <c r="D2129" s="17" t="s">
        <v>26</v>
      </c>
      <c r="E2129" s="17" t="s">
        <v>41</v>
      </c>
      <c r="F2129" s="17" t="s">
        <v>52</v>
      </c>
      <c r="G2129" s="17" t="s">
        <v>38</v>
      </c>
      <c r="H2129" s="17" t="s">
        <v>2586</v>
      </c>
      <c r="I2129" s="17" t="s">
        <v>30</v>
      </c>
      <c r="J2129" s="36">
        <v>6305</v>
      </c>
      <c r="K2129" s="36">
        <v>8398.25</v>
      </c>
      <c r="L2129" s="36">
        <f t="shared" si="165"/>
        <v>2093.25</v>
      </c>
      <c r="M2129" s="37">
        <f t="shared" si="166"/>
        <v>0.33199841395717683</v>
      </c>
      <c r="N2129" s="17" t="str">
        <f t="shared" si="167"/>
        <v>Over Budget</v>
      </c>
      <c r="O2129" s="38">
        <f t="shared" si="168"/>
        <v>-8398.25</v>
      </c>
      <c r="P2129" s="39">
        <f t="shared" si="169"/>
        <v>46054</v>
      </c>
    </row>
    <row r="2130" spans="1:16" ht="15.5" x14ac:dyDescent="0.35">
      <c r="A2130" s="17" t="s">
        <v>2178</v>
      </c>
      <c r="B2130" s="35">
        <v>46035</v>
      </c>
      <c r="C2130" s="17" t="s">
        <v>25</v>
      </c>
      <c r="D2130" s="17" t="s">
        <v>32</v>
      </c>
      <c r="E2130" s="17" t="s">
        <v>27</v>
      </c>
      <c r="F2130" s="17" t="s">
        <v>21</v>
      </c>
      <c r="G2130" s="17" t="s">
        <v>16</v>
      </c>
      <c r="H2130" s="17" t="s">
        <v>2587</v>
      </c>
      <c r="I2130" s="17" t="s">
        <v>23</v>
      </c>
      <c r="J2130" s="36">
        <v>8622.2199999999993</v>
      </c>
      <c r="K2130" s="36">
        <v>4700.82</v>
      </c>
      <c r="L2130" s="36">
        <f t="shared" si="165"/>
        <v>-3921.3999999999996</v>
      </c>
      <c r="M2130" s="37">
        <f t="shared" si="166"/>
        <v>-0.45480166360867619</v>
      </c>
      <c r="N2130" s="17" t="str">
        <f t="shared" si="167"/>
        <v>Under Budget</v>
      </c>
      <c r="O2130" s="38">
        <f t="shared" si="168"/>
        <v>4700.82</v>
      </c>
      <c r="P2130" s="39">
        <f t="shared" si="169"/>
        <v>46023</v>
      </c>
    </row>
    <row r="2131" spans="1:16" ht="15.5" x14ac:dyDescent="0.35">
      <c r="A2131" s="17" t="s">
        <v>2179</v>
      </c>
      <c r="B2131" s="35">
        <v>46161</v>
      </c>
      <c r="C2131" s="17" t="s">
        <v>12</v>
      </c>
      <c r="D2131" s="17" t="s">
        <v>19</v>
      </c>
      <c r="E2131" s="17" t="s">
        <v>65</v>
      </c>
      <c r="F2131" s="17" t="s">
        <v>52</v>
      </c>
      <c r="G2131" s="17" t="s">
        <v>38</v>
      </c>
      <c r="H2131" s="17" t="s">
        <v>2588</v>
      </c>
      <c r="I2131" s="17" t="s">
        <v>17</v>
      </c>
      <c r="J2131" s="36">
        <v>7857.14</v>
      </c>
      <c r="K2131" s="36">
        <v>8686.85</v>
      </c>
      <c r="L2131" s="36">
        <f t="shared" si="165"/>
        <v>829.71</v>
      </c>
      <c r="M2131" s="37">
        <f t="shared" si="166"/>
        <v>0.10559949294527016</v>
      </c>
      <c r="N2131" s="17" t="str">
        <f t="shared" si="167"/>
        <v>Over Budget</v>
      </c>
      <c r="O2131" s="38">
        <f t="shared" si="168"/>
        <v>-8686.85</v>
      </c>
      <c r="P2131" s="39">
        <f t="shared" si="169"/>
        <v>46143</v>
      </c>
    </row>
    <row r="2132" spans="1:16" ht="15.5" x14ac:dyDescent="0.35">
      <c r="A2132" s="17" t="s">
        <v>2180</v>
      </c>
      <c r="B2132" s="35">
        <v>45892</v>
      </c>
      <c r="C2132" s="17" t="s">
        <v>12</v>
      </c>
      <c r="D2132" s="17" t="s">
        <v>32</v>
      </c>
      <c r="E2132" s="17" t="s">
        <v>45</v>
      </c>
      <c r="F2132" s="17" t="s">
        <v>15</v>
      </c>
      <c r="G2132" s="17" t="s">
        <v>38</v>
      </c>
      <c r="H2132" s="17" t="s">
        <v>2590</v>
      </c>
      <c r="I2132" s="17" t="s">
        <v>30</v>
      </c>
      <c r="J2132" s="36">
        <v>8181.82</v>
      </c>
      <c r="K2132" s="36">
        <v>12804.47</v>
      </c>
      <c r="L2132" s="36">
        <f t="shared" si="165"/>
        <v>4622.6499999999996</v>
      </c>
      <c r="M2132" s="37">
        <f t="shared" si="166"/>
        <v>0.56499043000212668</v>
      </c>
      <c r="N2132" s="17" t="str">
        <f t="shared" si="167"/>
        <v>Over Budget</v>
      </c>
      <c r="O2132" s="38">
        <f t="shared" si="168"/>
        <v>-12804.47</v>
      </c>
      <c r="P2132" s="39">
        <f t="shared" si="169"/>
        <v>45870</v>
      </c>
    </row>
    <row r="2133" spans="1:16" ht="15.5" x14ac:dyDescent="0.35">
      <c r="A2133" s="17" t="s">
        <v>2181</v>
      </c>
      <c r="B2133" s="35">
        <v>45715</v>
      </c>
      <c r="C2133" s="17" t="s">
        <v>25</v>
      </c>
      <c r="D2133" s="17" t="s">
        <v>32</v>
      </c>
      <c r="E2133" s="17" t="s">
        <v>109</v>
      </c>
      <c r="F2133" s="17" t="s">
        <v>28</v>
      </c>
      <c r="G2133" s="17" t="s">
        <v>22</v>
      </c>
      <c r="H2133" s="17" t="s">
        <v>2594</v>
      </c>
      <c r="I2133" s="17" t="s">
        <v>23</v>
      </c>
      <c r="J2133" s="36">
        <v>13857.14</v>
      </c>
      <c r="K2133" s="36">
        <v>12634.55</v>
      </c>
      <c r="L2133" s="36">
        <f t="shared" si="165"/>
        <v>-1222.5900000000001</v>
      </c>
      <c r="M2133" s="37">
        <f t="shared" si="166"/>
        <v>-8.8228162521270637E-2</v>
      </c>
      <c r="N2133" s="17" t="str">
        <f t="shared" si="167"/>
        <v>Under Budget</v>
      </c>
      <c r="O2133" s="38">
        <f t="shared" si="168"/>
        <v>12634.55</v>
      </c>
      <c r="P2133" s="39">
        <f t="shared" si="169"/>
        <v>45689</v>
      </c>
    </row>
    <row r="2134" spans="1:16" ht="15.5" x14ac:dyDescent="0.35">
      <c r="A2134" s="17" t="s">
        <v>2182</v>
      </c>
      <c r="B2134" s="35">
        <v>45962</v>
      </c>
      <c r="C2134" s="17" t="s">
        <v>12</v>
      </c>
      <c r="D2134" s="17" t="s">
        <v>2584</v>
      </c>
      <c r="E2134" s="17" t="s">
        <v>20</v>
      </c>
      <c r="F2134" s="17" t="s">
        <v>52</v>
      </c>
      <c r="G2134" s="17" t="s">
        <v>16</v>
      </c>
      <c r="H2134" s="17" t="s">
        <v>2596</v>
      </c>
      <c r="I2134" s="17" t="s">
        <v>2583</v>
      </c>
      <c r="J2134" s="36">
        <v>1890</v>
      </c>
      <c r="K2134" s="36">
        <v>1769.7</v>
      </c>
      <c r="L2134" s="36">
        <f t="shared" si="165"/>
        <v>-120.29999999999995</v>
      </c>
      <c r="M2134" s="37">
        <f t="shared" si="166"/>
        <v>-6.3650793650793625E-2</v>
      </c>
      <c r="N2134" s="17" t="str">
        <f t="shared" si="167"/>
        <v>Under Budget</v>
      </c>
      <c r="O2134" s="38">
        <f t="shared" si="168"/>
        <v>-1769.7</v>
      </c>
      <c r="P2134" s="39">
        <f t="shared" si="169"/>
        <v>45962</v>
      </c>
    </row>
    <row r="2135" spans="1:16" ht="15.5" x14ac:dyDescent="0.35">
      <c r="A2135" s="17" t="s">
        <v>2183</v>
      </c>
      <c r="B2135" s="35">
        <v>45791</v>
      </c>
      <c r="C2135" s="17" t="s">
        <v>25</v>
      </c>
      <c r="D2135" s="17" t="s">
        <v>32</v>
      </c>
      <c r="E2135" s="17" t="s">
        <v>33</v>
      </c>
      <c r="F2135" s="17" t="s">
        <v>52</v>
      </c>
      <c r="G2135" s="17" t="s">
        <v>29</v>
      </c>
      <c r="H2135" s="17" t="s">
        <v>80</v>
      </c>
      <c r="I2135" s="17" t="s">
        <v>23</v>
      </c>
      <c r="J2135" s="36">
        <v>9615.3799999999992</v>
      </c>
      <c r="K2135" s="36">
        <v>809.12</v>
      </c>
      <c r="L2135" s="36">
        <f t="shared" si="165"/>
        <v>-8806.2599999999984</v>
      </c>
      <c r="M2135" s="37">
        <f t="shared" si="166"/>
        <v>-0.91585147960871016</v>
      </c>
      <c r="N2135" s="17" t="str">
        <f t="shared" si="167"/>
        <v>Under Budget</v>
      </c>
      <c r="O2135" s="38">
        <f t="shared" si="168"/>
        <v>809.12</v>
      </c>
      <c r="P2135" s="39">
        <f t="shared" si="169"/>
        <v>45778</v>
      </c>
    </row>
    <row r="2136" spans="1:16" ht="15.5" x14ac:dyDescent="0.35">
      <c r="A2136" s="17" t="s">
        <v>2184</v>
      </c>
      <c r="B2136" s="35">
        <v>45938</v>
      </c>
      <c r="C2136" s="17" t="s">
        <v>25</v>
      </c>
      <c r="D2136" s="17" t="s">
        <v>36</v>
      </c>
      <c r="E2136" s="17" t="s">
        <v>33</v>
      </c>
      <c r="F2136" s="17" t="s">
        <v>21</v>
      </c>
      <c r="G2136" s="17" t="s">
        <v>16</v>
      </c>
      <c r="H2136" s="17" t="s">
        <v>2597</v>
      </c>
      <c r="I2136" s="17" t="s">
        <v>23</v>
      </c>
      <c r="J2136" s="36">
        <v>8928.57</v>
      </c>
      <c r="K2136" s="36">
        <v>2086.7199999999998</v>
      </c>
      <c r="L2136" s="36">
        <f t="shared" si="165"/>
        <v>-6841.85</v>
      </c>
      <c r="M2136" s="37">
        <f t="shared" si="166"/>
        <v>-0.76628732260597165</v>
      </c>
      <c r="N2136" s="17" t="str">
        <f t="shared" si="167"/>
        <v>Under Budget</v>
      </c>
      <c r="O2136" s="38">
        <f t="shared" si="168"/>
        <v>2086.7199999999998</v>
      </c>
      <c r="P2136" s="39">
        <f t="shared" si="169"/>
        <v>45931</v>
      </c>
    </row>
    <row r="2137" spans="1:16" ht="15.5" x14ac:dyDescent="0.35">
      <c r="A2137" s="17" t="s">
        <v>2185</v>
      </c>
      <c r="B2137" s="35">
        <v>45658</v>
      </c>
      <c r="C2137" s="17" t="s">
        <v>12</v>
      </c>
      <c r="D2137" s="17" t="s">
        <v>19</v>
      </c>
      <c r="E2137" s="17" t="s">
        <v>20</v>
      </c>
      <c r="F2137" s="17" t="s">
        <v>28</v>
      </c>
      <c r="G2137" s="17" t="s">
        <v>22</v>
      </c>
      <c r="H2137" s="17" t="s">
        <v>2586</v>
      </c>
      <c r="I2137" s="17" t="s">
        <v>23</v>
      </c>
      <c r="J2137" s="36">
        <v>1746</v>
      </c>
      <c r="K2137" s="36">
        <v>1610.83</v>
      </c>
      <c r="L2137" s="36">
        <f t="shared" si="165"/>
        <v>-135.17000000000007</v>
      </c>
      <c r="M2137" s="37">
        <f t="shared" si="166"/>
        <v>-7.7416953035509772E-2</v>
      </c>
      <c r="N2137" s="17" t="str">
        <f t="shared" si="167"/>
        <v>Under Budget</v>
      </c>
      <c r="O2137" s="38">
        <f t="shared" si="168"/>
        <v>-1610.83</v>
      </c>
      <c r="P2137" s="39">
        <f t="shared" si="169"/>
        <v>45658</v>
      </c>
    </row>
    <row r="2138" spans="1:16" ht="15.5" x14ac:dyDescent="0.35">
      <c r="A2138" s="17" t="s">
        <v>2186</v>
      </c>
      <c r="B2138" s="35">
        <v>46119</v>
      </c>
      <c r="C2138" s="17" t="s">
        <v>12</v>
      </c>
      <c r="D2138" s="17" t="s">
        <v>19</v>
      </c>
      <c r="E2138" s="17" t="s">
        <v>45</v>
      </c>
      <c r="F2138" s="17" t="s">
        <v>52</v>
      </c>
      <c r="G2138" s="17" t="s">
        <v>82</v>
      </c>
      <c r="H2138" s="17" t="s">
        <v>2595</v>
      </c>
      <c r="I2138" s="17" t="s">
        <v>17</v>
      </c>
      <c r="J2138" s="36">
        <v>8571.43</v>
      </c>
      <c r="K2138" s="36">
        <v>13164.63</v>
      </c>
      <c r="L2138" s="36">
        <f t="shared" si="165"/>
        <v>4593.1999999999989</v>
      </c>
      <c r="M2138" s="37">
        <f t="shared" si="166"/>
        <v>0.53587324402112591</v>
      </c>
      <c r="N2138" s="17" t="str">
        <f t="shared" si="167"/>
        <v>Over Budget</v>
      </c>
      <c r="O2138" s="38">
        <f t="shared" si="168"/>
        <v>-13164.63</v>
      </c>
      <c r="P2138" s="39">
        <f t="shared" si="169"/>
        <v>46113</v>
      </c>
    </row>
    <row r="2139" spans="1:16" ht="15.5" x14ac:dyDescent="0.35">
      <c r="A2139" s="17" t="s">
        <v>2187</v>
      </c>
      <c r="B2139" s="35">
        <v>46093</v>
      </c>
      <c r="C2139" s="17" t="s">
        <v>12</v>
      </c>
      <c r="D2139" s="17" t="s">
        <v>19</v>
      </c>
      <c r="E2139" s="17" t="s">
        <v>14</v>
      </c>
      <c r="F2139" s="17" t="s">
        <v>34</v>
      </c>
      <c r="G2139" s="17" t="s">
        <v>82</v>
      </c>
      <c r="H2139" s="17" t="s">
        <v>2589</v>
      </c>
      <c r="I2139" s="17" t="s">
        <v>30</v>
      </c>
      <c r="J2139" s="36">
        <v>4000</v>
      </c>
      <c r="K2139" s="36">
        <v>2075.38</v>
      </c>
      <c r="L2139" s="36">
        <f t="shared" si="165"/>
        <v>-1924.62</v>
      </c>
      <c r="M2139" s="37">
        <f t="shared" si="166"/>
        <v>-0.481155</v>
      </c>
      <c r="N2139" s="17" t="str">
        <f t="shared" si="167"/>
        <v>Under Budget</v>
      </c>
      <c r="O2139" s="38">
        <f t="shared" si="168"/>
        <v>-2075.38</v>
      </c>
      <c r="P2139" s="39">
        <f t="shared" si="169"/>
        <v>46082</v>
      </c>
    </row>
    <row r="2140" spans="1:16" ht="15.5" x14ac:dyDescent="0.35">
      <c r="A2140" s="17" t="s">
        <v>2188</v>
      </c>
      <c r="B2140" s="35">
        <v>46181</v>
      </c>
      <c r="C2140" s="17" t="s">
        <v>12</v>
      </c>
      <c r="D2140" s="17" t="s">
        <v>32</v>
      </c>
      <c r="E2140" s="17" t="s">
        <v>14</v>
      </c>
      <c r="F2140" s="17" t="s">
        <v>34</v>
      </c>
      <c r="G2140" s="17" t="s">
        <v>22</v>
      </c>
      <c r="H2140" s="17" t="s">
        <v>2587</v>
      </c>
      <c r="I2140" s="17" t="s">
        <v>17</v>
      </c>
      <c r="J2140" s="36">
        <v>3555.56</v>
      </c>
      <c r="K2140" s="36">
        <v>3145.06</v>
      </c>
      <c r="L2140" s="36">
        <f t="shared" si="165"/>
        <v>-410.5</v>
      </c>
      <c r="M2140" s="37">
        <f t="shared" si="166"/>
        <v>-0.11545298068377415</v>
      </c>
      <c r="N2140" s="17" t="str">
        <f t="shared" si="167"/>
        <v>Under Budget</v>
      </c>
      <c r="O2140" s="38">
        <f t="shared" si="168"/>
        <v>-3145.06</v>
      </c>
      <c r="P2140" s="39">
        <f t="shared" si="169"/>
        <v>46174</v>
      </c>
    </row>
    <row r="2141" spans="1:16" ht="15.5" x14ac:dyDescent="0.35">
      <c r="A2141" s="17" t="s">
        <v>2189</v>
      </c>
      <c r="B2141" s="35">
        <v>46003</v>
      </c>
      <c r="C2141" s="17" t="s">
        <v>12</v>
      </c>
      <c r="D2141" s="17" t="s">
        <v>19</v>
      </c>
      <c r="E2141" s="17" t="s">
        <v>65</v>
      </c>
      <c r="F2141" s="17" t="s">
        <v>52</v>
      </c>
      <c r="G2141" s="17" t="s">
        <v>29</v>
      </c>
      <c r="H2141" s="17" t="s">
        <v>2597</v>
      </c>
      <c r="I2141" s="17" t="s">
        <v>17</v>
      </c>
      <c r="J2141" s="36">
        <v>4125</v>
      </c>
      <c r="K2141" s="36">
        <v>3949.54</v>
      </c>
      <c r="L2141" s="36">
        <f t="shared" si="165"/>
        <v>-175.46000000000004</v>
      </c>
      <c r="M2141" s="37">
        <f t="shared" si="166"/>
        <v>-4.2535757575757588E-2</v>
      </c>
      <c r="N2141" s="17" t="str">
        <f t="shared" si="167"/>
        <v>Under Budget</v>
      </c>
      <c r="O2141" s="38">
        <f t="shared" si="168"/>
        <v>-3949.54</v>
      </c>
      <c r="P2141" s="39">
        <f t="shared" si="169"/>
        <v>45992</v>
      </c>
    </row>
    <row r="2142" spans="1:16" ht="15.5" x14ac:dyDescent="0.35">
      <c r="A2142" s="17" t="s">
        <v>2190</v>
      </c>
      <c r="B2142" s="35">
        <v>46027</v>
      </c>
      <c r="C2142" s="17" t="s">
        <v>25</v>
      </c>
      <c r="D2142" s="17" t="s">
        <v>19</v>
      </c>
      <c r="E2142" s="17" t="s">
        <v>109</v>
      </c>
      <c r="F2142" s="17" t="s">
        <v>15</v>
      </c>
      <c r="G2142" s="17" t="s">
        <v>38</v>
      </c>
      <c r="H2142" s="17" t="s">
        <v>2594</v>
      </c>
      <c r="I2142" s="17" t="s">
        <v>39</v>
      </c>
      <c r="J2142" s="36">
        <v>6062.5</v>
      </c>
      <c r="K2142" s="36">
        <v>5577.92</v>
      </c>
      <c r="L2142" s="36">
        <f t="shared" si="165"/>
        <v>-484.57999999999993</v>
      </c>
      <c r="M2142" s="37">
        <f t="shared" si="166"/>
        <v>-7.9930721649484518E-2</v>
      </c>
      <c r="N2142" s="17" t="str">
        <f t="shared" si="167"/>
        <v>Under Budget</v>
      </c>
      <c r="O2142" s="38">
        <f t="shared" si="168"/>
        <v>5577.92</v>
      </c>
      <c r="P2142" s="39">
        <f t="shared" si="169"/>
        <v>46023</v>
      </c>
    </row>
    <row r="2143" spans="1:16" ht="15.5" x14ac:dyDescent="0.35">
      <c r="A2143" s="17" t="s">
        <v>2191</v>
      </c>
      <c r="B2143" s="35">
        <v>45918</v>
      </c>
      <c r="C2143" s="17" t="s">
        <v>25</v>
      </c>
      <c r="D2143" s="17" t="s">
        <v>32</v>
      </c>
      <c r="E2143" s="17" t="s">
        <v>169</v>
      </c>
      <c r="F2143" s="17" t="s">
        <v>52</v>
      </c>
      <c r="G2143" s="17" t="s">
        <v>38</v>
      </c>
      <c r="H2143" s="17" t="s">
        <v>2594</v>
      </c>
      <c r="I2143" s="17" t="s">
        <v>30</v>
      </c>
      <c r="J2143" s="36">
        <v>3333.33</v>
      </c>
      <c r="K2143" s="36">
        <v>4728.99</v>
      </c>
      <c r="L2143" s="36">
        <f t="shared" si="165"/>
        <v>1395.6599999999999</v>
      </c>
      <c r="M2143" s="37">
        <f t="shared" si="166"/>
        <v>0.41869841869841867</v>
      </c>
      <c r="N2143" s="17" t="str">
        <f t="shared" si="167"/>
        <v>Over Budget</v>
      </c>
      <c r="O2143" s="38">
        <f t="shared" si="168"/>
        <v>4728.99</v>
      </c>
      <c r="P2143" s="39">
        <f t="shared" si="169"/>
        <v>45901</v>
      </c>
    </row>
    <row r="2144" spans="1:16" ht="15.5" x14ac:dyDescent="0.35">
      <c r="A2144" s="17" t="s">
        <v>2192</v>
      </c>
      <c r="B2144" s="35">
        <v>45804</v>
      </c>
      <c r="C2144" s="17" t="s">
        <v>25</v>
      </c>
      <c r="D2144" s="17" t="s">
        <v>32</v>
      </c>
      <c r="E2144" s="17" t="s">
        <v>109</v>
      </c>
      <c r="F2144" s="17" t="s">
        <v>52</v>
      </c>
      <c r="G2144" s="17" t="s">
        <v>22</v>
      </c>
      <c r="H2144" s="17" t="s">
        <v>2592</v>
      </c>
      <c r="I2144" s="17" t="s">
        <v>23</v>
      </c>
      <c r="J2144" s="36">
        <v>9090.91</v>
      </c>
      <c r="K2144" s="36">
        <v>15802.74</v>
      </c>
      <c r="L2144" s="36">
        <f t="shared" si="165"/>
        <v>6711.83</v>
      </c>
      <c r="M2144" s="37">
        <f t="shared" si="166"/>
        <v>0.73830122616987737</v>
      </c>
      <c r="N2144" s="17" t="str">
        <f t="shared" si="167"/>
        <v>Over Budget</v>
      </c>
      <c r="O2144" s="38">
        <f t="shared" si="168"/>
        <v>15802.74</v>
      </c>
      <c r="P2144" s="39">
        <f t="shared" si="169"/>
        <v>45778</v>
      </c>
    </row>
    <row r="2145" spans="1:16" ht="15.5" x14ac:dyDescent="0.35">
      <c r="A2145" s="17" t="s">
        <v>2193</v>
      </c>
      <c r="B2145" s="35">
        <v>46101</v>
      </c>
      <c r="C2145" s="17" t="s">
        <v>12</v>
      </c>
      <c r="D2145" s="17" t="s">
        <v>26</v>
      </c>
      <c r="E2145" s="17" t="s">
        <v>14</v>
      </c>
      <c r="F2145" s="17" t="s">
        <v>52</v>
      </c>
      <c r="G2145" s="17" t="s">
        <v>82</v>
      </c>
      <c r="H2145" s="17" t="s">
        <v>2591</v>
      </c>
      <c r="I2145" s="17" t="s">
        <v>23</v>
      </c>
      <c r="J2145" s="36">
        <v>4000</v>
      </c>
      <c r="K2145" s="36">
        <v>1772.8</v>
      </c>
      <c r="L2145" s="36">
        <f t="shared" si="165"/>
        <v>-2227.1999999999998</v>
      </c>
      <c r="M2145" s="37">
        <f t="shared" si="166"/>
        <v>-0.55679999999999996</v>
      </c>
      <c r="N2145" s="17" t="str">
        <f t="shared" si="167"/>
        <v>Under Budget</v>
      </c>
      <c r="O2145" s="38">
        <f t="shared" si="168"/>
        <v>-1772.8</v>
      </c>
      <c r="P2145" s="39">
        <f t="shared" si="169"/>
        <v>46082</v>
      </c>
    </row>
    <row r="2146" spans="1:16" ht="15.5" x14ac:dyDescent="0.35">
      <c r="A2146" s="17" t="s">
        <v>2194</v>
      </c>
      <c r="B2146" s="35">
        <v>45983</v>
      </c>
      <c r="C2146" s="17" t="s">
        <v>12</v>
      </c>
      <c r="D2146" s="17" t="s">
        <v>2584</v>
      </c>
      <c r="E2146" s="17" t="s">
        <v>74</v>
      </c>
      <c r="F2146" s="17" t="s">
        <v>15</v>
      </c>
      <c r="G2146" s="17" t="s">
        <v>29</v>
      </c>
      <c r="H2146" s="17" t="s">
        <v>2592</v>
      </c>
      <c r="I2146" s="17" t="s">
        <v>39</v>
      </c>
      <c r="J2146" s="36">
        <v>4666.67</v>
      </c>
      <c r="K2146" s="36">
        <v>3360.43</v>
      </c>
      <c r="L2146" s="36">
        <f t="shared" si="165"/>
        <v>-1306.2400000000002</v>
      </c>
      <c r="M2146" s="37">
        <f t="shared" si="166"/>
        <v>-0.27990837149402042</v>
      </c>
      <c r="N2146" s="17" t="str">
        <f t="shared" si="167"/>
        <v>Under Budget</v>
      </c>
      <c r="O2146" s="38">
        <f t="shared" si="168"/>
        <v>-3360.43</v>
      </c>
      <c r="P2146" s="39">
        <f t="shared" si="169"/>
        <v>45962</v>
      </c>
    </row>
    <row r="2147" spans="1:16" ht="15.5" x14ac:dyDescent="0.35">
      <c r="A2147" s="17" t="s">
        <v>2195</v>
      </c>
      <c r="B2147" s="35">
        <v>46029</v>
      </c>
      <c r="C2147" s="17" t="s">
        <v>12</v>
      </c>
      <c r="D2147" s="17" t="s">
        <v>32</v>
      </c>
      <c r="E2147" s="17" t="s">
        <v>20</v>
      </c>
      <c r="F2147" s="17" t="s">
        <v>34</v>
      </c>
      <c r="G2147" s="17" t="s">
        <v>38</v>
      </c>
      <c r="H2147" s="17" t="s">
        <v>2586</v>
      </c>
      <c r="I2147" s="17" t="s">
        <v>23</v>
      </c>
      <c r="J2147" s="36">
        <v>5820</v>
      </c>
      <c r="K2147" s="36">
        <v>1306.05</v>
      </c>
      <c r="L2147" s="36">
        <f t="shared" si="165"/>
        <v>-4513.95</v>
      </c>
      <c r="M2147" s="37">
        <f t="shared" si="166"/>
        <v>-0.77559278350515459</v>
      </c>
      <c r="N2147" s="17" t="str">
        <f t="shared" si="167"/>
        <v>Under Budget</v>
      </c>
      <c r="O2147" s="38">
        <f t="shared" si="168"/>
        <v>-1306.05</v>
      </c>
      <c r="P2147" s="39">
        <f t="shared" si="169"/>
        <v>46023</v>
      </c>
    </row>
    <row r="2148" spans="1:16" ht="15.5" x14ac:dyDescent="0.35">
      <c r="A2148" s="17" t="s">
        <v>2196</v>
      </c>
      <c r="B2148" s="35">
        <v>45716</v>
      </c>
      <c r="C2148" s="17" t="s">
        <v>25</v>
      </c>
      <c r="D2148" s="17" t="s">
        <v>2584</v>
      </c>
      <c r="E2148" s="17" t="s">
        <v>109</v>
      </c>
      <c r="F2148" s="17" t="s">
        <v>52</v>
      </c>
      <c r="G2148" s="17" t="s">
        <v>38</v>
      </c>
      <c r="H2148" s="17" t="s">
        <v>2591</v>
      </c>
      <c r="I2148" s="17" t="s">
        <v>48</v>
      </c>
      <c r="J2148" s="36">
        <v>13857.14</v>
      </c>
      <c r="K2148" s="36">
        <v>6683.52</v>
      </c>
      <c r="L2148" s="36">
        <f t="shared" si="165"/>
        <v>-7173.619999999999</v>
      </c>
      <c r="M2148" s="37">
        <f t="shared" si="166"/>
        <v>-0.51768402426474724</v>
      </c>
      <c r="N2148" s="17" t="str">
        <f t="shared" si="167"/>
        <v>Under Budget</v>
      </c>
      <c r="O2148" s="38">
        <f t="shared" si="168"/>
        <v>6683.52</v>
      </c>
      <c r="P2148" s="39">
        <f t="shared" si="169"/>
        <v>45689</v>
      </c>
    </row>
    <row r="2149" spans="1:16" ht="15.5" x14ac:dyDescent="0.35">
      <c r="A2149" s="17" t="s">
        <v>2197</v>
      </c>
      <c r="B2149" s="35">
        <v>45944</v>
      </c>
      <c r="C2149" s="17" t="s">
        <v>12</v>
      </c>
      <c r="D2149" s="17" t="s">
        <v>32</v>
      </c>
      <c r="E2149" s="17" t="s">
        <v>14</v>
      </c>
      <c r="F2149" s="17" t="s">
        <v>28</v>
      </c>
      <c r="G2149" s="17" t="s">
        <v>16</v>
      </c>
      <c r="H2149" s="17" t="s">
        <v>2592</v>
      </c>
      <c r="I2149" s="17" t="s">
        <v>23</v>
      </c>
      <c r="J2149" s="36">
        <v>2666.67</v>
      </c>
      <c r="K2149" s="36">
        <v>5126.88</v>
      </c>
      <c r="L2149" s="36">
        <f t="shared" si="165"/>
        <v>2460.21</v>
      </c>
      <c r="M2149" s="37">
        <f t="shared" si="166"/>
        <v>0.92257759677800399</v>
      </c>
      <c r="N2149" s="17" t="str">
        <f t="shared" si="167"/>
        <v>Over Budget</v>
      </c>
      <c r="O2149" s="38">
        <f t="shared" si="168"/>
        <v>-5126.88</v>
      </c>
      <c r="P2149" s="39">
        <f t="shared" si="169"/>
        <v>45931</v>
      </c>
    </row>
    <row r="2150" spans="1:16" ht="15.5" x14ac:dyDescent="0.35">
      <c r="A2150" s="17" t="s">
        <v>2198</v>
      </c>
      <c r="B2150" s="35">
        <v>45975</v>
      </c>
      <c r="C2150" s="17" t="s">
        <v>12</v>
      </c>
      <c r="D2150" s="17" t="s">
        <v>19</v>
      </c>
      <c r="E2150" s="17" t="s">
        <v>65</v>
      </c>
      <c r="F2150" s="17" t="s">
        <v>52</v>
      </c>
      <c r="G2150" s="17" t="s">
        <v>43</v>
      </c>
      <c r="H2150" s="17" t="s">
        <v>2588</v>
      </c>
      <c r="I2150" s="17" t="s">
        <v>48</v>
      </c>
      <c r="J2150" s="36">
        <v>11550</v>
      </c>
      <c r="K2150" s="36">
        <v>1230.23</v>
      </c>
      <c r="L2150" s="36">
        <f t="shared" si="165"/>
        <v>-10319.77</v>
      </c>
      <c r="M2150" s="37">
        <f t="shared" si="166"/>
        <v>-0.89348658008658011</v>
      </c>
      <c r="N2150" s="17" t="str">
        <f t="shared" si="167"/>
        <v>Under Budget</v>
      </c>
      <c r="O2150" s="38">
        <f t="shared" si="168"/>
        <v>-1230.23</v>
      </c>
      <c r="P2150" s="39">
        <f t="shared" si="169"/>
        <v>45962</v>
      </c>
    </row>
    <row r="2151" spans="1:16" ht="15.5" x14ac:dyDescent="0.35">
      <c r="A2151" s="17" t="s">
        <v>2199</v>
      </c>
      <c r="B2151" s="35">
        <v>46202</v>
      </c>
      <c r="C2151" s="17" t="s">
        <v>25</v>
      </c>
      <c r="D2151" s="17" t="s">
        <v>13</v>
      </c>
      <c r="E2151" s="17" t="s">
        <v>33</v>
      </c>
      <c r="F2151" s="17" t="s">
        <v>52</v>
      </c>
      <c r="G2151" s="17" t="s">
        <v>38</v>
      </c>
      <c r="H2151" s="17" t="s">
        <v>2598</v>
      </c>
      <c r="I2151" s="17" t="s">
        <v>30</v>
      </c>
      <c r="J2151" s="36">
        <v>10000</v>
      </c>
      <c r="K2151" s="36">
        <v>14410.16</v>
      </c>
      <c r="L2151" s="36">
        <f t="shared" si="165"/>
        <v>4410.16</v>
      </c>
      <c r="M2151" s="37">
        <f t="shared" si="166"/>
        <v>0.44101599999999996</v>
      </c>
      <c r="N2151" s="17" t="str">
        <f t="shared" si="167"/>
        <v>Over Budget</v>
      </c>
      <c r="O2151" s="38">
        <f t="shared" si="168"/>
        <v>14410.16</v>
      </c>
      <c r="P2151" s="39">
        <f t="shared" si="169"/>
        <v>46174</v>
      </c>
    </row>
    <row r="2152" spans="1:16" ht="15.5" x14ac:dyDescent="0.35">
      <c r="A2152" s="17" t="s">
        <v>2200</v>
      </c>
      <c r="B2152" s="35">
        <v>45683</v>
      </c>
      <c r="C2152" s="17" t="s">
        <v>25</v>
      </c>
      <c r="D2152" s="17" t="s">
        <v>32</v>
      </c>
      <c r="E2152" s="17" t="s">
        <v>109</v>
      </c>
      <c r="F2152" s="17" t="s">
        <v>15</v>
      </c>
      <c r="G2152" s="17" t="s">
        <v>82</v>
      </c>
      <c r="H2152" s="17" t="s">
        <v>80</v>
      </c>
      <c r="I2152" s="17" t="s">
        <v>23</v>
      </c>
      <c r="J2152" s="36">
        <v>9700</v>
      </c>
      <c r="K2152" s="36">
        <v>4190.46</v>
      </c>
      <c r="L2152" s="36">
        <f t="shared" si="165"/>
        <v>-5509.54</v>
      </c>
      <c r="M2152" s="37">
        <f t="shared" si="166"/>
        <v>-0.56799381443298969</v>
      </c>
      <c r="N2152" s="17" t="str">
        <f t="shared" si="167"/>
        <v>Under Budget</v>
      </c>
      <c r="O2152" s="38">
        <f t="shared" si="168"/>
        <v>4190.46</v>
      </c>
      <c r="P2152" s="39">
        <f t="shared" si="169"/>
        <v>45658</v>
      </c>
    </row>
    <row r="2153" spans="1:16" ht="15.5" x14ac:dyDescent="0.35">
      <c r="A2153" s="17" t="s">
        <v>2201</v>
      </c>
      <c r="B2153" s="35">
        <v>45834</v>
      </c>
      <c r="C2153" s="17" t="s">
        <v>12</v>
      </c>
      <c r="D2153" s="17" t="s">
        <v>19</v>
      </c>
      <c r="E2153" s="17" t="s">
        <v>51</v>
      </c>
      <c r="F2153" s="17" t="s">
        <v>15</v>
      </c>
      <c r="G2153" s="17" t="s">
        <v>38</v>
      </c>
      <c r="H2153" s="17" t="s">
        <v>80</v>
      </c>
      <c r="I2153" s="17" t="s">
        <v>48</v>
      </c>
      <c r="J2153" s="36">
        <v>5000</v>
      </c>
      <c r="K2153" s="36">
        <v>4304.25</v>
      </c>
      <c r="L2153" s="36">
        <f t="shared" si="165"/>
        <v>-695.75</v>
      </c>
      <c r="M2153" s="37">
        <f t="shared" si="166"/>
        <v>-0.13915</v>
      </c>
      <c r="N2153" s="17" t="str">
        <f t="shared" si="167"/>
        <v>Under Budget</v>
      </c>
      <c r="O2153" s="38">
        <f t="shared" si="168"/>
        <v>-4304.25</v>
      </c>
      <c r="P2153" s="39">
        <f t="shared" si="169"/>
        <v>45809</v>
      </c>
    </row>
    <row r="2154" spans="1:16" ht="15.5" x14ac:dyDescent="0.35">
      <c r="A2154" s="17" t="s">
        <v>2202</v>
      </c>
      <c r="B2154" s="35">
        <v>46027</v>
      </c>
      <c r="C2154" s="17" t="s">
        <v>12</v>
      </c>
      <c r="D2154" s="17" t="s">
        <v>2584</v>
      </c>
      <c r="E2154" s="17" t="s">
        <v>45</v>
      </c>
      <c r="F2154" s="17" t="s">
        <v>28</v>
      </c>
      <c r="G2154" s="17" t="s">
        <v>38</v>
      </c>
      <c r="H2154" s="17" t="s">
        <v>2589</v>
      </c>
      <c r="I2154" s="17" t="s">
        <v>23</v>
      </c>
      <c r="J2154" s="36">
        <v>6715.38</v>
      </c>
      <c r="K2154" s="36">
        <v>14103.82</v>
      </c>
      <c r="L2154" s="36">
        <f t="shared" si="165"/>
        <v>7388.44</v>
      </c>
      <c r="M2154" s="37">
        <f t="shared" si="166"/>
        <v>1.1002266439129282</v>
      </c>
      <c r="N2154" s="17" t="str">
        <f t="shared" si="167"/>
        <v>Over Budget</v>
      </c>
      <c r="O2154" s="38">
        <f t="shared" si="168"/>
        <v>-14103.82</v>
      </c>
      <c r="P2154" s="39">
        <f t="shared" si="169"/>
        <v>46023</v>
      </c>
    </row>
    <row r="2155" spans="1:16" ht="15.5" x14ac:dyDescent="0.35">
      <c r="A2155" s="17" t="s">
        <v>2203</v>
      </c>
      <c r="B2155" s="35">
        <v>45690</v>
      </c>
      <c r="C2155" s="17" t="s">
        <v>25</v>
      </c>
      <c r="D2155" s="17" t="s">
        <v>36</v>
      </c>
      <c r="E2155" s="17" t="s">
        <v>33</v>
      </c>
      <c r="F2155" s="17" t="s">
        <v>21</v>
      </c>
      <c r="G2155" s="17" t="s">
        <v>38</v>
      </c>
      <c r="H2155" s="17" t="s">
        <v>2591</v>
      </c>
      <c r="I2155" s="17" t="s">
        <v>30</v>
      </c>
      <c r="J2155" s="36">
        <v>13472.22</v>
      </c>
      <c r="K2155" s="36">
        <v>23542.7</v>
      </c>
      <c r="L2155" s="36">
        <f t="shared" si="165"/>
        <v>10070.480000000001</v>
      </c>
      <c r="M2155" s="37">
        <f t="shared" si="166"/>
        <v>0.74749966969066728</v>
      </c>
      <c r="N2155" s="17" t="str">
        <f t="shared" si="167"/>
        <v>Over Budget</v>
      </c>
      <c r="O2155" s="38">
        <f t="shared" si="168"/>
        <v>23542.7</v>
      </c>
      <c r="P2155" s="39">
        <f t="shared" si="169"/>
        <v>45689</v>
      </c>
    </row>
    <row r="2156" spans="1:16" ht="15.5" x14ac:dyDescent="0.35">
      <c r="A2156" s="17" t="s">
        <v>2204</v>
      </c>
      <c r="B2156" s="35">
        <v>45797</v>
      </c>
      <c r="C2156" s="17" t="s">
        <v>12</v>
      </c>
      <c r="D2156" s="17" t="s">
        <v>36</v>
      </c>
      <c r="E2156" s="17" t="s">
        <v>47</v>
      </c>
      <c r="F2156" s="17" t="s">
        <v>34</v>
      </c>
      <c r="G2156" s="17" t="s">
        <v>38</v>
      </c>
      <c r="H2156" s="17" t="s">
        <v>2596</v>
      </c>
      <c r="I2156" s="17" t="s">
        <v>23</v>
      </c>
      <c r="J2156" s="36">
        <v>3888.89</v>
      </c>
      <c r="K2156" s="36">
        <v>3586.38</v>
      </c>
      <c r="L2156" s="36">
        <f t="shared" si="165"/>
        <v>-302.50999999999976</v>
      </c>
      <c r="M2156" s="37">
        <f t="shared" si="166"/>
        <v>-7.7788263489067519E-2</v>
      </c>
      <c r="N2156" s="17" t="str">
        <f t="shared" si="167"/>
        <v>Under Budget</v>
      </c>
      <c r="O2156" s="38">
        <f t="shared" si="168"/>
        <v>-3586.38</v>
      </c>
      <c r="P2156" s="39">
        <f t="shared" si="169"/>
        <v>45778</v>
      </c>
    </row>
    <row r="2157" spans="1:16" ht="15.5" x14ac:dyDescent="0.35">
      <c r="A2157" s="17" t="s">
        <v>2205</v>
      </c>
      <c r="B2157" s="35">
        <v>45771</v>
      </c>
      <c r="C2157" s="17" t="s">
        <v>12</v>
      </c>
      <c r="D2157" s="17" t="s">
        <v>13</v>
      </c>
      <c r="E2157" s="17" t="s">
        <v>45</v>
      </c>
      <c r="F2157" s="17" t="s">
        <v>28</v>
      </c>
      <c r="G2157" s="17" t="s">
        <v>38</v>
      </c>
      <c r="H2157" s="17" t="s">
        <v>2598</v>
      </c>
      <c r="I2157" s="17" t="s">
        <v>23</v>
      </c>
      <c r="J2157" s="36">
        <v>13846.15</v>
      </c>
      <c r="K2157" s="36">
        <v>14898.36</v>
      </c>
      <c r="L2157" s="36">
        <f t="shared" si="165"/>
        <v>1052.2100000000009</v>
      </c>
      <c r="M2157" s="37">
        <f t="shared" si="166"/>
        <v>7.5992965553601619E-2</v>
      </c>
      <c r="N2157" s="17" t="str">
        <f t="shared" si="167"/>
        <v>Over Budget</v>
      </c>
      <c r="O2157" s="38">
        <f t="shared" si="168"/>
        <v>-14898.36</v>
      </c>
      <c r="P2157" s="39">
        <f t="shared" si="169"/>
        <v>45748</v>
      </c>
    </row>
    <row r="2158" spans="1:16" ht="15.5" x14ac:dyDescent="0.35">
      <c r="A2158" s="17" t="s">
        <v>2206</v>
      </c>
      <c r="B2158" s="35">
        <v>45758</v>
      </c>
      <c r="C2158" s="17" t="s">
        <v>12</v>
      </c>
      <c r="D2158" s="17" t="s">
        <v>19</v>
      </c>
      <c r="E2158" s="17" t="s">
        <v>77</v>
      </c>
      <c r="F2158" s="17" t="s">
        <v>52</v>
      </c>
      <c r="G2158" s="17" t="s">
        <v>43</v>
      </c>
      <c r="H2158" s="17" t="s">
        <v>2594</v>
      </c>
      <c r="I2158" s="17" t="s">
        <v>48</v>
      </c>
      <c r="J2158" s="36">
        <v>2750</v>
      </c>
      <c r="K2158" s="36">
        <v>3978.82</v>
      </c>
      <c r="L2158" s="36">
        <f t="shared" si="165"/>
        <v>1228.8200000000002</v>
      </c>
      <c r="M2158" s="37">
        <f t="shared" si="166"/>
        <v>0.44684363636363644</v>
      </c>
      <c r="N2158" s="17" t="str">
        <f t="shared" si="167"/>
        <v>Over Budget</v>
      </c>
      <c r="O2158" s="38">
        <f t="shared" si="168"/>
        <v>-3978.82</v>
      </c>
      <c r="P2158" s="39">
        <f t="shared" si="169"/>
        <v>45748</v>
      </c>
    </row>
    <row r="2159" spans="1:16" ht="15.5" x14ac:dyDescent="0.35">
      <c r="A2159" s="17" t="s">
        <v>2207</v>
      </c>
      <c r="B2159" s="35">
        <v>45690</v>
      </c>
      <c r="C2159" s="17" t="s">
        <v>25</v>
      </c>
      <c r="D2159" s="17" t="s">
        <v>26</v>
      </c>
      <c r="E2159" s="17" t="s">
        <v>33</v>
      </c>
      <c r="F2159" s="17" t="s">
        <v>28</v>
      </c>
      <c r="G2159" s="17" t="s">
        <v>38</v>
      </c>
      <c r="H2159" s="17" t="s">
        <v>2595</v>
      </c>
      <c r="I2159" s="17" t="s">
        <v>39</v>
      </c>
      <c r="J2159" s="36">
        <v>13472.22</v>
      </c>
      <c r="K2159" s="36">
        <v>15671.75</v>
      </c>
      <c r="L2159" s="36">
        <f t="shared" si="165"/>
        <v>2199.5300000000007</v>
      </c>
      <c r="M2159" s="37">
        <f t="shared" si="166"/>
        <v>0.16326410940438923</v>
      </c>
      <c r="N2159" s="17" t="str">
        <f t="shared" si="167"/>
        <v>Over Budget</v>
      </c>
      <c r="O2159" s="38">
        <f t="shared" si="168"/>
        <v>15671.75</v>
      </c>
      <c r="P2159" s="39">
        <f t="shared" si="169"/>
        <v>45689</v>
      </c>
    </row>
    <row r="2160" spans="1:16" ht="15.5" x14ac:dyDescent="0.35">
      <c r="A2160" s="17" t="s">
        <v>2208</v>
      </c>
      <c r="B2160" s="35">
        <v>45879</v>
      </c>
      <c r="C2160" s="17" t="s">
        <v>12</v>
      </c>
      <c r="D2160" s="17" t="s">
        <v>26</v>
      </c>
      <c r="E2160" s="17" t="s">
        <v>45</v>
      </c>
      <c r="F2160" s="17" t="s">
        <v>21</v>
      </c>
      <c r="G2160" s="17" t="s">
        <v>38</v>
      </c>
      <c r="H2160" s="17" t="s">
        <v>2586</v>
      </c>
      <c r="I2160" s="17" t="s">
        <v>48</v>
      </c>
      <c r="J2160" s="36">
        <v>8181.82</v>
      </c>
      <c r="K2160" s="36">
        <v>14191.56</v>
      </c>
      <c r="L2160" s="36">
        <f t="shared" si="165"/>
        <v>6009.74</v>
      </c>
      <c r="M2160" s="37">
        <f t="shared" si="166"/>
        <v>0.7345236145503079</v>
      </c>
      <c r="N2160" s="17" t="str">
        <f t="shared" si="167"/>
        <v>Over Budget</v>
      </c>
      <c r="O2160" s="38">
        <f t="shared" si="168"/>
        <v>-14191.56</v>
      </c>
      <c r="P2160" s="39">
        <f t="shared" si="169"/>
        <v>45870</v>
      </c>
    </row>
    <row r="2161" spans="1:16" ht="15.5" x14ac:dyDescent="0.35">
      <c r="A2161" s="17" t="s">
        <v>2209</v>
      </c>
      <c r="B2161" s="35">
        <v>45919</v>
      </c>
      <c r="C2161" s="17" t="s">
        <v>12</v>
      </c>
      <c r="D2161" s="17" t="s">
        <v>2585</v>
      </c>
      <c r="E2161" s="17" t="s">
        <v>45</v>
      </c>
      <c r="F2161" s="17" t="s">
        <v>28</v>
      </c>
      <c r="G2161" s="17" t="s">
        <v>38</v>
      </c>
      <c r="H2161" s="17" t="s">
        <v>2590</v>
      </c>
      <c r="I2161" s="17" t="s">
        <v>23</v>
      </c>
      <c r="J2161" s="36">
        <v>7500</v>
      </c>
      <c r="K2161" s="36">
        <v>17086.990000000002</v>
      </c>
      <c r="L2161" s="36">
        <f t="shared" si="165"/>
        <v>9586.9900000000016</v>
      </c>
      <c r="M2161" s="37">
        <f t="shared" si="166"/>
        <v>1.2782653333333336</v>
      </c>
      <c r="N2161" s="17" t="str">
        <f t="shared" si="167"/>
        <v>Over Budget</v>
      </c>
      <c r="O2161" s="38">
        <f t="shared" si="168"/>
        <v>-17086.990000000002</v>
      </c>
      <c r="P2161" s="39">
        <f t="shared" si="169"/>
        <v>45901</v>
      </c>
    </row>
    <row r="2162" spans="1:16" ht="15.5" x14ac:dyDescent="0.35">
      <c r="A2162" s="17" t="s">
        <v>2210</v>
      </c>
      <c r="B2162" s="35">
        <v>45748</v>
      </c>
      <c r="C2162" s="17" t="s">
        <v>12</v>
      </c>
      <c r="D2162" s="17" t="s">
        <v>32</v>
      </c>
      <c r="E2162" s="17" t="s">
        <v>74</v>
      </c>
      <c r="F2162" s="17" t="s">
        <v>52</v>
      </c>
      <c r="G2162" s="17" t="s">
        <v>22</v>
      </c>
      <c r="H2162" s="17" t="s">
        <v>2597</v>
      </c>
      <c r="I2162" s="17" t="s">
        <v>39</v>
      </c>
      <c r="J2162" s="36">
        <v>5714.29</v>
      </c>
      <c r="K2162" s="36">
        <v>5418.98</v>
      </c>
      <c r="L2162" s="36">
        <f t="shared" si="165"/>
        <v>-295.3100000000004</v>
      </c>
      <c r="M2162" s="37">
        <f t="shared" si="166"/>
        <v>-5.167921124059164E-2</v>
      </c>
      <c r="N2162" s="17" t="str">
        <f t="shared" si="167"/>
        <v>Under Budget</v>
      </c>
      <c r="O2162" s="38">
        <f t="shared" si="168"/>
        <v>-5418.98</v>
      </c>
      <c r="P2162" s="39">
        <f t="shared" si="169"/>
        <v>45748</v>
      </c>
    </row>
    <row r="2163" spans="1:16" ht="15.5" x14ac:dyDescent="0.35">
      <c r="A2163" s="17" t="s">
        <v>2211</v>
      </c>
      <c r="B2163" s="35">
        <v>45768</v>
      </c>
      <c r="C2163" s="17" t="s">
        <v>12</v>
      </c>
      <c r="D2163" s="17" t="s">
        <v>36</v>
      </c>
      <c r="E2163" s="17" t="s">
        <v>77</v>
      </c>
      <c r="F2163" s="17" t="s">
        <v>52</v>
      </c>
      <c r="G2163" s="17" t="s">
        <v>38</v>
      </c>
      <c r="H2163" s="17" t="s">
        <v>2594</v>
      </c>
      <c r="I2163" s="17" t="s">
        <v>30</v>
      </c>
      <c r="J2163" s="36">
        <v>2750</v>
      </c>
      <c r="K2163" s="36">
        <v>3978.18</v>
      </c>
      <c r="L2163" s="36">
        <f t="shared" si="165"/>
        <v>1228.1799999999998</v>
      </c>
      <c r="M2163" s="37">
        <f t="shared" si="166"/>
        <v>0.44661090909090906</v>
      </c>
      <c r="N2163" s="17" t="str">
        <f t="shared" si="167"/>
        <v>Over Budget</v>
      </c>
      <c r="O2163" s="38">
        <f t="shared" si="168"/>
        <v>-3978.18</v>
      </c>
      <c r="P2163" s="39">
        <f t="shared" si="169"/>
        <v>45748</v>
      </c>
    </row>
    <row r="2164" spans="1:16" ht="15.5" x14ac:dyDescent="0.35">
      <c r="A2164" s="17" t="s">
        <v>2212</v>
      </c>
      <c r="B2164" s="35">
        <v>45668</v>
      </c>
      <c r="C2164" s="17" t="s">
        <v>12</v>
      </c>
      <c r="D2164" s="17" t="s">
        <v>32</v>
      </c>
      <c r="E2164" s="17" t="s">
        <v>65</v>
      </c>
      <c r="F2164" s="17" t="s">
        <v>28</v>
      </c>
      <c r="G2164" s="17" t="s">
        <v>22</v>
      </c>
      <c r="H2164" s="17" t="s">
        <v>2590</v>
      </c>
      <c r="I2164" s="17" t="s">
        <v>48</v>
      </c>
      <c r="J2164" s="36">
        <v>3810.71</v>
      </c>
      <c r="K2164" s="36">
        <v>2601.7399999999998</v>
      </c>
      <c r="L2164" s="36">
        <f t="shared" si="165"/>
        <v>-1208.9700000000003</v>
      </c>
      <c r="M2164" s="37">
        <f t="shared" si="166"/>
        <v>-0.3172558394629873</v>
      </c>
      <c r="N2164" s="17" t="str">
        <f t="shared" si="167"/>
        <v>Under Budget</v>
      </c>
      <c r="O2164" s="38">
        <f t="shared" si="168"/>
        <v>-2601.7399999999998</v>
      </c>
      <c r="P2164" s="39">
        <f t="shared" si="169"/>
        <v>45658</v>
      </c>
    </row>
    <row r="2165" spans="1:16" ht="15.5" x14ac:dyDescent="0.35">
      <c r="A2165" s="17" t="s">
        <v>2213</v>
      </c>
      <c r="B2165" s="35">
        <v>45706</v>
      </c>
      <c r="C2165" s="17" t="s">
        <v>12</v>
      </c>
      <c r="D2165" s="17" t="s">
        <v>19</v>
      </c>
      <c r="E2165" s="17" t="s">
        <v>65</v>
      </c>
      <c r="F2165" s="17" t="s">
        <v>15</v>
      </c>
      <c r="G2165" s="17" t="s">
        <v>43</v>
      </c>
      <c r="H2165" s="17" t="s">
        <v>80</v>
      </c>
      <c r="I2165" s="17" t="s">
        <v>23</v>
      </c>
      <c r="J2165" s="36">
        <v>7621.43</v>
      </c>
      <c r="K2165" s="36">
        <v>7824.93</v>
      </c>
      <c r="L2165" s="36">
        <f t="shared" si="165"/>
        <v>203.5</v>
      </c>
      <c r="M2165" s="37">
        <f t="shared" si="166"/>
        <v>2.6701025922956714E-2</v>
      </c>
      <c r="N2165" s="17" t="str">
        <f t="shared" si="167"/>
        <v>Over Budget</v>
      </c>
      <c r="O2165" s="38">
        <f t="shared" si="168"/>
        <v>-7824.93</v>
      </c>
      <c r="P2165" s="39">
        <f t="shared" si="169"/>
        <v>45689</v>
      </c>
    </row>
    <row r="2166" spans="1:16" ht="15.5" x14ac:dyDescent="0.35">
      <c r="A2166" s="17" t="s">
        <v>2214</v>
      </c>
      <c r="B2166" s="35">
        <v>46059</v>
      </c>
      <c r="C2166" s="17" t="s">
        <v>12</v>
      </c>
      <c r="D2166" s="17" t="s">
        <v>19</v>
      </c>
      <c r="E2166" s="17" t="s">
        <v>47</v>
      </c>
      <c r="F2166" s="17" t="s">
        <v>52</v>
      </c>
      <c r="G2166" s="17" t="s">
        <v>38</v>
      </c>
      <c r="H2166" s="17" t="s">
        <v>2593</v>
      </c>
      <c r="I2166" s="17" t="s">
        <v>30</v>
      </c>
      <c r="J2166" s="36">
        <v>5658.33</v>
      </c>
      <c r="K2166" s="36">
        <v>3630.68</v>
      </c>
      <c r="L2166" s="36">
        <f t="shared" si="165"/>
        <v>-2027.65</v>
      </c>
      <c r="M2166" s="37">
        <f t="shared" si="166"/>
        <v>-0.35834778105907578</v>
      </c>
      <c r="N2166" s="17" t="str">
        <f t="shared" si="167"/>
        <v>Under Budget</v>
      </c>
      <c r="O2166" s="38">
        <f t="shared" si="168"/>
        <v>-3630.68</v>
      </c>
      <c r="P2166" s="39">
        <f t="shared" si="169"/>
        <v>46054</v>
      </c>
    </row>
    <row r="2167" spans="1:16" ht="15.5" x14ac:dyDescent="0.35">
      <c r="A2167" s="17" t="s">
        <v>2215</v>
      </c>
      <c r="B2167" s="35">
        <v>46185</v>
      </c>
      <c r="C2167" s="17" t="s">
        <v>12</v>
      </c>
      <c r="D2167" s="17" t="s">
        <v>36</v>
      </c>
      <c r="E2167" s="17" t="s">
        <v>74</v>
      </c>
      <c r="F2167" s="17" t="s">
        <v>34</v>
      </c>
      <c r="G2167" s="17" t="s">
        <v>82</v>
      </c>
      <c r="H2167" s="17" t="s">
        <v>2597</v>
      </c>
      <c r="I2167" s="17" t="s">
        <v>48</v>
      </c>
      <c r="J2167" s="36">
        <v>3076.92</v>
      </c>
      <c r="K2167" s="36">
        <v>1741.16</v>
      </c>
      <c r="L2167" s="36">
        <f t="shared" si="165"/>
        <v>-1335.76</v>
      </c>
      <c r="M2167" s="37">
        <f t="shared" si="166"/>
        <v>-0.43412243412243412</v>
      </c>
      <c r="N2167" s="17" t="str">
        <f t="shared" si="167"/>
        <v>Under Budget</v>
      </c>
      <c r="O2167" s="38">
        <f t="shared" si="168"/>
        <v>-1741.16</v>
      </c>
      <c r="P2167" s="39">
        <f t="shared" si="169"/>
        <v>46174</v>
      </c>
    </row>
    <row r="2168" spans="1:16" ht="15.5" x14ac:dyDescent="0.35">
      <c r="A2168" s="17" t="s">
        <v>2216</v>
      </c>
      <c r="B2168" s="35">
        <v>46101</v>
      </c>
      <c r="C2168" s="17" t="s">
        <v>25</v>
      </c>
      <c r="D2168" s="17" t="s">
        <v>32</v>
      </c>
      <c r="E2168" s="17" t="s">
        <v>33</v>
      </c>
      <c r="F2168" s="17" t="s">
        <v>21</v>
      </c>
      <c r="G2168" s="17" t="s">
        <v>38</v>
      </c>
      <c r="H2168" s="17" t="s">
        <v>2597</v>
      </c>
      <c r="I2168" s="17" t="s">
        <v>30</v>
      </c>
      <c r="J2168" s="36">
        <v>11363.64</v>
      </c>
      <c r="K2168" s="36">
        <v>5804.09</v>
      </c>
      <c r="L2168" s="36">
        <f t="shared" si="165"/>
        <v>-5559.5499999999993</v>
      </c>
      <c r="M2168" s="37">
        <f t="shared" si="166"/>
        <v>-0.48924024344312206</v>
      </c>
      <c r="N2168" s="17" t="str">
        <f t="shared" si="167"/>
        <v>Under Budget</v>
      </c>
      <c r="O2168" s="38">
        <f t="shared" si="168"/>
        <v>5804.09</v>
      </c>
      <c r="P2168" s="39">
        <f t="shared" si="169"/>
        <v>46082</v>
      </c>
    </row>
    <row r="2169" spans="1:16" ht="15.5" x14ac:dyDescent="0.35">
      <c r="A2169" s="17" t="s">
        <v>2217</v>
      </c>
      <c r="B2169" s="35">
        <v>45756</v>
      </c>
      <c r="C2169" s="17" t="s">
        <v>12</v>
      </c>
      <c r="D2169" s="17" t="s">
        <v>36</v>
      </c>
      <c r="E2169" s="17" t="s">
        <v>77</v>
      </c>
      <c r="F2169" s="17" t="s">
        <v>28</v>
      </c>
      <c r="G2169" s="17" t="s">
        <v>38</v>
      </c>
      <c r="H2169" s="17" t="s">
        <v>80</v>
      </c>
      <c r="I2169" s="17" t="s">
        <v>39</v>
      </c>
      <c r="J2169" s="36">
        <v>2750</v>
      </c>
      <c r="K2169" s="36">
        <v>2359.61</v>
      </c>
      <c r="L2169" s="36">
        <f t="shared" si="165"/>
        <v>-390.38999999999987</v>
      </c>
      <c r="M2169" s="37">
        <f t="shared" si="166"/>
        <v>-0.14195999999999995</v>
      </c>
      <c r="N2169" s="17" t="str">
        <f t="shared" si="167"/>
        <v>Under Budget</v>
      </c>
      <c r="O2169" s="38">
        <f t="shared" si="168"/>
        <v>-2359.61</v>
      </c>
      <c r="P2169" s="39">
        <f t="shared" si="169"/>
        <v>45748</v>
      </c>
    </row>
    <row r="2170" spans="1:16" ht="15.5" x14ac:dyDescent="0.35">
      <c r="A2170" s="17" t="s">
        <v>2218</v>
      </c>
      <c r="B2170" s="35">
        <v>45712</v>
      </c>
      <c r="C2170" s="17" t="s">
        <v>25</v>
      </c>
      <c r="D2170" s="17" t="s">
        <v>32</v>
      </c>
      <c r="E2170" s="17" t="s">
        <v>109</v>
      </c>
      <c r="F2170" s="17" t="s">
        <v>52</v>
      </c>
      <c r="G2170" s="17" t="s">
        <v>38</v>
      </c>
      <c r="H2170" s="17" t="s">
        <v>2597</v>
      </c>
      <c r="I2170" s="17" t="s">
        <v>39</v>
      </c>
      <c r="J2170" s="36">
        <v>13857.14</v>
      </c>
      <c r="K2170" s="36">
        <v>3048.71</v>
      </c>
      <c r="L2170" s="36">
        <f t="shared" si="165"/>
        <v>-10808.43</v>
      </c>
      <c r="M2170" s="37">
        <f t="shared" si="166"/>
        <v>-0.77998995463710408</v>
      </c>
      <c r="N2170" s="17" t="str">
        <f t="shared" si="167"/>
        <v>Under Budget</v>
      </c>
      <c r="O2170" s="38">
        <f t="shared" si="168"/>
        <v>3048.71</v>
      </c>
      <c r="P2170" s="39">
        <f t="shared" si="169"/>
        <v>45689</v>
      </c>
    </row>
    <row r="2171" spans="1:16" ht="15.5" x14ac:dyDescent="0.35">
      <c r="A2171" s="17" t="s">
        <v>2219</v>
      </c>
      <c r="B2171" s="35">
        <v>45868</v>
      </c>
      <c r="C2171" s="17" t="s">
        <v>25</v>
      </c>
      <c r="D2171" s="17" t="s">
        <v>19</v>
      </c>
      <c r="E2171" s="17" t="s">
        <v>109</v>
      </c>
      <c r="F2171" s="17" t="s">
        <v>34</v>
      </c>
      <c r="G2171" s="17" t="s">
        <v>43</v>
      </c>
      <c r="H2171" s="17" t="s">
        <v>2588</v>
      </c>
      <c r="I2171" s="17" t="s">
        <v>30</v>
      </c>
      <c r="J2171" s="36">
        <v>7142.86</v>
      </c>
      <c r="K2171" s="36">
        <v>10735.17</v>
      </c>
      <c r="L2171" s="36">
        <f t="shared" si="165"/>
        <v>3592.3100000000004</v>
      </c>
      <c r="M2171" s="37">
        <f t="shared" si="166"/>
        <v>0.50292319883072056</v>
      </c>
      <c r="N2171" s="17" t="str">
        <f t="shared" si="167"/>
        <v>Over Budget</v>
      </c>
      <c r="O2171" s="38">
        <f t="shared" si="168"/>
        <v>10735.17</v>
      </c>
      <c r="P2171" s="39">
        <f t="shared" si="169"/>
        <v>45839</v>
      </c>
    </row>
    <row r="2172" spans="1:16" ht="15.5" x14ac:dyDescent="0.35">
      <c r="A2172" s="17" t="s">
        <v>2220</v>
      </c>
      <c r="B2172" s="35">
        <v>45933</v>
      </c>
      <c r="C2172" s="17" t="s">
        <v>25</v>
      </c>
      <c r="D2172" s="17" t="s">
        <v>32</v>
      </c>
      <c r="E2172" s="17" t="s">
        <v>33</v>
      </c>
      <c r="F2172" s="17" t="s">
        <v>52</v>
      </c>
      <c r="G2172" s="17" t="s">
        <v>82</v>
      </c>
      <c r="H2172" s="17" t="s">
        <v>60</v>
      </c>
      <c r="I2172" s="17" t="s">
        <v>23</v>
      </c>
      <c r="J2172" s="36">
        <v>8928.57</v>
      </c>
      <c r="K2172" s="36">
        <v>19399.900000000001</v>
      </c>
      <c r="L2172" s="36">
        <f t="shared" si="165"/>
        <v>10471.330000000002</v>
      </c>
      <c r="M2172" s="37">
        <f t="shared" si="166"/>
        <v>1.172789147646264</v>
      </c>
      <c r="N2172" s="17" t="str">
        <f t="shared" si="167"/>
        <v>Over Budget</v>
      </c>
      <c r="O2172" s="38">
        <f t="shared" si="168"/>
        <v>19399.900000000001</v>
      </c>
      <c r="P2172" s="39">
        <f t="shared" si="169"/>
        <v>45931</v>
      </c>
    </row>
    <row r="2173" spans="1:16" ht="15.5" x14ac:dyDescent="0.35">
      <c r="A2173" s="17" t="s">
        <v>2221</v>
      </c>
      <c r="B2173" s="35">
        <v>46163</v>
      </c>
      <c r="C2173" s="17" t="s">
        <v>25</v>
      </c>
      <c r="D2173" s="17" t="s">
        <v>32</v>
      </c>
      <c r="E2173" s="17" t="s">
        <v>33</v>
      </c>
      <c r="F2173" s="17" t="s">
        <v>34</v>
      </c>
      <c r="G2173" s="17" t="s">
        <v>22</v>
      </c>
      <c r="H2173" s="17" t="s">
        <v>2592</v>
      </c>
      <c r="I2173" s="17" t="s">
        <v>17</v>
      </c>
      <c r="J2173" s="36">
        <v>10869.57</v>
      </c>
      <c r="K2173" s="36">
        <v>18822.77</v>
      </c>
      <c r="L2173" s="36">
        <f t="shared" si="165"/>
        <v>7953.2000000000007</v>
      </c>
      <c r="M2173" s="37">
        <f t="shared" si="166"/>
        <v>0.73169407805460573</v>
      </c>
      <c r="N2173" s="17" t="str">
        <f t="shared" si="167"/>
        <v>Over Budget</v>
      </c>
      <c r="O2173" s="38">
        <f t="shared" si="168"/>
        <v>18822.77</v>
      </c>
      <c r="P2173" s="39">
        <f t="shared" si="169"/>
        <v>46143</v>
      </c>
    </row>
    <row r="2174" spans="1:16" ht="15.5" x14ac:dyDescent="0.35">
      <c r="A2174" s="17" t="s">
        <v>2222</v>
      </c>
      <c r="B2174" s="35">
        <v>46108</v>
      </c>
      <c r="C2174" s="17" t="s">
        <v>12</v>
      </c>
      <c r="D2174" s="17" t="s">
        <v>2584</v>
      </c>
      <c r="E2174" s="17" t="s">
        <v>41</v>
      </c>
      <c r="F2174" s="17" t="s">
        <v>34</v>
      </c>
      <c r="G2174" s="17" t="s">
        <v>29</v>
      </c>
      <c r="H2174" s="17" t="s">
        <v>80</v>
      </c>
      <c r="I2174" s="17" t="s">
        <v>30</v>
      </c>
      <c r="J2174" s="36">
        <v>6500</v>
      </c>
      <c r="K2174" s="36">
        <v>11052.05</v>
      </c>
      <c r="L2174" s="36">
        <f t="shared" si="165"/>
        <v>4552.0499999999993</v>
      </c>
      <c r="M2174" s="37">
        <f t="shared" si="166"/>
        <v>0.70031538461538445</v>
      </c>
      <c r="N2174" s="17" t="str">
        <f t="shared" si="167"/>
        <v>Over Budget</v>
      </c>
      <c r="O2174" s="38">
        <f t="shared" si="168"/>
        <v>-11052.05</v>
      </c>
      <c r="P2174" s="39">
        <f t="shared" si="169"/>
        <v>46082</v>
      </c>
    </row>
    <row r="2175" spans="1:16" ht="15.5" x14ac:dyDescent="0.35">
      <c r="A2175" s="17" t="s">
        <v>2223</v>
      </c>
      <c r="B2175" s="35">
        <v>46113</v>
      </c>
      <c r="C2175" s="17" t="s">
        <v>25</v>
      </c>
      <c r="D2175" s="17" t="s">
        <v>26</v>
      </c>
      <c r="E2175" s="17" t="s">
        <v>27</v>
      </c>
      <c r="F2175" s="17" t="s">
        <v>15</v>
      </c>
      <c r="G2175" s="17" t="s">
        <v>22</v>
      </c>
      <c r="H2175" s="17" t="s">
        <v>2593</v>
      </c>
      <c r="I2175" s="17" t="s">
        <v>48</v>
      </c>
      <c r="J2175" s="36">
        <v>20000</v>
      </c>
      <c r="K2175" s="36">
        <v>4856.5</v>
      </c>
      <c r="L2175" s="36">
        <f t="shared" si="165"/>
        <v>-15143.5</v>
      </c>
      <c r="M2175" s="37">
        <f t="shared" si="166"/>
        <v>-0.75717500000000004</v>
      </c>
      <c r="N2175" s="17" t="str">
        <f t="shared" si="167"/>
        <v>Under Budget</v>
      </c>
      <c r="O2175" s="38">
        <f t="shared" si="168"/>
        <v>4856.5</v>
      </c>
      <c r="P2175" s="39">
        <f t="shared" si="169"/>
        <v>46113</v>
      </c>
    </row>
    <row r="2176" spans="1:16" ht="15.5" x14ac:dyDescent="0.35">
      <c r="A2176" s="17" t="s">
        <v>2224</v>
      </c>
      <c r="B2176" s="35">
        <v>46007</v>
      </c>
      <c r="C2176" s="17" t="s">
        <v>25</v>
      </c>
      <c r="D2176" s="17" t="s">
        <v>19</v>
      </c>
      <c r="E2176" s="17" t="s">
        <v>109</v>
      </c>
      <c r="F2176" s="17" t="s">
        <v>21</v>
      </c>
      <c r="G2176" s="17" t="s">
        <v>16</v>
      </c>
      <c r="H2176" s="17" t="s">
        <v>2588</v>
      </c>
      <c r="I2176" s="17" t="s">
        <v>23</v>
      </c>
      <c r="J2176" s="36">
        <v>9545.4500000000007</v>
      </c>
      <c r="K2176" s="36">
        <v>575.78</v>
      </c>
      <c r="L2176" s="36">
        <f t="shared" si="165"/>
        <v>-8969.67</v>
      </c>
      <c r="M2176" s="37">
        <f t="shared" si="166"/>
        <v>-0.93968016175245794</v>
      </c>
      <c r="N2176" s="17" t="str">
        <f t="shared" si="167"/>
        <v>Under Budget</v>
      </c>
      <c r="O2176" s="38">
        <f t="shared" si="168"/>
        <v>575.78</v>
      </c>
      <c r="P2176" s="39">
        <f t="shared" si="169"/>
        <v>45992</v>
      </c>
    </row>
    <row r="2177" spans="1:16" ht="15.5" x14ac:dyDescent="0.35">
      <c r="A2177" s="17" t="s">
        <v>2225</v>
      </c>
      <c r="B2177" s="35">
        <v>45774</v>
      </c>
      <c r="C2177" s="17" t="s">
        <v>12</v>
      </c>
      <c r="D2177" s="17" t="s">
        <v>26</v>
      </c>
      <c r="E2177" s="17" t="s">
        <v>37</v>
      </c>
      <c r="F2177" s="17" t="s">
        <v>34</v>
      </c>
      <c r="G2177" s="17" t="s">
        <v>38</v>
      </c>
      <c r="H2177" s="17" t="s">
        <v>2596</v>
      </c>
      <c r="I2177" s="17" t="s">
        <v>48</v>
      </c>
      <c r="J2177" s="36">
        <v>9333.33</v>
      </c>
      <c r="K2177" s="36">
        <v>1065.3</v>
      </c>
      <c r="L2177" s="36">
        <f t="shared" si="165"/>
        <v>-8268.0300000000007</v>
      </c>
      <c r="M2177" s="37">
        <f t="shared" si="166"/>
        <v>-0.8858606735216692</v>
      </c>
      <c r="N2177" s="17" t="str">
        <f t="shared" si="167"/>
        <v>Under Budget</v>
      </c>
      <c r="O2177" s="38">
        <f t="shared" si="168"/>
        <v>-1065.3</v>
      </c>
      <c r="P2177" s="39">
        <f t="shared" si="169"/>
        <v>45748</v>
      </c>
    </row>
    <row r="2178" spans="1:16" ht="15.5" x14ac:dyDescent="0.35">
      <c r="A2178" s="17" t="s">
        <v>2226</v>
      </c>
      <c r="B2178" s="35">
        <v>46013</v>
      </c>
      <c r="C2178" s="17" t="s">
        <v>12</v>
      </c>
      <c r="D2178" s="17" t="s">
        <v>19</v>
      </c>
      <c r="E2178" s="17" t="s">
        <v>41</v>
      </c>
      <c r="F2178" s="17" t="s">
        <v>52</v>
      </c>
      <c r="G2178" s="17" t="s">
        <v>43</v>
      </c>
      <c r="H2178" s="17" t="s">
        <v>80</v>
      </c>
      <c r="I2178" s="17" t="s">
        <v>48</v>
      </c>
      <c r="J2178" s="36">
        <v>5250</v>
      </c>
      <c r="K2178" s="36">
        <v>2555.04</v>
      </c>
      <c r="L2178" s="36">
        <f t="shared" si="165"/>
        <v>-2694.96</v>
      </c>
      <c r="M2178" s="37">
        <f t="shared" si="166"/>
        <v>-0.51332571428571427</v>
      </c>
      <c r="N2178" s="17" t="str">
        <f t="shared" si="167"/>
        <v>Under Budget</v>
      </c>
      <c r="O2178" s="38">
        <f t="shared" si="168"/>
        <v>-2555.04</v>
      </c>
      <c r="P2178" s="39">
        <f t="shared" si="169"/>
        <v>45992</v>
      </c>
    </row>
    <row r="2179" spans="1:16" ht="15.5" x14ac:dyDescent="0.35">
      <c r="A2179" s="17" t="s">
        <v>2227</v>
      </c>
      <c r="B2179" s="35">
        <v>45688</v>
      </c>
      <c r="C2179" s="17" t="s">
        <v>12</v>
      </c>
      <c r="D2179" s="17" t="s">
        <v>2585</v>
      </c>
      <c r="E2179" s="17" t="s">
        <v>45</v>
      </c>
      <c r="F2179" s="17" t="s">
        <v>34</v>
      </c>
      <c r="G2179" s="17" t="s">
        <v>38</v>
      </c>
      <c r="H2179" s="17" t="s">
        <v>2587</v>
      </c>
      <c r="I2179" s="17" t="s">
        <v>23</v>
      </c>
      <c r="J2179" s="36">
        <v>7591.3</v>
      </c>
      <c r="K2179" s="36">
        <v>10474.39</v>
      </c>
      <c r="L2179" s="36">
        <f t="shared" ref="L2179:L2242" si="170">K2179-J2179</f>
        <v>2883.0899999999992</v>
      </c>
      <c r="M2179" s="37">
        <f t="shared" ref="M2179:M2242" si="171">IF(J2179=0,0,L2179/J2179)</f>
        <v>0.37978870549181287</v>
      </c>
      <c r="N2179" s="17" t="str">
        <f t="shared" ref="N2179:N2242" si="172">IF(J2179=0,"No Budget",IF(K2179&gt;J2179,"Over Budget",IF(K2179&lt;J2179,"Under Budget","On Budget")))</f>
        <v>Over Budget</v>
      </c>
      <c r="O2179" s="38">
        <f t="shared" ref="O2179:O2242" si="173">IF(C2179="Revenue",K2179,-K2179)</f>
        <v>-10474.39</v>
      </c>
      <c r="P2179" s="39">
        <f t="shared" ref="P2179:P2242" si="174">DATE(YEAR(B2179),MONTH(B2179),1)</f>
        <v>45658</v>
      </c>
    </row>
    <row r="2180" spans="1:16" ht="15.5" x14ac:dyDescent="0.35">
      <c r="A2180" s="17" t="s">
        <v>2228</v>
      </c>
      <c r="B2180" s="35">
        <v>45880</v>
      </c>
      <c r="C2180" s="17" t="s">
        <v>12</v>
      </c>
      <c r="D2180" s="17" t="s">
        <v>32</v>
      </c>
      <c r="E2180" s="17" t="s">
        <v>37</v>
      </c>
      <c r="F2180" s="17" t="s">
        <v>28</v>
      </c>
      <c r="G2180" s="17" t="s">
        <v>38</v>
      </c>
      <c r="H2180" s="17" t="s">
        <v>80</v>
      </c>
      <c r="I2180" s="17" t="s">
        <v>23</v>
      </c>
      <c r="J2180" s="36">
        <v>4666.67</v>
      </c>
      <c r="K2180" s="36">
        <v>2066.58</v>
      </c>
      <c r="L2180" s="36">
        <f t="shared" si="170"/>
        <v>-2600.09</v>
      </c>
      <c r="M2180" s="37">
        <f t="shared" si="171"/>
        <v>-0.55716174488446801</v>
      </c>
      <c r="N2180" s="17" t="str">
        <f t="shared" si="172"/>
        <v>Under Budget</v>
      </c>
      <c r="O2180" s="38">
        <f t="shared" si="173"/>
        <v>-2066.58</v>
      </c>
      <c r="P2180" s="39">
        <f t="shared" si="174"/>
        <v>45870</v>
      </c>
    </row>
    <row r="2181" spans="1:16" ht="15.5" x14ac:dyDescent="0.35">
      <c r="A2181" s="17" t="s">
        <v>2229</v>
      </c>
      <c r="B2181" s="35">
        <v>46128</v>
      </c>
      <c r="C2181" s="17" t="s">
        <v>25</v>
      </c>
      <c r="D2181" s="17" t="s">
        <v>13</v>
      </c>
      <c r="E2181" s="17" t="s">
        <v>33</v>
      </c>
      <c r="F2181" s="17" t="s">
        <v>28</v>
      </c>
      <c r="G2181" s="17" t="s">
        <v>38</v>
      </c>
      <c r="H2181" s="17" t="s">
        <v>2593</v>
      </c>
      <c r="I2181" s="17" t="s">
        <v>30</v>
      </c>
      <c r="J2181" s="36">
        <v>8333.33</v>
      </c>
      <c r="K2181" s="36">
        <v>12584.74</v>
      </c>
      <c r="L2181" s="36">
        <f t="shared" si="170"/>
        <v>4251.41</v>
      </c>
      <c r="M2181" s="37">
        <f t="shared" si="171"/>
        <v>0.51016940406776157</v>
      </c>
      <c r="N2181" s="17" t="str">
        <f t="shared" si="172"/>
        <v>Over Budget</v>
      </c>
      <c r="O2181" s="38">
        <f t="shared" si="173"/>
        <v>12584.74</v>
      </c>
      <c r="P2181" s="39">
        <f t="shared" si="174"/>
        <v>46113</v>
      </c>
    </row>
    <row r="2182" spans="1:16" ht="15.5" x14ac:dyDescent="0.35">
      <c r="A2182" s="17" t="s">
        <v>2230</v>
      </c>
      <c r="B2182" s="35">
        <v>46192</v>
      </c>
      <c r="C2182" s="17" t="s">
        <v>25</v>
      </c>
      <c r="D2182" s="17" t="s">
        <v>2584</v>
      </c>
      <c r="E2182" s="17" t="s">
        <v>109</v>
      </c>
      <c r="F2182" s="17" t="s">
        <v>28</v>
      </c>
      <c r="G2182" s="17" t="s">
        <v>38</v>
      </c>
      <c r="H2182" s="17" t="s">
        <v>2597</v>
      </c>
      <c r="I2182" s="17" t="s">
        <v>23</v>
      </c>
      <c r="J2182" s="36">
        <v>4761.8999999999996</v>
      </c>
      <c r="K2182" s="36">
        <v>14520.24</v>
      </c>
      <c r="L2182" s="36">
        <f t="shared" si="170"/>
        <v>9758.34</v>
      </c>
      <c r="M2182" s="37">
        <f t="shared" si="171"/>
        <v>2.0492534492534493</v>
      </c>
      <c r="N2182" s="17" t="str">
        <f t="shared" si="172"/>
        <v>Over Budget</v>
      </c>
      <c r="O2182" s="38">
        <f t="shared" si="173"/>
        <v>14520.24</v>
      </c>
      <c r="P2182" s="39">
        <f t="shared" si="174"/>
        <v>46174</v>
      </c>
    </row>
    <row r="2183" spans="1:16" ht="15.5" x14ac:dyDescent="0.35">
      <c r="A2183" s="17" t="s">
        <v>2231</v>
      </c>
      <c r="B2183" s="35">
        <v>45827</v>
      </c>
      <c r="C2183" s="17" t="s">
        <v>25</v>
      </c>
      <c r="D2183" s="17" t="s">
        <v>32</v>
      </c>
      <c r="E2183" s="17" t="s">
        <v>33</v>
      </c>
      <c r="F2183" s="17" t="s">
        <v>52</v>
      </c>
      <c r="G2183" s="17" t="s">
        <v>38</v>
      </c>
      <c r="H2183" s="17" t="s">
        <v>2588</v>
      </c>
      <c r="I2183" s="17" t="s">
        <v>30</v>
      </c>
      <c r="J2183" s="36">
        <v>9615.3799999999992</v>
      </c>
      <c r="K2183" s="36">
        <v>23728.57</v>
      </c>
      <c r="L2183" s="36">
        <f t="shared" si="170"/>
        <v>14113.19</v>
      </c>
      <c r="M2183" s="37">
        <f t="shared" si="171"/>
        <v>1.4677724645307832</v>
      </c>
      <c r="N2183" s="17" t="str">
        <f t="shared" si="172"/>
        <v>Over Budget</v>
      </c>
      <c r="O2183" s="38">
        <f t="shared" si="173"/>
        <v>23728.57</v>
      </c>
      <c r="P2183" s="39">
        <f t="shared" si="174"/>
        <v>45809</v>
      </c>
    </row>
    <row r="2184" spans="1:16" ht="15.5" x14ac:dyDescent="0.35">
      <c r="A2184" s="17" t="s">
        <v>2232</v>
      </c>
      <c r="B2184" s="35">
        <v>46108</v>
      </c>
      <c r="C2184" s="17" t="s">
        <v>12</v>
      </c>
      <c r="D2184" s="17" t="s">
        <v>36</v>
      </c>
      <c r="E2184" s="17" t="s">
        <v>41</v>
      </c>
      <c r="F2184" s="17" t="s">
        <v>52</v>
      </c>
      <c r="G2184" s="17" t="s">
        <v>29</v>
      </c>
      <c r="H2184" s="17" t="s">
        <v>2586</v>
      </c>
      <c r="I2184" s="17" t="s">
        <v>23</v>
      </c>
      <c r="J2184" s="36">
        <v>6500</v>
      </c>
      <c r="K2184" s="36">
        <v>10182.15</v>
      </c>
      <c r="L2184" s="36">
        <f t="shared" si="170"/>
        <v>3682.1499999999996</v>
      </c>
      <c r="M2184" s="37">
        <f t="shared" si="171"/>
        <v>0.56648461538461536</v>
      </c>
      <c r="N2184" s="17" t="str">
        <f t="shared" si="172"/>
        <v>Over Budget</v>
      </c>
      <c r="O2184" s="38">
        <f t="shared" si="173"/>
        <v>-10182.15</v>
      </c>
      <c r="P2184" s="39">
        <f t="shared" si="174"/>
        <v>46082</v>
      </c>
    </row>
    <row r="2185" spans="1:16" ht="15.5" x14ac:dyDescent="0.35">
      <c r="A2185" s="17" t="s">
        <v>2233</v>
      </c>
      <c r="B2185" s="35">
        <v>46093</v>
      </c>
      <c r="C2185" s="17" t="s">
        <v>12</v>
      </c>
      <c r="D2185" s="17" t="s">
        <v>26</v>
      </c>
      <c r="E2185" s="17" t="s">
        <v>45</v>
      </c>
      <c r="F2185" s="17" t="s">
        <v>52</v>
      </c>
      <c r="G2185" s="17" t="s">
        <v>29</v>
      </c>
      <c r="H2185" s="17" t="s">
        <v>2592</v>
      </c>
      <c r="I2185" s="17" t="s">
        <v>23</v>
      </c>
      <c r="J2185" s="36">
        <v>7200</v>
      </c>
      <c r="K2185" s="36">
        <v>14238.24</v>
      </c>
      <c r="L2185" s="36">
        <f t="shared" si="170"/>
        <v>7038.24</v>
      </c>
      <c r="M2185" s="37">
        <f t="shared" si="171"/>
        <v>0.97753333333333325</v>
      </c>
      <c r="N2185" s="17" t="str">
        <f t="shared" si="172"/>
        <v>Over Budget</v>
      </c>
      <c r="O2185" s="38">
        <f t="shared" si="173"/>
        <v>-14238.24</v>
      </c>
      <c r="P2185" s="39">
        <f t="shared" si="174"/>
        <v>46082</v>
      </c>
    </row>
    <row r="2186" spans="1:16" ht="15.5" x14ac:dyDescent="0.35">
      <c r="A2186" s="17" t="s">
        <v>2234</v>
      </c>
      <c r="B2186" s="35">
        <v>45746</v>
      </c>
      <c r="C2186" s="17" t="s">
        <v>12</v>
      </c>
      <c r="D2186" s="17" t="s">
        <v>13</v>
      </c>
      <c r="E2186" s="17" t="s">
        <v>37</v>
      </c>
      <c r="F2186" s="17" t="s">
        <v>34</v>
      </c>
      <c r="G2186" s="17" t="s">
        <v>22</v>
      </c>
      <c r="H2186" s="17" t="s">
        <v>2592</v>
      </c>
      <c r="I2186" s="17" t="s">
        <v>39</v>
      </c>
      <c r="J2186" s="36">
        <v>4666.67</v>
      </c>
      <c r="K2186" s="36">
        <v>2623.03</v>
      </c>
      <c r="L2186" s="36">
        <f t="shared" si="170"/>
        <v>-2043.6399999999999</v>
      </c>
      <c r="M2186" s="37">
        <f t="shared" si="171"/>
        <v>-0.43792254434103972</v>
      </c>
      <c r="N2186" s="17" t="str">
        <f t="shared" si="172"/>
        <v>Under Budget</v>
      </c>
      <c r="O2186" s="38">
        <f t="shared" si="173"/>
        <v>-2623.03</v>
      </c>
      <c r="P2186" s="39">
        <f t="shared" si="174"/>
        <v>45717</v>
      </c>
    </row>
    <row r="2187" spans="1:16" ht="15.5" x14ac:dyDescent="0.35">
      <c r="A2187" s="17" t="s">
        <v>2235</v>
      </c>
      <c r="B2187" s="35">
        <v>45963</v>
      </c>
      <c r="C2187" s="17" t="s">
        <v>25</v>
      </c>
      <c r="D2187" s="17" t="s">
        <v>26</v>
      </c>
      <c r="E2187" s="17" t="s">
        <v>33</v>
      </c>
      <c r="F2187" s="17" t="s">
        <v>52</v>
      </c>
      <c r="G2187" s="17" t="s">
        <v>22</v>
      </c>
      <c r="H2187" s="17" t="s">
        <v>2590</v>
      </c>
      <c r="I2187" s="17" t="s">
        <v>23</v>
      </c>
      <c r="J2187" s="36">
        <v>13125</v>
      </c>
      <c r="K2187" s="36">
        <v>23208.48</v>
      </c>
      <c r="L2187" s="36">
        <f t="shared" si="170"/>
        <v>10083.48</v>
      </c>
      <c r="M2187" s="37">
        <f t="shared" si="171"/>
        <v>0.76826514285714287</v>
      </c>
      <c r="N2187" s="17" t="str">
        <f t="shared" si="172"/>
        <v>Over Budget</v>
      </c>
      <c r="O2187" s="38">
        <f t="shared" si="173"/>
        <v>23208.48</v>
      </c>
      <c r="P2187" s="39">
        <f t="shared" si="174"/>
        <v>45962</v>
      </c>
    </row>
    <row r="2188" spans="1:16" ht="15.5" x14ac:dyDescent="0.35">
      <c r="A2188" s="17" t="s">
        <v>2236</v>
      </c>
      <c r="B2188" s="35">
        <v>46157</v>
      </c>
      <c r="C2188" s="17" t="s">
        <v>12</v>
      </c>
      <c r="D2188" s="17" t="s">
        <v>13</v>
      </c>
      <c r="E2188" s="17" t="s">
        <v>41</v>
      </c>
      <c r="F2188" s="17" t="s">
        <v>52</v>
      </c>
      <c r="G2188" s="17" t="s">
        <v>22</v>
      </c>
      <c r="H2188" s="17" t="s">
        <v>2588</v>
      </c>
      <c r="I2188" s="17" t="s">
        <v>23</v>
      </c>
      <c r="J2188" s="36">
        <v>6500</v>
      </c>
      <c r="K2188" s="36">
        <v>0</v>
      </c>
      <c r="L2188" s="36">
        <f t="shared" si="170"/>
        <v>-6500</v>
      </c>
      <c r="M2188" s="37">
        <f t="shared" si="171"/>
        <v>-1</v>
      </c>
      <c r="N2188" s="17" t="str">
        <f t="shared" si="172"/>
        <v>Under Budget</v>
      </c>
      <c r="O2188" s="38">
        <f t="shared" si="173"/>
        <v>0</v>
      </c>
      <c r="P2188" s="39">
        <f t="shared" si="174"/>
        <v>46143</v>
      </c>
    </row>
    <row r="2189" spans="1:16" ht="15.5" x14ac:dyDescent="0.35">
      <c r="A2189" s="17" t="s">
        <v>2237</v>
      </c>
      <c r="B2189" s="35">
        <v>45807</v>
      </c>
      <c r="C2189" s="17" t="s">
        <v>12</v>
      </c>
      <c r="D2189" s="17" t="s">
        <v>26</v>
      </c>
      <c r="E2189" s="17" t="s">
        <v>45</v>
      </c>
      <c r="F2189" s="17" t="s">
        <v>15</v>
      </c>
      <c r="G2189" s="17" t="s">
        <v>38</v>
      </c>
      <c r="H2189" s="17" t="s">
        <v>80</v>
      </c>
      <c r="I2189" s="17" t="s">
        <v>39</v>
      </c>
      <c r="J2189" s="36">
        <v>7200</v>
      </c>
      <c r="K2189" s="36">
        <v>8629.7900000000009</v>
      </c>
      <c r="L2189" s="36">
        <f t="shared" si="170"/>
        <v>1429.7900000000009</v>
      </c>
      <c r="M2189" s="37">
        <f t="shared" si="171"/>
        <v>0.19858194444444457</v>
      </c>
      <c r="N2189" s="17" t="str">
        <f t="shared" si="172"/>
        <v>Over Budget</v>
      </c>
      <c r="O2189" s="38">
        <f t="shared" si="173"/>
        <v>-8629.7900000000009</v>
      </c>
      <c r="P2189" s="39">
        <f t="shared" si="174"/>
        <v>45778</v>
      </c>
    </row>
    <row r="2190" spans="1:16" ht="15.5" x14ac:dyDescent="0.35">
      <c r="A2190" s="17" t="s">
        <v>2238</v>
      </c>
      <c r="B2190" s="35">
        <v>45995</v>
      </c>
      <c r="C2190" s="17" t="s">
        <v>12</v>
      </c>
      <c r="D2190" s="17" t="s">
        <v>26</v>
      </c>
      <c r="E2190" s="17" t="s">
        <v>77</v>
      </c>
      <c r="F2190" s="17" t="s">
        <v>52</v>
      </c>
      <c r="G2190" s="17" t="s">
        <v>16</v>
      </c>
      <c r="H2190" s="17" t="s">
        <v>2594</v>
      </c>
      <c r="I2190" s="17" t="s">
        <v>23</v>
      </c>
      <c r="J2190" s="36">
        <v>3300</v>
      </c>
      <c r="K2190" s="36">
        <v>3186.08</v>
      </c>
      <c r="L2190" s="36">
        <f t="shared" si="170"/>
        <v>-113.92000000000007</v>
      </c>
      <c r="M2190" s="37">
        <f t="shared" si="171"/>
        <v>-3.452121212121214E-2</v>
      </c>
      <c r="N2190" s="17" t="str">
        <f t="shared" si="172"/>
        <v>Under Budget</v>
      </c>
      <c r="O2190" s="38">
        <f t="shared" si="173"/>
        <v>-3186.08</v>
      </c>
      <c r="P2190" s="39">
        <f t="shared" si="174"/>
        <v>45992</v>
      </c>
    </row>
    <row r="2191" spans="1:16" ht="15.5" x14ac:dyDescent="0.35">
      <c r="A2191" s="17" t="s">
        <v>2239</v>
      </c>
      <c r="B2191" s="35">
        <v>45887</v>
      </c>
      <c r="C2191" s="17" t="s">
        <v>25</v>
      </c>
      <c r="D2191" s="17" t="s">
        <v>32</v>
      </c>
      <c r="E2191" s="17" t="s">
        <v>109</v>
      </c>
      <c r="F2191" s="17" t="s">
        <v>52</v>
      </c>
      <c r="G2191" s="17" t="s">
        <v>38</v>
      </c>
      <c r="H2191" s="17" t="s">
        <v>2588</v>
      </c>
      <c r="I2191" s="17" t="s">
        <v>30</v>
      </c>
      <c r="J2191" s="36">
        <v>7142.86</v>
      </c>
      <c r="K2191" s="36">
        <v>10456.86</v>
      </c>
      <c r="L2191" s="36">
        <f t="shared" si="170"/>
        <v>3314.0000000000009</v>
      </c>
      <c r="M2191" s="37">
        <f t="shared" si="171"/>
        <v>0.46395981441607437</v>
      </c>
      <c r="N2191" s="17" t="str">
        <f t="shared" si="172"/>
        <v>Over Budget</v>
      </c>
      <c r="O2191" s="38">
        <f t="shared" si="173"/>
        <v>10456.86</v>
      </c>
      <c r="P2191" s="39">
        <f t="shared" si="174"/>
        <v>45870</v>
      </c>
    </row>
    <row r="2192" spans="1:16" ht="15.5" x14ac:dyDescent="0.35">
      <c r="A2192" s="17" t="s">
        <v>2240</v>
      </c>
      <c r="B2192" s="35">
        <v>46135</v>
      </c>
      <c r="C2192" s="17" t="s">
        <v>12</v>
      </c>
      <c r="D2192" s="17" t="s">
        <v>2584</v>
      </c>
      <c r="E2192" s="17" t="s">
        <v>77</v>
      </c>
      <c r="F2192" s="17" t="s">
        <v>28</v>
      </c>
      <c r="G2192" s="17" t="s">
        <v>29</v>
      </c>
      <c r="H2192" s="17" t="s">
        <v>2590</v>
      </c>
      <c r="I2192" s="17" t="s">
        <v>30</v>
      </c>
      <c r="J2192" s="36">
        <v>2750</v>
      </c>
      <c r="K2192" s="36">
        <v>3494.89</v>
      </c>
      <c r="L2192" s="36">
        <f t="shared" si="170"/>
        <v>744.88999999999987</v>
      </c>
      <c r="M2192" s="37">
        <f t="shared" si="171"/>
        <v>0.27086909090909084</v>
      </c>
      <c r="N2192" s="17" t="str">
        <f t="shared" si="172"/>
        <v>Over Budget</v>
      </c>
      <c r="O2192" s="38">
        <f t="shared" si="173"/>
        <v>-3494.89</v>
      </c>
      <c r="P2192" s="39">
        <f t="shared" si="174"/>
        <v>46113</v>
      </c>
    </row>
    <row r="2193" spans="1:16" ht="15.5" x14ac:dyDescent="0.35">
      <c r="A2193" s="17" t="s">
        <v>2241</v>
      </c>
      <c r="B2193" s="35">
        <v>45802</v>
      </c>
      <c r="C2193" s="17" t="s">
        <v>12</v>
      </c>
      <c r="D2193" s="17" t="s">
        <v>19</v>
      </c>
      <c r="E2193" s="17" t="s">
        <v>41</v>
      </c>
      <c r="F2193" s="17" t="s">
        <v>52</v>
      </c>
      <c r="G2193" s="17" t="s">
        <v>38</v>
      </c>
      <c r="H2193" s="17" t="s">
        <v>2590</v>
      </c>
      <c r="I2193" s="17" t="s">
        <v>17</v>
      </c>
      <c r="J2193" s="36">
        <v>4642.8599999999997</v>
      </c>
      <c r="K2193" s="36">
        <v>4265.68</v>
      </c>
      <c r="L2193" s="36">
        <f t="shared" si="170"/>
        <v>-377.17999999999938</v>
      </c>
      <c r="M2193" s="37">
        <f t="shared" si="171"/>
        <v>-8.1238719237711116E-2</v>
      </c>
      <c r="N2193" s="17" t="str">
        <f t="shared" si="172"/>
        <v>Under Budget</v>
      </c>
      <c r="O2193" s="38">
        <f t="shared" si="173"/>
        <v>-4265.68</v>
      </c>
      <c r="P2193" s="39">
        <f t="shared" si="174"/>
        <v>45778</v>
      </c>
    </row>
    <row r="2194" spans="1:16" ht="15.5" x14ac:dyDescent="0.35">
      <c r="A2194" s="17" t="s">
        <v>2242</v>
      </c>
      <c r="B2194" s="35">
        <v>45814</v>
      </c>
      <c r="C2194" s="17" t="s">
        <v>25</v>
      </c>
      <c r="D2194" s="17" t="s">
        <v>2585</v>
      </c>
      <c r="E2194" s="17" t="s">
        <v>109</v>
      </c>
      <c r="F2194" s="17" t="s">
        <v>52</v>
      </c>
      <c r="G2194" s="17" t="s">
        <v>38</v>
      </c>
      <c r="H2194" s="17" t="s">
        <v>2591</v>
      </c>
      <c r="I2194" s="17" t="s">
        <v>48</v>
      </c>
      <c r="J2194" s="36">
        <v>6250</v>
      </c>
      <c r="K2194" s="36">
        <v>17073</v>
      </c>
      <c r="L2194" s="36">
        <f t="shared" si="170"/>
        <v>10823</v>
      </c>
      <c r="M2194" s="37">
        <f t="shared" si="171"/>
        <v>1.7316800000000001</v>
      </c>
      <c r="N2194" s="17" t="str">
        <f t="shared" si="172"/>
        <v>Over Budget</v>
      </c>
      <c r="O2194" s="38">
        <f t="shared" si="173"/>
        <v>17073</v>
      </c>
      <c r="P2194" s="39">
        <f t="shared" si="174"/>
        <v>45809</v>
      </c>
    </row>
    <row r="2195" spans="1:16" ht="15.5" x14ac:dyDescent="0.35">
      <c r="A2195" s="17" t="s">
        <v>2243</v>
      </c>
      <c r="B2195" s="35">
        <v>45776</v>
      </c>
      <c r="C2195" s="17" t="s">
        <v>25</v>
      </c>
      <c r="D2195" s="17" t="s">
        <v>2585</v>
      </c>
      <c r="E2195" s="17" t="s">
        <v>33</v>
      </c>
      <c r="F2195" s="17" t="s">
        <v>52</v>
      </c>
      <c r="G2195" s="17" t="s">
        <v>38</v>
      </c>
      <c r="H2195" s="17" t="s">
        <v>2592</v>
      </c>
      <c r="I2195" s="17" t="s">
        <v>23</v>
      </c>
      <c r="J2195" s="36">
        <v>11363.64</v>
      </c>
      <c r="K2195" s="36">
        <v>13734.52</v>
      </c>
      <c r="L2195" s="36">
        <f t="shared" si="170"/>
        <v>2370.880000000001</v>
      </c>
      <c r="M2195" s="37">
        <f t="shared" si="171"/>
        <v>0.20863737323604067</v>
      </c>
      <c r="N2195" s="17" t="str">
        <f t="shared" si="172"/>
        <v>Over Budget</v>
      </c>
      <c r="O2195" s="38">
        <f t="shared" si="173"/>
        <v>13734.52</v>
      </c>
      <c r="P2195" s="39">
        <f t="shared" si="174"/>
        <v>45748</v>
      </c>
    </row>
    <row r="2196" spans="1:16" ht="15.5" x14ac:dyDescent="0.35">
      <c r="A2196" s="17" t="s">
        <v>2244</v>
      </c>
      <c r="B2196" s="35">
        <v>46148</v>
      </c>
      <c r="C2196" s="17" t="s">
        <v>12</v>
      </c>
      <c r="D2196" s="17" t="s">
        <v>32</v>
      </c>
      <c r="E2196" s="17" t="s">
        <v>45</v>
      </c>
      <c r="F2196" s="17" t="s">
        <v>15</v>
      </c>
      <c r="G2196" s="17" t="s">
        <v>38</v>
      </c>
      <c r="H2196" s="17" t="s">
        <v>2594</v>
      </c>
      <c r="I2196" s="17" t="s">
        <v>39</v>
      </c>
      <c r="J2196" s="36">
        <v>16363.64</v>
      </c>
      <c r="K2196" s="36">
        <v>15963.55</v>
      </c>
      <c r="L2196" s="36">
        <f t="shared" si="170"/>
        <v>-400.09000000000015</v>
      </c>
      <c r="M2196" s="37">
        <f t="shared" si="171"/>
        <v>-2.4449939011124674E-2</v>
      </c>
      <c r="N2196" s="17" t="str">
        <f t="shared" si="172"/>
        <v>Under Budget</v>
      </c>
      <c r="O2196" s="38">
        <f t="shared" si="173"/>
        <v>-15963.55</v>
      </c>
      <c r="P2196" s="39">
        <f t="shared" si="174"/>
        <v>46143</v>
      </c>
    </row>
    <row r="2197" spans="1:16" ht="15.5" x14ac:dyDescent="0.35">
      <c r="A2197" s="17" t="s">
        <v>2245</v>
      </c>
      <c r="B2197" s="35">
        <v>46041</v>
      </c>
      <c r="C2197" s="17" t="s">
        <v>12</v>
      </c>
      <c r="D2197" s="17" t="s">
        <v>2585</v>
      </c>
      <c r="E2197" s="17" t="s">
        <v>14</v>
      </c>
      <c r="F2197" s="17" t="s">
        <v>28</v>
      </c>
      <c r="G2197" s="17" t="s">
        <v>38</v>
      </c>
      <c r="H2197" s="17" t="s">
        <v>2587</v>
      </c>
      <c r="I2197" s="17" t="s">
        <v>48</v>
      </c>
      <c r="J2197" s="36">
        <v>3104</v>
      </c>
      <c r="K2197" s="36">
        <v>4350.1099999999997</v>
      </c>
      <c r="L2197" s="36">
        <f t="shared" si="170"/>
        <v>1246.1099999999997</v>
      </c>
      <c r="M2197" s="37">
        <f t="shared" si="171"/>
        <v>0.40145296391752566</v>
      </c>
      <c r="N2197" s="17" t="str">
        <f t="shared" si="172"/>
        <v>Over Budget</v>
      </c>
      <c r="O2197" s="38">
        <f t="shared" si="173"/>
        <v>-4350.1099999999997</v>
      </c>
      <c r="P2197" s="39">
        <f t="shared" si="174"/>
        <v>46023</v>
      </c>
    </row>
    <row r="2198" spans="1:16" ht="15.5" x14ac:dyDescent="0.35">
      <c r="A2198" s="17" t="s">
        <v>2246</v>
      </c>
      <c r="B2198" s="35">
        <v>46064</v>
      </c>
      <c r="C2198" s="17" t="s">
        <v>12</v>
      </c>
      <c r="D2198" s="17" t="s">
        <v>36</v>
      </c>
      <c r="E2198" s="17" t="s">
        <v>37</v>
      </c>
      <c r="F2198" s="17" t="s">
        <v>21</v>
      </c>
      <c r="G2198" s="17" t="s">
        <v>22</v>
      </c>
      <c r="H2198" s="17" t="s">
        <v>2593</v>
      </c>
      <c r="I2198" s="17" t="s">
        <v>48</v>
      </c>
      <c r="J2198" s="36">
        <v>3880</v>
      </c>
      <c r="K2198" s="36">
        <v>2092.0300000000002</v>
      </c>
      <c r="L2198" s="36">
        <f t="shared" si="170"/>
        <v>-1787.9699999999998</v>
      </c>
      <c r="M2198" s="37">
        <f t="shared" si="171"/>
        <v>-0.4608170103092783</v>
      </c>
      <c r="N2198" s="17" t="str">
        <f t="shared" si="172"/>
        <v>Under Budget</v>
      </c>
      <c r="O2198" s="38">
        <f t="shared" si="173"/>
        <v>-2092.0300000000002</v>
      </c>
      <c r="P2198" s="39">
        <f t="shared" si="174"/>
        <v>46054</v>
      </c>
    </row>
    <row r="2199" spans="1:16" ht="15.5" x14ac:dyDescent="0.35">
      <c r="A2199" s="17" t="s">
        <v>2247</v>
      </c>
      <c r="B2199" s="35">
        <v>46105</v>
      </c>
      <c r="C2199" s="17" t="s">
        <v>25</v>
      </c>
      <c r="D2199" s="17" t="s">
        <v>32</v>
      </c>
      <c r="E2199" s="17" t="s">
        <v>109</v>
      </c>
      <c r="F2199" s="17" t="s">
        <v>15</v>
      </c>
      <c r="G2199" s="17" t="s">
        <v>38</v>
      </c>
      <c r="H2199" s="17" t="s">
        <v>2596</v>
      </c>
      <c r="I2199" s="17" t="s">
        <v>48</v>
      </c>
      <c r="J2199" s="36">
        <v>10000</v>
      </c>
      <c r="K2199" s="36">
        <v>3887.41</v>
      </c>
      <c r="L2199" s="36">
        <f t="shared" si="170"/>
        <v>-6112.59</v>
      </c>
      <c r="M2199" s="37">
        <f t="shared" si="171"/>
        <v>-0.611259</v>
      </c>
      <c r="N2199" s="17" t="str">
        <f t="shared" si="172"/>
        <v>Under Budget</v>
      </c>
      <c r="O2199" s="38">
        <f t="shared" si="173"/>
        <v>3887.41</v>
      </c>
      <c r="P2199" s="39">
        <f t="shared" si="174"/>
        <v>46082</v>
      </c>
    </row>
    <row r="2200" spans="1:16" ht="15.5" x14ac:dyDescent="0.35">
      <c r="A2200" s="17" t="s">
        <v>2248</v>
      </c>
      <c r="B2200" s="35">
        <v>45894</v>
      </c>
      <c r="C2200" s="17" t="s">
        <v>12</v>
      </c>
      <c r="D2200" s="17" t="s">
        <v>36</v>
      </c>
      <c r="E2200" s="17" t="s">
        <v>14</v>
      </c>
      <c r="F2200" s="17" t="s">
        <v>52</v>
      </c>
      <c r="G2200" s="17" t="s">
        <v>43</v>
      </c>
      <c r="H2200" s="17" t="s">
        <v>2593</v>
      </c>
      <c r="I2200" s="17" t="s">
        <v>48</v>
      </c>
      <c r="J2200" s="36">
        <v>2285.71</v>
      </c>
      <c r="K2200" s="36">
        <v>4025.41</v>
      </c>
      <c r="L2200" s="36">
        <f t="shared" si="170"/>
        <v>1739.6999999999998</v>
      </c>
      <c r="M2200" s="37">
        <f t="shared" si="171"/>
        <v>0.76112017710033197</v>
      </c>
      <c r="N2200" s="17" t="str">
        <f t="shared" si="172"/>
        <v>Over Budget</v>
      </c>
      <c r="O2200" s="38">
        <f t="shared" si="173"/>
        <v>-4025.41</v>
      </c>
      <c r="P2200" s="39">
        <f t="shared" si="174"/>
        <v>45870</v>
      </c>
    </row>
    <row r="2201" spans="1:16" ht="15.5" x14ac:dyDescent="0.35">
      <c r="A2201" s="17" t="s">
        <v>2249</v>
      </c>
      <c r="B2201" s="35">
        <v>45699</v>
      </c>
      <c r="C2201" s="17" t="s">
        <v>12</v>
      </c>
      <c r="D2201" s="17" t="s">
        <v>26</v>
      </c>
      <c r="E2201" s="17" t="s">
        <v>74</v>
      </c>
      <c r="F2201" s="17" t="s">
        <v>15</v>
      </c>
      <c r="G2201" s="17" t="s">
        <v>38</v>
      </c>
      <c r="H2201" s="17" t="s">
        <v>2587</v>
      </c>
      <c r="I2201" s="17" t="s">
        <v>48</v>
      </c>
      <c r="J2201" s="36">
        <v>5542.86</v>
      </c>
      <c r="K2201" s="36">
        <v>447.21</v>
      </c>
      <c r="L2201" s="36">
        <f t="shared" si="170"/>
        <v>-5095.6499999999996</v>
      </c>
      <c r="M2201" s="37">
        <f t="shared" si="171"/>
        <v>-0.91931782509390458</v>
      </c>
      <c r="N2201" s="17" t="str">
        <f t="shared" si="172"/>
        <v>Under Budget</v>
      </c>
      <c r="O2201" s="38">
        <f t="shared" si="173"/>
        <v>-447.21</v>
      </c>
      <c r="P2201" s="39">
        <f t="shared" si="174"/>
        <v>45689</v>
      </c>
    </row>
    <row r="2202" spans="1:16" ht="15.5" x14ac:dyDescent="0.35">
      <c r="A2202" s="17" t="s">
        <v>2250</v>
      </c>
      <c r="B2202" s="35">
        <v>46197</v>
      </c>
      <c r="C2202" s="17" t="s">
        <v>25</v>
      </c>
      <c r="D2202" s="17" t="s">
        <v>32</v>
      </c>
      <c r="E2202" s="17" t="s">
        <v>33</v>
      </c>
      <c r="F2202" s="17" t="s">
        <v>34</v>
      </c>
      <c r="G2202" s="17" t="s">
        <v>82</v>
      </c>
      <c r="H2202" s="17" t="s">
        <v>2588</v>
      </c>
      <c r="I2202" s="17" t="s">
        <v>23</v>
      </c>
      <c r="J2202" s="36">
        <v>10000</v>
      </c>
      <c r="K2202" s="36">
        <v>2120.9</v>
      </c>
      <c r="L2202" s="36">
        <f t="shared" si="170"/>
        <v>-7879.1</v>
      </c>
      <c r="M2202" s="37">
        <f t="shared" si="171"/>
        <v>-0.78791</v>
      </c>
      <c r="N2202" s="17" t="str">
        <f t="shared" si="172"/>
        <v>Under Budget</v>
      </c>
      <c r="O2202" s="38">
        <f t="shared" si="173"/>
        <v>2120.9</v>
      </c>
      <c r="P2202" s="39">
        <f t="shared" si="174"/>
        <v>46174</v>
      </c>
    </row>
    <row r="2203" spans="1:16" ht="15.5" x14ac:dyDescent="0.35">
      <c r="A2203" s="17" t="s">
        <v>2251</v>
      </c>
      <c r="B2203" s="35">
        <v>45728</v>
      </c>
      <c r="C2203" s="17" t="s">
        <v>12</v>
      </c>
      <c r="D2203" s="17" t="s">
        <v>2585</v>
      </c>
      <c r="E2203" s="17" t="s">
        <v>45</v>
      </c>
      <c r="F2203" s="17" t="s">
        <v>34</v>
      </c>
      <c r="G2203" s="17" t="s">
        <v>38</v>
      </c>
      <c r="H2203" s="17" t="s">
        <v>2591</v>
      </c>
      <c r="I2203" s="17" t="s">
        <v>39</v>
      </c>
      <c r="J2203" s="36">
        <v>6000</v>
      </c>
      <c r="K2203" s="36">
        <v>5134.54</v>
      </c>
      <c r="L2203" s="36">
        <f t="shared" si="170"/>
        <v>-865.46</v>
      </c>
      <c r="M2203" s="37">
        <f t="shared" si="171"/>
        <v>-0.14424333333333333</v>
      </c>
      <c r="N2203" s="17" t="str">
        <f t="shared" si="172"/>
        <v>Under Budget</v>
      </c>
      <c r="O2203" s="38">
        <f t="shared" si="173"/>
        <v>-5134.54</v>
      </c>
      <c r="P2203" s="39">
        <f t="shared" si="174"/>
        <v>45717</v>
      </c>
    </row>
    <row r="2204" spans="1:16" ht="15.5" x14ac:dyDescent="0.35">
      <c r="A2204" s="17" t="s">
        <v>2252</v>
      </c>
      <c r="B2204" s="35">
        <v>45687</v>
      </c>
      <c r="C2204" s="17" t="s">
        <v>25</v>
      </c>
      <c r="D2204" s="17" t="s">
        <v>32</v>
      </c>
      <c r="E2204" s="17" t="s">
        <v>169</v>
      </c>
      <c r="F2204" s="17" t="s">
        <v>52</v>
      </c>
      <c r="G2204" s="17" t="s">
        <v>16</v>
      </c>
      <c r="H2204" s="17" t="s">
        <v>80</v>
      </c>
      <c r="I2204" s="17" t="s">
        <v>39</v>
      </c>
      <c r="J2204" s="36">
        <v>9700</v>
      </c>
      <c r="K2204" s="36">
        <v>446.4</v>
      </c>
      <c r="L2204" s="36">
        <f t="shared" si="170"/>
        <v>-9253.6</v>
      </c>
      <c r="M2204" s="37">
        <f t="shared" si="171"/>
        <v>-0.95397938144329897</v>
      </c>
      <c r="N2204" s="17" t="str">
        <f t="shared" si="172"/>
        <v>Under Budget</v>
      </c>
      <c r="O2204" s="38">
        <f t="shared" si="173"/>
        <v>446.4</v>
      </c>
      <c r="P2204" s="39">
        <f t="shared" si="174"/>
        <v>45658</v>
      </c>
    </row>
    <row r="2205" spans="1:16" ht="15.5" x14ac:dyDescent="0.35">
      <c r="A2205" s="17" t="s">
        <v>2253</v>
      </c>
      <c r="B2205" s="35">
        <v>45711</v>
      </c>
      <c r="C2205" s="17" t="s">
        <v>12</v>
      </c>
      <c r="D2205" s="17" t="s">
        <v>19</v>
      </c>
      <c r="E2205" s="17" t="s">
        <v>20</v>
      </c>
      <c r="F2205" s="17" t="s">
        <v>21</v>
      </c>
      <c r="G2205" s="17" t="s">
        <v>22</v>
      </c>
      <c r="H2205" s="17" t="s">
        <v>60</v>
      </c>
      <c r="I2205" s="17" t="s">
        <v>30</v>
      </c>
      <c r="J2205" s="36">
        <v>1940</v>
      </c>
      <c r="K2205" s="36">
        <v>1726.72</v>
      </c>
      <c r="L2205" s="36">
        <f t="shared" si="170"/>
        <v>-213.27999999999997</v>
      </c>
      <c r="M2205" s="37">
        <f t="shared" si="171"/>
        <v>-0.10993814432989689</v>
      </c>
      <c r="N2205" s="17" t="str">
        <f t="shared" si="172"/>
        <v>Under Budget</v>
      </c>
      <c r="O2205" s="38">
        <f t="shared" si="173"/>
        <v>-1726.72</v>
      </c>
      <c r="P2205" s="39">
        <f t="shared" si="174"/>
        <v>45689</v>
      </c>
    </row>
    <row r="2206" spans="1:16" ht="15.5" x14ac:dyDescent="0.35">
      <c r="A2206" s="17" t="s">
        <v>2254</v>
      </c>
      <c r="B2206" s="35">
        <v>45943</v>
      </c>
      <c r="C2206" s="17" t="s">
        <v>12</v>
      </c>
      <c r="D2206" s="17" t="s">
        <v>13</v>
      </c>
      <c r="E2206" s="17" t="s">
        <v>74</v>
      </c>
      <c r="F2206" s="17" t="s">
        <v>52</v>
      </c>
      <c r="G2206" s="17" t="s">
        <v>29</v>
      </c>
      <c r="H2206" s="17" t="s">
        <v>2593</v>
      </c>
      <c r="I2206" s="17" t="s">
        <v>30</v>
      </c>
      <c r="J2206" s="36">
        <v>3333.33</v>
      </c>
      <c r="K2206" s="36">
        <v>1295.95</v>
      </c>
      <c r="L2206" s="36">
        <f t="shared" si="170"/>
        <v>-2037.3799999999999</v>
      </c>
      <c r="M2206" s="37">
        <f t="shared" si="171"/>
        <v>-0.61121461121461118</v>
      </c>
      <c r="N2206" s="17" t="str">
        <f t="shared" si="172"/>
        <v>Under Budget</v>
      </c>
      <c r="O2206" s="38">
        <f t="shared" si="173"/>
        <v>-1295.95</v>
      </c>
      <c r="P2206" s="39">
        <f t="shared" si="174"/>
        <v>45931</v>
      </c>
    </row>
    <row r="2207" spans="1:16" ht="15.5" x14ac:dyDescent="0.35">
      <c r="A2207" s="17" t="s">
        <v>2255</v>
      </c>
      <c r="B2207" s="35">
        <v>46027</v>
      </c>
      <c r="C2207" s="17" t="s">
        <v>12</v>
      </c>
      <c r="D2207" s="17" t="s">
        <v>19</v>
      </c>
      <c r="E2207" s="17" t="s">
        <v>47</v>
      </c>
      <c r="F2207" s="17" t="s">
        <v>52</v>
      </c>
      <c r="G2207" s="17" t="s">
        <v>22</v>
      </c>
      <c r="H2207" s="17" t="s">
        <v>2586</v>
      </c>
      <c r="I2207" s="17" t="s">
        <v>48</v>
      </c>
      <c r="J2207" s="36">
        <v>3395</v>
      </c>
      <c r="K2207" s="36">
        <v>897.82</v>
      </c>
      <c r="L2207" s="36">
        <f t="shared" si="170"/>
        <v>-2497.1799999999998</v>
      </c>
      <c r="M2207" s="37">
        <f t="shared" si="171"/>
        <v>-0.7355463917525773</v>
      </c>
      <c r="N2207" s="17" t="str">
        <f t="shared" si="172"/>
        <v>Under Budget</v>
      </c>
      <c r="O2207" s="38">
        <f t="shared" si="173"/>
        <v>-897.82</v>
      </c>
      <c r="P2207" s="39">
        <f t="shared" si="174"/>
        <v>46023</v>
      </c>
    </row>
    <row r="2208" spans="1:16" ht="15.5" x14ac:dyDescent="0.35">
      <c r="A2208" s="17" t="s">
        <v>2256</v>
      </c>
      <c r="B2208" s="35">
        <v>45664</v>
      </c>
      <c r="C2208" s="17" t="s">
        <v>12</v>
      </c>
      <c r="D2208" s="17" t="s">
        <v>13</v>
      </c>
      <c r="E2208" s="17" t="s">
        <v>45</v>
      </c>
      <c r="F2208" s="17" t="s">
        <v>21</v>
      </c>
      <c r="G2208" s="17" t="s">
        <v>38</v>
      </c>
      <c r="H2208" s="17" t="s">
        <v>2590</v>
      </c>
      <c r="I2208" s="17" t="s">
        <v>17</v>
      </c>
      <c r="J2208" s="36">
        <v>7591.3</v>
      </c>
      <c r="K2208" s="36">
        <v>2317.54</v>
      </c>
      <c r="L2208" s="36">
        <f t="shared" si="170"/>
        <v>-5273.76</v>
      </c>
      <c r="M2208" s="37">
        <f t="shared" si="171"/>
        <v>-0.69471105080816198</v>
      </c>
      <c r="N2208" s="17" t="str">
        <f t="shared" si="172"/>
        <v>Under Budget</v>
      </c>
      <c r="O2208" s="38">
        <f t="shared" si="173"/>
        <v>-2317.54</v>
      </c>
      <c r="P2208" s="39">
        <f t="shared" si="174"/>
        <v>45658</v>
      </c>
    </row>
    <row r="2209" spans="1:16" ht="15.5" x14ac:dyDescent="0.35">
      <c r="A2209" s="17" t="s">
        <v>2257</v>
      </c>
      <c r="B2209" s="35">
        <v>46110</v>
      </c>
      <c r="C2209" s="17" t="s">
        <v>12</v>
      </c>
      <c r="D2209" s="17" t="s">
        <v>32</v>
      </c>
      <c r="E2209" s="17" t="s">
        <v>65</v>
      </c>
      <c r="F2209" s="17" t="s">
        <v>52</v>
      </c>
      <c r="G2209" s="17" t="s">
        <v>38</v>
      </c>
      <c r="H2209" s="17" t="s">
        <v>2588</v>
      </c>
      <c r="I2209" s="17" t="s">
        <v>17</v>
      </c>
      <c r="J2209" s="36">
        <v>5000</v>
      </c>
      <c r="K2209" s="36">
        <v>3374.41</v>
      </c>
      <c r="L2209" s="36">
        <f t="shared" si="170"/>
        <v>-1625.5900000000001</v>
      </c>
      <c r="M2209" s="37">
        <f t="shared" si="171"/>
        <v>-0.32511800000000002</v>
      </c>
      <c r="N2209" s="17" t="str">
        <f t="shared" si="172"/>
        <v>Under Budget</v>
      </c>
      <c r="O2209" s="38">
        <f t="shared" si="173"/>
        <v>-3374.41</v>
      </c>
      <c r="P2209" s="39">
        <f t="shared" si="174"/>
        <v>46082</v>
      </c>
    </row>
    <row r="2210" spans="1:16" ht="15.5" x14ac:dyDescent="0.35">
      <c r="A2210" s="17" t="s">
        <v>2258</v>
      </c>
      <c r="B2210" s="35">
        <v>45828</v>
      </c>
      <c r="C2210" s="17" t="s">
        <v>25</v>
      </c>
      <c r="D2210" s="17" t="s">
        <v>32</v>
      </c>
      <c r="E2210" s="17" t="s">
        <v>33</v>
      </c>
      <c r="F2210" s="17" t="s">
        <v>34</v>
      </c>
      <c r="G2210" s="17" t="s">
        <v>22</v>
      </c>
      <c r="H2210" s="17" t="s">
        <v>2598</v>
      </c>
      <c r="I2210" s="17" t="s">
        <v>48</v>
      </c>
      <c r="J2210" s="36">
        <v>9615.3799999999992</v>
      </c>
      <c r="K2210" s="36">
        <v>13037.33</v>
      </c>
      <c r="L2210" s="36">
        <f t="shared" si="170"/>
        <v>3421.9500000000007</v>
      </c>
      <c r="M2210" s="37">
        <f t="shared" si="171"/>
        <v>0.35588297082382608</v>
      </c>
      <c r="N2210" s="17" t="str">
        <f t="shared" si="172"/>
        <v>Over Budget</v>
      </c>
      <c r="O2210" s="38">
        <f t="shared" si="173"/>
        <v>13037.33</v>
      </c>
      <c r="P2210" s="39">
        <f t="shared" si="174"/>
        <v>45809</v>
      </c>
    </row>
    <row r="2211" spans="1:16" ht="15.5" x14ac:dyDescent="0.35">
      <c r="A2211" s="17" t="s">
        <v>2259</v>
      </c>
      <c r="B2211" s="35">
        <v>45902</v>
      </c>
      <c r="C2211" s="17" t="s">
        <v>25</v>
      </c>
      <c r="D2211" s="17" t="s">
        <v>32</v>
      </c>
      <c r="E2211" s="17" t="s">
        <v>109</v>
      </c>
      <c r="F2211" s="17" t="s">
        <v>34</v>
      </c>
      <c r="G2211" s="17" t="s">
        <v>43</v>
      </c>
      <c r="H2211" s="17" t="s">
        <v>2594</v>
      </c>
      <c r="I2211" s="17" t="s">
        <v>48</v>
      </c>
      <c r="J2211" s="36">
        <v>7142.86</v>
      </c>
      <c r="K2211" s="36">
        <v>15367.67</v>
      </c>
      <c r="L2211" s="36">
        <f t="shared" si="170"/>
        <v>8224.8100000000013</v>
      </c>
      <c r="M2211" s="37">
        <f t="shared" si="171"/>
        <v>1.1514729394108245</v>
      </c>
      <c r="N2211" s="17" t="str">
        <f t="shared" si="172"/>
        <v>Over Budget</v>
      </c>
      <c r="O2211" s="38">
        <f t="shared" si="173"/>
        <v>15367.67</v>
      </c>
      <c r="P2211" s="39">
        <f t="shared" si="174"/>
        <v>45901</v>
      </c>
    </row>
    <row r="2212" spans="1:16" ht="15.5" x14ac:dyDescent="0.35">
      <c r="A2212" s="17" t="s">
        <v>2260</v>
      </c>
      <c r="B2212" s="35">
        <v>45757</v>
      </c>
      <c r="C2212" s="17" t="s">
        <v>12</v>
      </c>
      <c r="D2212" s="17" t="s">
        <v>19</v>
      </c>
      <c r="E2212" s="17" t="s">
        <v>20</v>
      </c>
      <c r="F2212" s="17" t="s">
        <v>28</v>
      </c>
      <c r="G2212" s="17" t="s">
        <v>38</v>
      </c>
      <c r="H2212" s="17" t="s">
        <v>80</v>
      </c>
      <c r="I2212" s="17" t="s">
        <v>23</v>
      </c>
      <c r="J2212" s="36">
        <v>2250</v>
      </c>
      <c r="K2212" s="36">
        <v>1108.5899999999999</v>
      </c>
      <c r="L2212" s="36">
        <f t="shared" si="170"/>
        <v>-1141.4100000000001</v>
      </c>
      <c r="M2212" s="37">
        <f t="shared" si="171"/>
        <v>-0.50729333333333337</v>
      </c>
      <c r="N2212" s="17" t="str">
        <f t="shared" si="172"/>
        <v>Under Budget</v>
      </c>
      <c r="O2212" s="38">
        <f t="shared" si="173"/>
        <v>-1108.5899999999999</v>
      </c>
      <c r="P2212" s="39">
        <f t="shared" si="174"/>
        <v>45748</v>
      </c>
    </row>
    <row r="2213" spans="1:16" ht="15.5" x14ac:dyDescent="0.35">
      <c r="A2213" s="17" t="s">
        <v>2261</v>
      </c>
      <c r="B2213" s="35">
        <v>45915</v>
      </c>
      <c r="C2213" s="17" t="s">
        <v>25</v>
      </c>
      <c r="D2213" s="17" t="s">
        <v>32</v>
      </c>
      <c r="E2213" s="17" t="s">
        <v>33</v>
      </c>
      <c r="F2213" s="17" t="s">
        <v>34</v>
      </c>
      <c r="G2213" s="17" t="s">
        <v>22</v>
      </c>
      <c r="H2213" s="17" t="s">
        <v>2596</v>
      </c>
      <c r="I2213" s="17" t="s">
        <v>30</v>
      </c>
      <c r="J2213" s="36">
        <v>11904.76</v>
      </c>
      <c r="K2213" s="36">
        <v>24468.7</v>
      </c>
      <c r="L2213" s="36">
        <f t="shared" si="170"/>
        <v>12563.94</v>
      </c>
      <c r="M2213" s="37">
        <f t="shared" si="171"/>
        <v>1.0553711288593806</v>
      </c>
      <c r="N2213" s="17" t="str">
        <f t="shared" si="172"/>
        <v>Over Budget</v>
      </c>
      <c r="O2213" s="38">
        <f t="shared" si="173"/>
        <v>24468.7</v>
      </c>
      <c r="P2213" s="39">
        <f t="shared" si="174"/>
        <v>45901</v>
      </c>
    </row>
    <row r="2214" spans="1:16" ht="15.5" x14ac:dyDescent="0.35">
      <c r="A2214" s="17" t="s">
        <v>2262</v>
      </c>
      <c r="B2214" s="35">
        <v>45700</v>
      </c>
      <c r="C2214" s="17" t="s">
        <v>12</v>
      </c>
      <c r="D2214" s="17" t="s">
        <v>2584</v>
      </c>
      <c r="E2214" s="17" t="s">
        <v>41</v>
      </c>
      <c r="F2214" s="17" t="s">
        <v>15</v>
      </c>
      <c r="G2214" s="17" t="s">
        <v>38</v>
      </c>
      <c r="H2214" s="17" t="s">
        <v>2594</v>
      </c>
      <c r="I2214" s="17" t="s">
        <v>23</v>
      </c>
      <c r="J2214" s="36">
        <v>10508.33</v>
      </c>
      <c r="K2214" s="36">
        <v>9859</v>
      </c>
      <c r="L2214" s="36">
        <f t="shared" si="170"/>
        <v>-649.32999999999993</v>
      </c>
      <c r="M2214" s="37">
        <f t="shared" si="171"/>
        <v>-6.1791930782531569E-2</v>
      </c>
      <c r="N2214" s="17" t="str">
        <f t="shared" si="172"/>
        <v>Under Budget</v>
      </c>
      <c r="O2214" s="38">
        <f t="shared" si="173"/>
        <v>-9859</v>
      </c>
      <c r="P2214" s="39">
        <f t="shared" si="174"/>
        <v>45689</v>
      </c>
    </row>
    <row r="2215" spans="1:16" ht="15.5" x14ac:dyDescent="0.35">
      <c r="A2215" s="17" t="s">
        <v>2263</v>
      </c>
      <c r="B2215" s="35">
        <v>45690</v>
      </c>
      <c r="C2215" s="17" t="s">
        <v>12</v>
      </c>
      <c r="D2215" s="17" t="s">
        <v>26</v>
      </c>
      <c r="E2215" s="17" t="s">
        <v>47</v>
      </c>
      <c r="F2215" s="17" t="s">
        <v>21</v>
      </c>
      <c r="G2215" s="17" t="s">
        <v>29</v>
      </c>
      <c r="H2215" s="17" t="s">
        <v>2596</v>
      </c>
      <c r="I2215" s="17" t="s">
        <v>48</v>
      </c>
      <c r="J2215" s="36">
        <v>11316.67</v>
      </c>
      <c r="K2215" s="36">
        <v>4224.76</v>
      </c>
      <c r="L2215" s="36">
        <f t="shared" si="170"/>
        <v>-7091.91</v>
      </c>
      <c r="M2215" s="37">
        <f t="shared" si="171"/>
        <v>-0.62667816592690251</v>
      </c>
      <c r="N2215" s="17" t="str">
        <f t="shared" si="172"/>
        <v>Under Budget</v>
      </c>
      <c r="O2215" s="38">
        <f t="shared" si="173"/>
        <v>-4224.76</v>
      </c>
      <c r="P2215" s="39">
        <f t="shared" si="174"/>
        <v>45689</v>
      </c>
    </row>
    <row r="2216" spans="1:16" ht="15.5" x14ac:dyDescent="0.35">
      <c r="A2216" s="17" t="s">
        <v>2264</v>
      </c>
      <c r="B2216" s="35">
        <v>45781</v>
      </c>
      <c r="C2216" s="17" t="s">
        <v>12</v>
      </c>
      <c r="D2216" s="17" t="s">
        <v>13</v>
      </c>
      <c r="E2216" s="17" t="s">
        <v>77</v>
      </c>
      <c r="F2216" s="17" t="s">
        <v>34</v>
      </c>
      <c r="G2216" s="17" t="s">
        <v>38</v>
      </c>
      <c r="H2216" s="17" t="s">
        <v>60</v>
      </c>
      <c r="I2216" s="17" t="s">
        <v>48</v>
      </c>
      <c r="J2216" s="36">
        <v>5500</v>
      </c>
      <c r="K2216" s="36">
        <v>2061.13</v>
      </c>
      <c r="L2216" s="36">
        <f t="shared" si="170"/>
        <v>-3438.87</v>
      </c>
      <c r="M2216" s="37">
        <f t="shared" si="171"/>
        <v>-0.62524909090909087</v>
      </c>
      <c r="N2216" s="17" t="str">
        <f t="shared" si="172"/>
        <v>Under Budget</v>
      </c>
      <c r="O2216" s="38">
        <f t="shared" si="173"/>
        <v>-2061.13</v>
      </c>
      <c r="P2216" s="39">
        <f t="shared" si="174"/>
        <v>45778</v>
      </c>
    </row>
    <row r="2217" spans="1:16" ht="15.5" x14ac:dyDescent="0.35">
      <c r="A2217" s="17" t="s">
        <v>2265</v>
      </c>
      <c r="B2217" s="35">
        <v>46031</v>
      </c>
      <c r="C2217" s="17" t="s">
        <v>25</v>
      </c>
      <c r="D2217" s="17" t="s">
        <v>32</v>
      </c>
      <c r="E2217" s="17" t="s">
        <v>109</v>
      </c>
      <c r="F2217" s="17" t="s">
        <v>34</v>
      </c>
      <c r="G2217" s="17" t="s">
        <v>38</v>
      </c>
      <c r="H2217" s="17" t="s">
        <v>2591</v>
      </c>
      <c r="I2217" s="17" t="s">
        <v>30</v>
      </c>
      <c r="J2217" s="36">
        <v>6062.5</v>
      </c>
      <c r="K2217" s="36">
        <v>5257.13</v>
      </c>
      <c r="L2217" s="36">
        <f t="shared" si="170"/>
        <v>-805.36999999999989</v>
      </c>
      <c r="M2217" s="37">
        <f t="shared" si="171"/>
        <v>-0.13284453608247421</v>
      </c>
      <c r="N2217" s="17" t="str">
        <f t="shared" si="172"/>
        <v>Under Budget</v>
      </c>
      <c r="O2217" s="38">
        <f t="shared" si="173"/>
        <v>5257.13</v>
      </c>
      <c r="P2217" s="39">
        <f t="shared" si="174"/>
        <v>46023</v>
      </c>
    </row>
    <row r="2218" spans="1:16" ht="15.5" x14ac:dyDescent="0.35">
      <c r="A2218" s="17" t="s">
        <v>2266</v>
      </c>
      <c r="B2218" s="35">
        <v>46002</v>
      </c>
      <c r="C2218" s="17" t="s">
        <v>12</v>
      </c>
      <c r="D2218" s="17" t="s">
        <v>36</v>
      </c>
      <c r="E2218" s="17" t="s">
        <v>20</v>
      </c>
      <c r="F2218" s="17" t="s">
        <v>52</v>
      </c>
      <c r="G2218" s="17" t="s">
        <v>29</v>
      </c>
      <c r="H2218" s="17" t="s">
        <v>60</v>
      </c>
      <c r="I2218" s="17" t="s">
        <v>30</v>
      </c>
      <c r="J2218" s="36">
        <v>2100</v>
      </c>
      <c r="K2218" s="36">
        <v>1411.88</v>
      </c>
      <c r="L2218" s="36">
        <f t="shared" si="170"/>
        <v>-688.11999999999989</v>
      </c>
      <c r="M2218" s="37">
        <f t="shared" si="171"/>
        <v>-0.3276761904761904</v>
      </c>
      <c r="N2218" s="17" t="str">
        <f t="shared" si="172"/>
        <v>Under Budget</v>
      </c>
      <c r="O2218" s="38">
        <f t="shared" si="173"/>
        <v>-1411.88</v>
      </c>
      <c r="P2218" s="39">
        <f t="shared" si="174"/>
        <v>45992</v>
      </c>
    </row>
    <row r="2219" spans="1:16" ht="15.5" x14ac:dyDescent="0.35">
      <c r="A2219" s="17" t="s">
        <v>2267</v>
      </c>
      <c r="B2219" s="35">
        <v>45746</v>
      </c>
      <c r="C2219" s="17" t="s">
        <v>12</v>
      </c>
      <c r="D2219" s="17" t="s">
        <v>2585</v>
      </c>
      <c r="E2219" s="17" t="s">
        <v>37</v>
      </c>
      <c r="F2219" s="17" t="s">
        <v>21</v>
      </c>
      <c r="G2219" s="17" t="s">
        <v>38</v>
      </c>
      <c r="H2219" s="17" t="s">
        <v>2587</v>
      </c>
      <c r="I2219" s="17" t="s">
        <v>30</v>
      </c>
      <c r="J2219" s="36">
        <v>4666.67</v>
      </c>
      <c r="K2219" s="36">
        <v>694.15</v>
      </c>
      <c r="L2219" s="36">
        <f t="shared" si="170"/>
        <v>-3972.52</v>
      </c>
      <c r="M2219" s="37">
        <f t="shared" si="171"/>
        <v>-0.85125367767594451</v>
      </c>
      <c r="N2219" s="17" t="str">
        <f t="shared" si="172"/>
        <v>Under Budget</v>
      </c>
      <c r="O2219" s="38">
        <f t="shared" si="173"/>
        <v>-694.15</v>
      </c>
      <c r="P2219" s="39">
        <f t="shared" si="174"/>
        <v>45717</v>
      </c>
    </row>
    <row r="2220" spans="1:16" ht="15.5" x14ac:dyDescent="0.35">
      <c r="A2220" s="17" t="s">
        <v>2268</v>
      </c>
      <c r="B2220" s="35">
        <v>46104</v>
      </c>
      <c r="C2220" s="17" t="s">
        <v>12</v>
      </c>
      <c r="D2220" s="17" t="s">
        <v>13</v>
      </c>
      <c r="E2220" s="17" t="s">
        <v>74</v>
      </c>
      <c r="F2220" s="17" t="s">
        <v>28</v>
      </c>
      <c r="G2220" s="17" t="s">
        <v>22</v>
      </c>
      <c r="H2220" s="17" t="s">
        <v>2590</v>
      </c>
      <c r="I2220" s="17" t="s">
        <v>48</v>
      </c>
      <c r="J2220" s="36">
        <v>5000</v>
      </c>
      <c r="K2220" s="36">
        <v>3313.96</v>
      </c>
      <c r="L2220" s="36">
        <f t="shared" si="170"/>
        <v>-1686.04</v>
      </c>
      <c r="M2220" s="37">
        <f t="shared" si="171"/>
        <v>-0.33720800000000001</v>
      </c>
      <c r="N2220" s="17" t="str">
        <f t="shared" si="172"/>
        <v>Under Budget</v>
      </c>
      <c r="O2220" s="38">
        <f t="shared" si="173"/>
        <v>-3313.96</v>
      </c>
      <c r="P2220" s="39">
        <f t="shared" si="174"/>
        <v>46082</v>
      </c>
    </row>
    <row r="2221" spans="1:16" ht="15.5" x14ac:dyDescent="0.35">
      <c r="A2221" s="17" t="s">
        <v>2269</v>
      </c>
      <c r="B2221" s="35">
        <v>45910</v>
      </c>
      <c r="C2221" s="17" t="s">
        <v>25</v>
      </c>
      <c r="D2221" s="17" t="s">
        <v>2585</v>
      </c>
      <c r="E2221" s="17" t="s">
        <v>33</v>
      </c>
      <c r="F2221" s="17" t="s">
        <v>15</v>
      </c>
      <c r="G2221" s="17" t="s">
        <v>38</v>
      </c>
      <c r="H2221" s="17" t="s">
        <v>60</v>
      </c>
      <c r="I2221" s="17" t="s">
        <v>23</v>
      </c>
      <c r="J2221" s="36">
        <v>11904.76</v>
      </c>
      <c r="K2221" s="36">
        <v>9362.81</v>
      </c>
      <c r="L2221" s="36">
        <f t="shared" si="170"/>
        <v>-2541.9500000000007</v>
      </c>
      <c r="M2221" s="37">
        <f t="shared" si="171"/>
        <v>-0.21352383416381351</v>
      </c>
      <c r="N2221" s="17" t="str">
        <f t="shared" si="172"/>
        <v>Under Budget</v>
      </c>
      <c r="O2221" s="38">
        <f t="shared" si="173"/>
        <v>9362.81</v>
      </c>
      <c r="P2221" s="39">
        <f t="shared" si="174"/>
        <v>45901</v>
      </c>
    </row>
    <row r="2222" spans="1:16" ht="15.5" x14ac:dyDescent="0.35">
      <c r="A2222" s="17" t="s">
        <v>2270</v>
      </c>
      <c r="B2222" s="35">
        <v>45901</v>
      </c>
      <c r="C2222" s="17" t="s">
        <v>12</v>
      </c>
      <c r="D2222" s="17" t="s">
        <v>2584</v>
      </c>
      <c r="E2222" s="17" t="s">
        <v>74</v>
      </c>
      <c r="F2222" s="17" t="s">
        <v>28</v>
      </c>
      <c r="G2222" s="17" t="s">
        <v>38</v>
      </c>
      <c r="H2222" s="17" t="s">
        <v>2592</v>
      </c>
      <c r="I2222" s="17" t="s">
        <v>39</v>
      </c>
      <c r="J2222" s="36">
        <v>5000</v>
      </c>
      <c r="K2222" s="36">
        <v>943.2</v>
      </c>
      <c r="L2222" s="36">
        <f t="shared" si="170"/>
        <v>-4056.8</v>
      </c>
      <c r="M2222" s="37">
        <f t="shared" si="171"/>
        <v>-0.81136000000000008</v>
      </c>
      <c r="N2222" s="17" t="str">
        <f t="shared" si="172"/>
        <v>Under Budget</v>
      </c>
      <c r="O2222" s="38">
        <f t="shared" si="173"/>
        <v>-943.2</v>
      </c>
      <c r="P2222" s="39">
        <f t="shared" si="174"/>
        <v>45901</v>
      </c>
    </row>
    <row r="2223" spans="1:16" ht="15.5" x14ac:dyDescent="0.35">
      <c r="A2223" s="17" t="s">
        <v>2271</v>
      </c>
      <c r="B2223" s="35">
        <v>46184</v>
      </c>
      <c r="C2223" s="17" t="s">
        <v>12</v>
      </c>
      <c r="D2223" s="17" t="s">
        <v>2584</v>
      </c>
      <c r="E2223" s="17" t="s">
        <v>14</v>
      </c>
      <c r="F2223" s="17" t="s">
        <v>52</v>
      </c>
      <c r="G2223" s="17" t="s">
        <v>16</v>
      </c>
      <c r="H2223" s="17" t="s">
        <v>2589</v>
      </c>
      <c r="I2223" s="17" t="s">
        <v>23</v>
      </c>
      <c r="J2223" s="36">
        <v>3555.56</v>
      </c>
      <c r="K2223" s="36">
        <v>4613.25</v>
      </c>
      <c r="L2223" s="36">
        <f t="shared" si="170"/>
        <v>1057.69</v>
      </c>
      <c r="M2223" s="37">
        <f t="shared" si="171"/>
        <v>0.29747494065632418</v>
      </c>
      <c r="N2223" s="17" t="str">
        <f t="shared" si="172"/>
        <v>Over Budget</v>
      </c>
      <c r="O2223" s="38">
        <f t="shared" si="173"/>
        <v>-4613.25</v>
      </c>
      <c r="P2223" s="39">
        <f t="shared" si="174"/>
        <v>46174</v>
      </c>
    </row>
    <row r="2224" spans="1:16" ht="15.5" x14ac:dyDescent="0.35">
      <c r="A2224" s="17" t="s">
        <v>2272</v>
      </c>
      <c r="B2224" s="35">
        <v>45786</v>
      </c>
      <c r="C2224" s="17" t="s">
        <v>25</v>
      </c>
      <c r="D2224" s="17" t="s">
        <v>32</v>
      </c>
      <c r="E2224" s="17" t="s">
        <v>33</v>
      </c>
      <c r="F2224" s="17" t="s">
        <v>15</v>
      </c>
      <c r="G2224" s="17" t="s">
        <v>38</v>
      </c>
      <c r="H2224" s="17" t="s">
        <v>2588</v>
      </c>
      <c r="I2224" s="17" t="s">
        <v>30</v>
      </c>
      <c r="J2224" s="36">
        <v>9615.3799999999992</v>
      </c>
      <c r="K2224" s="36">
        <v>5615.95</v>
      </c>
      <c r="L2224" s="36">
        <f t="shared" si="170"/>
        <v>-3999.4299999999994</v>
      </c>
      <c r="M2224" s="37">
        <f t="shared" si="171"/>
        <v>-0.41594091965164143</v>
      </c>
      <c r="N2224" s="17" t="str">
        <f t="shared" si="172"/>
        <v>Under Budget</v>
      </c>
      <c r="O2224" s="38">
        <f t="shared" si="173"/>
        <v>5615.95</v>
      </c>
      <c r="P2224" s="39">
        <f t="shared" si="174"/>
        <v>45778</v>
      </c>
    </row>
    <row r="2225" spans="1:16" ht="15.5" x14ac:dyDescent="0.35">
      <c r="A2225" s="17" t="s">
        <v>2273</v>
      </c>
      <c r="B2225" s="35">
        <v>46029</v>
      </c>
      <c r="C2225" s="17" t="s">
        <v>25</v>
      </c>
      <c r="D2225" s="17" t="s">
        <v>32</v>
      </c>
      <c r="E2225" s="17" t="s">
        <v>33</v>
      </c>
      <c r="F2225" s="17" t="s">
        <v>52</v>
      </c>
      <c r="G2225" s="17" t="s">
        <v>82</v>
      </c>
      <c r="H2225" s="17" t="s">
        <v>2595</v>
      </c>
      <c r="I2225" s="17" t="s">
        <v>23</v>
      </c>
      <c r="J2225" s="36">
        <v>11547.62</v>
      </c>
      <c r="K2225" s="36">
        <v>20908.61</v>
      </c>
      <c r="L2225" s="36">
        <f t="shared" si="170"/>
        <v>9360.99</v>
      </c>
      <c r="M2225" s="37">
        <f t="shared" si="171"/>
        <v>0.81064236613258833</v>
      </c>
      <c r="N2225" s="17" t="str">
        <f t="shared" si="172"/>
        <v>Over Budget</v>
      </c>
      <c r="O2225" s="38">
        <f t="shared" si="173"/>
        <v>20908.61</v>
      </c>
      <c r="P2225" s="39">
        <f t="shared" si="174"/>
        <v>46023</v>
      </c>
    </row>
    <row r="2226" spans="1:16" ht="15.5" x14ac:dyDescent="0.35">
      <c r="A2226" s="17" t="s">
        <v>2274</v>
      </c>
      <c r="B2226" s="35">
        <v>45953</v>
      </c>
      <c r="C2226" s="17" t="s">
        <v>25</v>
      </c>
      <c r="D2226" s="17" t="s">
        <v>36</v>
      </c>
      <c r="E2226" s="17" t="s">
        <v>109</v>
      </c>
      <c r="F2226" s="17" t="s">
        <v>28</v>
      </c>
      <c r="G2226" s="17" t="s">
        <v>38</v>
      </c>
      <c r="H2226" s="17" t="s">
        <v>2589</v>
      </c>
      <c r="I2226" s="17" t="s">
        <v>17</v>
      </c>
      <c r="J2226" s="36">
        <v>7692.31</v>
      </c>
      <c r="K2226" s="36">
        <v>16938.439999999999</v>
      </c>
      <c r="L2226" s="36">
        <f t="shared" si="170"/>
        <v>9246.1299999999974</v>
      </c>
      <c r="M2226" s="37">
        <f t="shared" si="171"/>
        <v>1.2019965394010377</v>
      </c>
      <c r="N2226" s="17" t="str">
        <f t="shared" si="172"/>
        <v>Over Budget</v>
      </c>
      <c r="O2226" s="38">
        <f t="shared" si="173"/>
        <v>16938.439999999999</v>
      </c>
      <c r="P2226" s="39">
        <f t="shared" si="174"/>
        <v>45931</v>
      </c>
    </row>
    <row r="2227" spans="1:16" ht="15.5" x14ac:dyDescent="0.35">
      <c r="A2227" s="17" t="s">
        <v>2275</v>
      </c>
      <c r="B2227" s="35">
        <v>45858</v>
      </c>
      <c r="C2227" s="17" t="s">
        <v>12</v>
      </c>
      <c r="D2227" s="17" t="s">
        <v>13</v>
      </c>
      <c r="E2227" s="17" t="s">
        <v>20</v>
      </c>
      <c r="F2227" s="17" t="s">
        <v>15</v>
      </c>
      <c r="G2227" s="17" t="s">
        <v>38</v>
      </c>
      <c r="H2227" s="17" t="s">
        <v>2588</v>
      </c>
      <c r="I2227" s="17" t="s">
        <v>30</v>
      </c>
      <c r="J2227" s="36">
        <v>2250</v>
      </c>
      <c r="K2227" s="36">
        <v>349.36</v>
      </c>
      <c r="L2227" s="36">
        <f t="shared" si="170"/>
        <v>-1900.6399999999999</v>
      </c>
      <c r="M2227" s="37">
        <f t="shared" si="171"/>
        <v>-0.84472888888888886</v>
      </c>
      <c r="N2227" s="17" t="str">
        <f t="shared" si="172"/>
        <v>Under Budget</v>
      </c>
      <c r="O2227" s="38">
        <f t="shared" si="173"/>
        <v>-349.36</v>
      </c>
      <c r="P2227" s="39">
        <f t="shared" si="174"/>
        <v>45839</v>
      </c>
    </row>
    <row r="2228" spans="1:16" ht="15.5" x14ac:dyDescent="0.35">
      <c r="A2228" s="17" t="s">
        <v>2276</v>
      </c>
      <c r="B2228" s="35">
        <v>45721</v>
      </c>
      <c r="C2228" s="17" t="s">
        <v>12</v>
      </c>
      <c r="D2228" s="17" t="s">
        <v>19</v>
      </c>
      <c r="E2228" s="17" t="s">
        <v>14</v>
      </c>
      <c r="F2228" s="17" t="s">
        <v>28</v>
      </c>
      <c r="G2228" s="17" t="s">
        <v>16</v>
      </c>
      <c r="H2228" s="17" t="s">
        <v>2598</v>
      </c>
      <c r="I2228" s="17" t="s">
        <v>39</v>
      </c>
      <c r="J2228" s="36">
        <v>4571.43</v>
      </c>
      <c r="K2228" s="36">
        <v>3408.67</v>
      </c>
      <c r="L2228" s="36">
        <f t="shared" si="170"/>
        <v>-1162.7600000000002</v>
      </c>
      <c r="M2228" s="37">
        <f t="shared" si="171"/>
        <v>-0.25435367051447799</v>
      </c>
      <c r="N2228" s="17" t="str">
        <f t="shared" si="172"/>
        <v>Under Budget</v>
      </c>
      <c r="O2228" s="38">
        <f t="shared" si="173"/>
        <v>-3408.67</v>
      </c>
      <c r="P2228" s="39">
        <f t="shared" si="174"/>
        <v>45717</v>
      </c>
    </row>
    <row r="2229" spans="1:16" ht="15.5" x14ac:dyDescent="0.35">
      <c r="A2229" s="17" t="s">
        <v>2277</v>
      </c>
      <c r="B2229" s="35">
        <v>45661</v>
      </c>
      <c r="C2229" s="17" t="s">
        <v>25</v>
      </c>
      <c r="D2229" s="17" t="s">
        <v>32</v>
      </c>
      <c r="E2229" s="17" t="s">
        <v>33</v>
      </c>
      <c r="F2229" s="17" t="s">
        <v>52</v>
      </c>
      <c r="G2229" s="17" t="s">
        <v>38</v>
      </c>
      <c r="H2229" s="17" t="s">
        <v>2592</v>
      </c>
      <c r="I2229" s="17" t="s">
        <v>30</v>
      </c>
      <c r="J2229" s="36">
        <v>11022.73</v>
      </c>
      <c r="K2229" s="36">
        <v>16766.91</v>
      </c>
      <c r="L2229" s="36">
        <f t="shared" si="170"/>
        <v>5744.18</v>
      </c>
      <c r="M2229" s="37">
        <f t="shared" si="171"/>
        <v>0.52112135559883987</v>
      </c>
      <c r="N2229" s="17" t="str">
        <f t="shared" si="172"/>
        <v>Over Budget</v>
      </c>
      <c r="O2229" s="38">
        <f t="shared" si="173"/>
        <v>16766.91</v>
      </c>
      <c r="P2229" s="39">
        <f t="shared" si="174"/>
        <v>45658</v>
      </c>
    </row>
    <row r="2230" spans="1:16" ht="15.5" x14ac:dyDescent="0.35">
      <c r="A2230" s="17" t="s">
        <v>2278</v>
      </c>
      <c r="B2230" s="35">
        <v>45732</v>
      </c>
      <c r="C2230" s="17" t="s">
        <v>12</v>
      </c>
      <c r="D2230" s="17" t="s">
        <v>2584</v>
      </c>
      <c r="E2230" s="17" t="s">
        <v>45</v>
      </c>
      <c r="F2230" s="17" t="s">
        <v>28</v>
      </c>
      <c r="G2230" s="17" t="s">
        <v>43</v>
      </c>
      <c r="H2230" s="17" t="s">
        <v>2588</v>
      </c>
      <c r="I2230" s="17" t="s">
        <v>23</v>
      </c>
      <c r="J2230" s="36">
        <v>6000</v>
      </c>
      <c r="K2230" s="36">
        <v>9407.16</v>
      </c>
      <c r="L2230" s="36">
        <f t="shared" si="170"/>
        <v>3407.16</v>
      </c>
      <c r="M2230" s="37">
        <f t="shared" si="171"/>
        <v>0.56785999999999992</v>
      </c>
      <c r="N2230" s="17" t="str">
        <f t="shared" si="172"/>
        <v>Over Budget</v>
      </c>
      <c r="O2230" s="38">
        <f t="shared" si="173"/>
        <v>-9407.16</v>
      </c>
      <c r="P2230" s="39">
        <f t="shared" si="174"/>
        <v>45717</v>
      </c>
    </row>
    <row r="2231" spans="1:16" ht="15.5" x14ac:dyDescent="0.35">
      <c r="A2231" s="17" t="s">
        <v>2279</v>
      </c>
      <c r="B2231" s="35">
        <v>45831</v>
      </c>
      <c r="C2231" s="17" t="s">
        <v>25</v>
      </c>
      <c r="D2231" s="17" t="s">
        <v>13</v>
      </c>
      <c r="E2231" s="17" t="s">
        <v>109</v>
      </c>
      <c r="F2231" s="17" t="s">
        <v>28</v>
      </c>
      <c r="G2231" s="17" t="s">
        <v>22</v>
      </c>
      <c r="H2231" s="17" t="s">
        <v>2595</v>
      </c>
      <c r="I2231" s="17" t="s">
        <v>17</v>
      </c>
      <c r="J2231" s="36">
        <v>6250</v>
      </c>
      <c r="K2231" s="36">
        <v>849.95</v>
      </c>
      <c r="L2231" s="36">
        <f t="shared" si="170"/>
        <v>-5400.05</v>
      </c>
      <c r="M2231" s="37">
        <f t="shared" si="171"/>
        <v>-0.864008</v>
      </c>
      <c r="N2231" s="17" t="str">
        <f t="shared" si="172"/>
        <v>Under Budget</v>
      </c>
      <c r="O2231" s="38">
        <f t="shared" si="173"/>
        <v>849.95</v>
      </c>
      <c r="P2231" s="39">
        <f t="shared" si="174"/>
        <v>45809</v>
      </c>
    </row>
    <row r="2232" spans="1:16" ht="15.5" x14ac:dyDescent="0.35">
      <c r="A2232" s="17" t="s">
        <v>2280</v>
      </c>
      <c r="B2232" s="35">
        <v>45762</v>
      </c>
      <c r="C2232" s="17" t="s">
        <v>12</v>
      </c>
      <c r="D2232" s="17" t="s">
        <v>2585</v>
      </c>
      <c r="E2232" s="17" t="s">
        <v>51</v>
      </c>
      <c r="F2232" s="17" t="s">
        <v>28</v>
      </c>
      <c r="G2232" s="17" t="s">
        <v>29</v>
      </c>
      <c r="H2232" s="17" t="s">
        <v>2587</v>
      </c>
      <c r="I2232" s="17" t="s">
        <v>23</v>
      </c>
      <c r="J2232" s="36">
        <v>3750</v>
      </c>
      <c r="K2232" s="36">
        <v>6123.85</v>
      </c>
      <c r="L2232" s="36">
        <f t="shared" si="170"/>
        <v>2373.8500000000004</v>
      </c>
      <c r="M2232" s="37">
        <f t="shared" si="171"/>
        <v>0.63302666666666674</v>
      </c>
      <c r="N2232" s="17" t="str">
        <f t="shared" si="172"/>
        <v>Over Budget</v>
      </c>
      <c r="O2232" s="38">
        <f t="shared" si="173"/>
        <v>-6123.85</v>
      </c>
      <c r="P2232" s="39">
        <f t="shared" si="174"/>
        <v>45748</v>
      </c>
    </row>
    <row r="2233" spans="1:16" ht="15.5" x14ac:dyDescent="0.35">
      <c r="A2233" s="17" t="s">
        <v>2281</v>
      </c>
      <c r="B2233" s="35">
        <v>45921</v>
      </c>
      <c r="C2233" s="17" t="s">
        <v>12</v>
      </c>
      <c r="D2233" s="17" t="s">
        <v>2585</v>
      </c>
      <c r="E2233" s="17" t="s">
        <v>37</v>
      </c>
      <c r="F2233" s="17" t="s">
        <v>52</v>
      </c>
      <c r="G2233" s="17" t="s">
        <v>16</v>
      </c>
      <c r="H2233" s="17" t="s">
        <v>2587</v>
      </c>
      <c r="I2233" s="17" t="s">
        <v>23</v>
      </c>
      <c r="J2233" s="36">
        <v>3500</v>
      </c>
      <c r="K2233" s="36">
        <v>863.37</v>
      </c>
      <c r="L2233" s="36">
        <f t="shared" si="170"/>
        <v>-2636.63</v>
      </c>
      <c r="M2233" s="37">
        <f t="shared" si="171"/>
        <v>-0.75332285714285718</v>
      </c>
      <c r="N2233" s="17" t="str">
        <f t="shared" si="172"/>
        <v>Under Budget</v>
      </c>
      <c r="O2233" s="38">
        <f t="shared" si="173"/>
        <v>-863.37</v>
      </c>
      <c r="P2233" s="39">
        <f t="shared" si="174"/>
        <v>45901</v>
      </c>
    </row>
    <row r="2234" spans="1:16" ht="15.5" x14ac:dyDescent="0.35">
      <c r="A2234" s="17" t="s">
        <v>2282</v>
      </c>
      <c r="B2234" s="35">
        <v>45747</v>
      </c>
      <c r="C2234" s="17" t="s">
        <v>12</v>
      </c>
      <c r="D2234" s="17" t="s">
        <v>13</v>
      </c>
      <c r="E2234" s="17" t="s">
        <v>45</v>
      </c>
      <c r="F2234" s="17" t="s">
        <v>21</v>
      </c>
      <c r="G2234" s="17" t="s">
        <v>38</v>
      </c>
      <c r="H2234" s="17" t="s">
        <v>2591</v>
      </c>
      <c r="I2234" s="17" t="s">
        <v>39</v>
      </c>
      <c r="J2234" s="36">
        <v>6000</v>
      </c>
      <c r="K2234" s="36">
        <v>15927.66</v>
      </c>
      <c r="L2234" s="36">
        <f t="shared" si="170"/>
        <v>9927.66</v>
      </c>
      <c r="M2234" s="37">
        <f t="shared" si="171"/>
        <v>1.6546099999999999</v>
      </c>
      <c r="N2234" s="17" t="str">
        <f t="shared" si="172"/>
        <v>Over Budget</v>
      </c>
      <c r="O2234" s="38">
        <f t="shared" si="173"/>
        <v>-15927.66</v>
      </c>
      <c r="P2234" s="39">
        <f t="shared" si="174"/>
        <v>45717</v>
      </c>
    </row>
    <row r="2235" spans="1:16" ht="15.5" x14ac:dyDescent="0.35">
      <c r="A2235" s="17" t="s">
        <v>2283</v>
      </c>
      <c r="B2235" s="35">
        <v>46087</v>
      </c>
      <c r="C2235" s="17" t="s">
        <v>12</v>
      </c>
      <c r="D2235" s="17" t="s">
        <v>36</v>
      </c>
      <c r="E2235" s="17" t="s">
        <v>65</v>
      </c>
      <c r="F2235" s="17" t="s">
        <v>21</v>
      </c>
      <c r="G2235" s="17" t="s">
        <v>82</v>
      </c>
      <c r="H2235" s="17" t="s">
        <v>80</v>
      </c>
      <c r="I2235" s="17" t="s">
        <v>30</v>
      </c>
      <c r="J2235" s="36">
        <v>5000</v>
      </c>
      <c r="K2235" s="36">
        <v>6259.04</v>
      </c>
      <c r="L2235" s="36">
        <f t="shared" si="170"/>
        <v>1259.04</v>
      </c>
      <c r="M2235" s="37">
        <f t="shared" si="171"/>
        <v>0.25180799999999998</v>
      </c>
      <c r="N2235" s="17" t="str">
        <f t="shared" si="172"/>
        <v>Over Budget</v>
      </c>
      <c r="O2235" s="38">
        <f t="shared" si="173"/>
        <v>-6259.04</v>
      </c>
      <c r="P2235" s="39">
        <f t="shared" si="174"/>
        <v>46082</v>
      </c>
    </row>
    <row r="2236" spans="1:16" ht="15.5" x14ac:dyDescent="0.35">
      <c r="A2236" s="17" t="s">
        <v>2284</v>
      </c>
      <c r="B2236" s="35">
        <v>46012</v>
      </c>
      <c r="C2236" s="17" t="s">
        <v>12</v>
      </c>
      <c r="D2236" s="17" t="s">
        <v>36</v>
      </c>
      <c r="E2236" s="17" t="s">
        <v>45</v>
      </c>
      <c r="F2236" s="17" t="s">
        <v>15</v>
      </c>
      <c r="G2236" s="17" t="s">
        <v>38</v>
      </c>
      <c r="H2236" s="17" t="s">
        <v>2594</v>
      </c>
      <c r="I2236" s="17" t="s">
        <v>48</v>
      </c>
      <c r="J2236" s="36">
        <v>7875</v>
      </c>
      <c r="K2236" s="36">
        <v>2029.26</v>
      </c>
      <c r="L2236" s="36">
        <f t="shared" si="170"/>
        <v>-5845.74</v>
      </c>
      <c r="M2236" s="37">
        <f t="shared" si="171"/>
        <v>-0.74231619047619046</v>
      </c>
      <c r="N2236" s="17" t="str">
        <f t="shared" si="172"/>
        <v>Under Budget</v>
      </c>
      <c r="O2236" s="38">
        <f t="shared" si="173"/>
        <v>-2029.26</v>
      </c>
      <c r="P2236" s="39">
        <f t="shared" si="174"/>
        <v>45992</v>
      </c>
    </row>
    <row r="2237" spans="1:16" ht="15.5" x14ac:dyDescent="0.35">
      <c r="A2237" s="17" t="s">
        <v>2285</v>
      </c>
      <c r="B2237" s="35">
        <v>45981</v>
      </c>
      <c r="C2237" s="17" t="s">
        <v>25</v>
      </c>
      <c r="D2237" s="17" t="s">
        <v>32</v>
      </c>
      <c r="E2237" s="17" t="s">
        <v>2583</v>
      </c>
      <c r="F2237" s="17" t="s">
        <v>34</v>
      </c>
      <c r="G2237" s="17" t="s">
        <v>16</v>
      </c>
      <c r="H2237" s="17" t="s">
        <v>2590</v>
      </c>
      <c r="I2237" s="17" t="s">
        <v>39</v>
      </c>
      <c r="J2237" s="36">
        <v>9545.4500000000007</v>
      </c>
      <c r="K2237" s="36">
        <v>7152.61</v>
      </c>
      <c r="L2237" s="36">
        <f t="shared" si="170"/>
        <v>-2392.8400000000011</v>
      </c>
      <c r="M2237" s="37">
        <f t="shared" si="171"/>
        <v>-0.25067859556123606</v>
      </c>
      <c r="N2237" s="17" t="str">
        <f t="shared" si="172"/>
        <v>Under Budget</v>
      </c>
      <c r="O2237" s="38">
        <f t="shared" si="173"/>
        <v>7152.61</v>
      </c>
      <c r="P2237" s="39">
        <f t="shared" si="174"/>
        <v>45962</v>
      </c>
    </row>
    <row r="2238" spans="1:16" ht="15.5" x14ac:dyDescent="0.35">
      <c r="A2238" s="17" t="s">
        <v>2286</v>
      </c>
      <c r="B2238" s="35">
        <v>46011</v>
      </c>
      <c r="C2238" s="17" t="s">
        <v>12</v>
      </c>
      <c r="D2238" s="17" t="s">
        <v>2584</v>
      </c>
      <c r="E2238" s="17" t="s">
        <v>45</v>
      </c>
      <c r="F2238" s="17" t="s">
        <v>52</v>
      </c>
      <c r="G2238" s="17" t="s">
        <v>38</v>
      </c>
      <c r="H2238" s="17" t="s">
        <v>2596</v>
      </c>
      <c r="I2238" s="17" t="s">
        <v>30</v>
      </c>
      <c r="J2238" s="36">
        <v>7875</v>
      </c>
      <c r="K2238" s="36">
        <v>17364.63</v>
      </c>
      <c r="L2238" s="36">
        <f t="shared" si="170"/>
        <v>9489.630000000001</v>
      </c>
      <c r="M2238" s="37">
        <f t="shared" si="171"/>
        <v>1.2050323809523811</v>
      </c>
      <c r="N2238" s="17" t="str">
        <f t="shared" si="172"/>
        <v>Over Budget</v>
      </c>
      <c r="O2238" s="38">
        <f t="shared" si="173"/>
        <v>-17364.63</v>
      </c>
      <c r="P2238" s="39">
        <f t="shared" si="174"/>
        <v>45992</v>
      </c>
    </row>
    <row r="2239" spans="1:16" ht="15.5" x14ac:dyDescent="0.35">
      <c r="A2239" s="17" t="s">
        <v>2287</v>
      </c>
      <c r="B2239" s="35">
        <v>46190</v>
      </c>
      <c r="C2239" s="17" t="s">
        <v>25</v>
      </c>
      <c r="D2239" s="17" t="s">
        <v>2583</v>
      </c>
      <c r="E2239" s="17" t="s">
        <v>27</v>
      </c>
      <c r="F2239" s="17" t="s">
        <v>34</v>
      </c>
      <c r="G2239" s="17" t="s">
        <v>29</v>
      </c>
      <c r="H2239" s="17" t="s">
        <v>60</v>
      </c>
      <c r="I2239" s="17" t="s">
        <v>23</v>
      </c>
      <c r="J2239" s="36">
        <v>7272.73</v>
      </c>
      <c r="K2239" s="36">
        <v>3988.5</v>
      </c>
      <c r="L2239" s="36">
        <f t="shared" si="170"/>
        <v>-3284.2299999999996</v>
      </c>
      <c r="M2239" s="37">
        <f t="shared" si="171"/>
        <v>-0.45158145565695412</v>
      </c>
      <c r="N2239" s="17" t="str">
        <f t="shared" si="172"/>
        <v>Under Budget</v>
      </c>
      <c r="O2239" s="38">
        <f t="shared" si="173"/>
        <v>3988.5</v>
      </c>
      <c r="P2239" s="39">
        <f t="shared" si="174"/>
        <v>46174</v>
      </c>
    </row>
    <row r="2240" spans="1:16" ht="15.5" x14ac:dyDescent="0.35">
      <c r="A2240" s="17" t="s">
        <v>2288</v>
      </c>
      <c r="B2240" s="35">
        <v>46004</v>
      </c>
      <c r="C2240" s="17" t="s">
        <v>25</v>
      </c>
      <c r="D2240" s="17" t="s">
        <v>26</v>
      </c>
      <c r="E2240" s="17" t="s">
        <v>109</v>
      </c>
      <c r="F2240" s="17" t="s">
        <v>15</v>
      </c>
      <c r="G2240" s="17" t="s">
        <v>16</v>
      </c>
      <c r="H2240" s="17" t="s">
        <v>2586</v>
      </c>
      <c r="I2240" s="17" t="s">
        <v>17</v>
      </c>
      <c r="J2240" s="36">
        <v>9545.4500000000007</v>
      </c>
      <c r="K2240" s="36">
        <v>13689.86</v>
      </c>
      <c r="L2240" s="36">
        <f t="shared" si="170"/>
        <v>4144.41</v>
      </c>
      <c r="M2240" s="37">
        <f t="shared" si="171"/>
        <v>0.43417649246499634</v>
      </c>
      <c r="N2240" s="17" t="str">
        <f t="shared" si="172"/>
        <v>Over Budget</v>
      </c>
      <c r="O2240" s="38">
        <f t="shared" si="173"/>
        <v>13689.86</v>
      </c>
      <c r="P2240" s="39">
        <f t="shared" si="174"/>
        <v>45992</v>
      </c>
    </row>
    <row r="2241" spans="1:16" ht="15.5" x14ac:dyDescent="0.35">
      <c r="A2241" s="17" t="s">
        <v>2289</v>
      </c>
      <c r="B2241" s="35">
        <v>46057</v>
      </c>
      <c r="C2241" s="17" t="s">
        <v>12</v>
      </c>
      <c r="D2241" s="17" t="s">
        <v>2584</v>
      </c>
      <c r="E2241" s="17" t="s">
        <v>37</v>
      </c>
      <c r="F2241" s="17" t="s">
        <v>28</v>
      </c>
      <c r="G2241" s="17" t="s">
        <v>22</v>
      </c>
      <c r="H2241" s="17" t="s">
        <v>2598</v>
      </c>
      <c r="I2241" s="17" t="s">
        <v>48</v>
      </c>
      <c r="J2241" s="36">
        <v>3880</v>
      </c>
      <c r="K2241" s="36">
        <v>1796.42</v>
      </c>
      <c r="L2241" s="36">
        <f t="shared" si="170"/>
        <v>-2083.58</v>
      </c>
      <c r="M2241" s="37">
        <f t="shared" si="171"/>
        <v>-0.5370051546391752</v>
      </c>
      <c r="N2241" s="17" t="str">
        <f t="shared" si="172"/>
        <v>Under Budget</v>
      </c>
      <c r="O2241" s="38">
        <f t="shared" si="173"/>
        <v>-1796.42</v>
      </c>
      <c r="P2241" s="39">
        <f t="shared" si="174"/>
        <v>46054</v>
      </c>
    </row>
    <row r="2242" spans="1:16" ht="15.5" x14ac:dyDescent="0.35">
      <c r="A2242" s="17" t="s">
        <v>2290</v>
      </c>
      <c r="B2242" s="35">
        <v>45691</v>
      </c>
      <c r="C2242" s="17" t="s">
        <v>12</v>
      </c>
      <c r="D2242" s="17" t="s">
        <v>2584</v>
      </c>
      <c r="E2242" s="17" t="s">
        <v>74</v>
      </c>
      <c r="F2242" s="17" t="s">
        <v>28</v>
      </c>
      <c r="G2242" s="17" t="s">
        <v>38</v>
      </c>
      <c r="H2242" s="17" t="s">
        <v>2598</v>
      </c>
      <c r="I2242" s="17" t="s">
        <v>30</v>
      </c>
      <c r="J2242" s="36">
        <v>5542.86</v>
      </c>
      <c r="K2242" s="36">
        <v>5778.56</v>
      </c>
      <c r="L2242" s="36">
        <f t="shared" si="170"/>
        <v>235.70000000000073</v>
      </c>
      <c r="M2242" s="37">
        <f t="shared" si="171"/>
        <v>4.2523173957126958E-2</v>
      </c>
      <c r="N2242" s="17" t="str">
        <f t="shared" si="172"/>
        <v>Over Budget</v>
      </c>
      <c r="O2242" s="38">
        <f t="shared" si="173"/>
        <v>-5778.56</v>
      </c>
      <c r="P2242" s="39">
        <f t="shared" si="174"/>
        <v>45689</v>
      </c>
    </row>
    <row r="2243" spans="1:16" ht="15.5" x14ac:dyDescent="0.35">
      <c r="A2243" s="17" t="s">
        <v>2291</v>
      </c>
      <c r="B2243" s="35">
        <v>45694</v>
      </c>
      <c r="C2243" s="17" t="s">
        <v>12</v>
      </c>
      <c r="D2243" s="17" t="s">
        <v>2584</v>
      </c>
      <c r="E2243" s="17" t="s">
        <v>20</v>
      </c>
      <c r="F2243" s="17" t="s">
        <v>15</v>
      </c>
      <c r="G2243" s="17" t="s">
        <v>38</v>
      </c>
      <c r="H2243" s="17" t="s">
        <v>2592</v>
      </c>
      <c r="I2243" s="17" t="s">
        <v>48</v>
      </c>
      <c r="J2243" s="36">
        <v>1940</v>
      </c>
      <c r="K2243" s="36">
        <v>195.78</v>
      </c>
      <c r="L2243" s="36">
        <f t="shared" ref="L2243:L2306" si="175">K2243-J2243</f>
        <v>-1744.22</v>
      </c>
      <c r="M2243" s="37">
        <f t="shared" ref="M2243:M2306" si="176">IF(J2243=0,0,L2243/J2243)</f>
        <v>-0.8990824742268041</v>
      </c>
      <c r="N2243" s="17" t="str">
        <f t="shared" ref="N2243:N2306" si="177">IF(J2243=0,"No Budget",IF(K2243&gt;J2243,"Over Budget",IF(K2243&lt;J2243,"Under Budget","On Budget")))</f>
        <v>Under Budget</v>
      </c>
      <c r="O2243" s="38">
        <f t="shared" ref="O2243:O2306" si="178">IF(C2243="Revenue",K2243,-K2243)</f>
        <v>-195.78</v>
      </c>
      <c r="P2243" s="39">
        <f t="shared" ref="P2243:P2306" si="179">DATE(YEAR(B2243),MONTH(B2243),1)</f>
        <v>45689</v>
      </c>
    </row>
    <row r="2244" spans="1:16" ht="15.5" x14ac:dyDescent="0.35">
      <c r="A2244" s="17" t="s">
        <v>2292</v>
      </c>
      <c r="B2244" s="35">
        <v>45857</v>
      </c>
      <c r="C2244" s="17" t="s">
        <v>12</v>
      </c>
      <c r="D2244" s="17" t="s">
        <v>19</v>
      </c>
      <c r="E2244" s="17" t="s">
        <v>20</v>
      </c>
      <c r="F2244" s="17" t="s">
        <v>52</v>
      </c>
      <c r="G2244" s="17" t="s">
        <v>38</v>
      </c>
      <c r="H2244" s="17" t="s">
        <v>2587</v>
      </c>
      <c r="I2244" s="17" t="s">
        <v>23</v>
      </c>
      <c r="J2244" s="36">
        <v>2250</v>
      </c>
      <c r="K2244" s="36">
        <v>974.66</v>
      </c>
      <c r="L2244" s="36">
        <f t="shared" si="175"/>
        <v>-1275.3400000000001</v>
      </c>
      <c r="M2244" s="37">
        <f t="shared" si="176"/>
        <v>-0.56681777777777786</v>
      </c>
      <c r="N2244" s="17" t="str">
        <f t="shared" si="177"/>
        <v>Under Budget</v>
      </c>
      <c r="O2244" s="38">
        <f t="shared" si="178"/>
        <v>-974.66</v>
      </c>
      <c r="P2244" s="39">
        <f t="shared" si="179"/>
        <v>45839</v>
      </c>
    </row>
    <row r="2245" spans="1:16" ht="15.5" x14ac:dyDescent="0.35">
      <c r="A2245" s="17" t="s">
        <v>2293</v>
      </c>
      <c r="B2245" s="35">
        <v>45781</v>
      </c>
      <c r="C2245" s="17" t="s">
        <v>12</v>
      </c>
      <c r="D2245" s="17" t="s">
        <v>2585</v>
      </c>
      <c r="E2245" s="17" t="s">
        <v>65</v>
      </c>
      <c r="F2245" s="17" t="s">
        <v>15</v>
      </c>
      <c r="G2245" s="17" t="s">
        <v>29</v>
      </c>
      <c r="H2245" s="17" t="s">
        <v>2591</v>
      </c>
      <c r="I2245" s="17" t="s">
        <v>17</v>
      </c>
      <c r="J2245" s="36">
        <v>5500</v>
      </c>
      <c r="K2245" s="36">
        <v>2388.12</v>
      </c>
      <c r="L2245" s="36">
        <f t="shared" si="175"/>
        <v>-3111.88</v>
      </c>
      <c r="M2245" s="37">
        <f t="shared" si="176"/>
        <v>-0.56579636363636365</v>
      </c>
      <c r="N2245" s="17" t="str">
        <f t="shared" si="177"/>
        <v>Under Budget</v>
      </c>
      <c r="O2245" s="38">
        <f t="shared" si="178"/>
        <v>-2388.12</v>
      </c>
      <c r="P2245" s="39">
        <f t="shared" si="179"/>
        <v>45778</v>
      </c>
    </row>
    <row r="2246" spans="1:16" ht="15.5" x14ac:dyDescent="0.35">
      <c r="A2246" s="17" t="s">
        <v>2294</v>
      </c>
      <c r="B2246" s="35">
        <v>46198</v>
      </c>
      <c r="C2246" s="17" t="s">
        <v>12</v>
      </c>
      <c r="D2246" s="17" t="s">
        <v>26</v>
      </c>
      <c r="E2246" s="17" t="s">
        <v>74</v>
      </c>
      <c r="F2246" s="17" t="s">
        <v>15</v>
      </c>
      <c r="G2246" s="17" t="s">
        <v>16</v>
      </c>
      <c r="H2246" s="17" t="s">
        <v>2587</v>
      </c>
      <c r="I2246" s="17" t="s">
        <v>39</v>
      </c>
      <c r="J2246" s="36">
        <v>3076.92</v>
      </c>
      <c r="K2246" s="36">
        <v>4072.26</v>
      </c>
      <c r="L2246" s="36">
        <f t="shared" si="175"/>
        <v>995.34000000000015</v>
      </c>
      <c r="M2246" s="37">
        <f t="shared" si="176"/>
        <v>0.3234858234858235</v>
      </c>
      <c r="N2246" s="17" t="str">
        <f t="shared" si="177"/>
        <v>Over Budget</v>
      </c>
      <c r="O2246" s="38">
        <f t="shared" si="178"/>
        <v>-4072.26</v>
      </c>
      <c r="P2246" s="39">
        <f t="shared" si="179"/>
        <v>46174</v>
      </c>
    </row>
    <row r="2247" spans="1:16" ht="15.5" x14ac:dyDescent="0.35">
      <c r="A2247" s="17" t="s">
        <v>2295</v>
      </c>
      <c r="B2247" s="35">
        <v>45751</v>
      </c>
      <c r="C2247" s="17" t="s">
        <v>12</v>
      </c>
      <c r="D2247" s="17" t="s">
        <v>19</v>
      </c>
      <c r="E2247" s="17" t="s">
        <v>20</v>
      </c>
      <c r="F2247" s="17" t="s">
        <v>21</v>
      </c>
      <c r="G2247" s="17" t="s">
        <v>82</v>
      </c>
      <c r="H2247" s="17" t="s">
        <v>2595</v>
      </c>
      <c r="I2247" s="17" t="s">
        <v>39</v>
      </c>
      <c r="J2247" s="36">
        <v>2250</v>
      </c>
      <c r="K2247" s="36">
        <v>804.34</v>
      </c>
      <c r="L2247" s="36">
        <f t="shared" si="175"/>
        <v>-1445.6599999999999</v>
      </c>
      <c r="M2247" s="37">
        <f t="shared" si="176"/>
        <v>-0.64251555555555551</v>
      </c>
      <c r="N2247" s="17" t="str">
        <f t="shared" si="177"/>
        <v>Under Budget</v>
      </c>
      <c r="O2247" s="38">
        <f t="shared" si="178"/>
        <v>-804.34</v>
      </c>
      <c r="P2247" s="39">
        <f t="shared" si="179"/>
        <v>45748</v>
      </c>
    </row>
    <row r="2248" spans="1:16" ht="15.5" x14ac:dyDescent="0.35">
      <c r="A2248" s="17" t="s">
        <v>2296</v>
      </c>
      <c r="B2248" s="35">
        <v>45813</v>
      </c>
      <c r="C2248" s="17" t="s">
        <v>25</v>
      </c>
      <c r="D2248" s="17" t="s">
        <v>26</v>
      </c>
      <c r="E2248" s="17" t="s">
        <v>27</v>
      </c>
      <c r="F2248" s="17" t="s">
        <v>15</v>
      </c>
      <c r="G2248" s="17" t="s">
        <v>29</v>
      </c>
      <c r="H2248" s="17" t="s">
        <v>2589</v>
      </c>
      <c r="I2248" s="17" t="s">
        <v>30</v>
      </c>
      <c r="J2248" s="36">
        <v>5333.33</v>
      </c>
      <c r="K2248" s="36">
        <v>2178.06</v>
      </c>
      <c r="L2248" s="36">
        <f t="shared" si="175"/>
        <v>-3155.27</v>
      </c>
      <c r="M2248" s="37">
        <f t="shared" si="176"/>
        <v>-0.59161349475843428</v>
      </c>
      <c r="N2248" s="17" t="str">
        <f t="shared" si="177"/>
        <v>Under Budget</v>
      </c>
      <c r="O2248" s="38">
        <f t="shared" si="178"/>
        <v>2178.06</v>
      </c>
      <c r="P2248" s="39">
        <f t="shared" si="179"/>
        <v>45809</v>
      </c>
    </row>
    <row r="2249" spans="1:16" ht="15.5" x14ac:dyDescent="0.35">
      <c r="A2249" s="17" t="s">
        <v>2297</v>
      </c>
      <c r="B2249" s="35">
        <v>45875</v>
      </c>
      <c r="C2249" s="17" t="s">
        <v>12</v>
      </c>
      <c r="D2249" s="17" t="s">
        <v>36</v>
      </c>
      <c r="E2249" s="17" t="s">
        <v>14</v>
      </c>
      <c r="F2249" s="17" t="s">
        <v>34</v>
      </c>
      <c r="G2249" s="17" t="s">
        <v>29</v>
      </c>
      <c r="H2249" s="17" t="s">
        <v>2592</v>
      </c>
      <c r="I2249" s="17" t="s">
        <v>17</v>
      </c>
      <c r="J2249" s="36">
        <v>0</v>
      </c>
      <c r="K2249" s="36">
        <v>6870.58</v>
      </c>
      <c r="L2249" s="36">
        <f t="shared" si="175"/>
        <v>6870.58</v>
      </c>
      <c r="M2249" s="37">
        <f t="shared" si="176"/>
        <v>0</v>
      </c>
      <c r="N2249" s="17" t="str">
        <f t="shared" si="177"/>
        <v>No Budget</v>
      </c>
      <c r="O2249" s="38">
        <f t="shared" si="178"/>
        <v>-6870.58</v>
      </c>
      <c r="P2249" s="39">
        <f t="shared" si="179"/>
        <v>45870</v>
      </c>
    </row>
    <row r="2250" spans="1:16" ht="15.5" x14ac:dyDescent="0.35">
      <c r="A2250" s="17" t="s">
        <v>2298</v>
      </c>
      <c r="B2250" s="35">
        <v>46002</v>
      </c>
      <c r="C2250" s="17" t="s">
        <v>25</v>
      </c>
      <c r="D2250" s="17" t="s">
        <v>32</v>
      </c>
      <c r="E2250" s="17" t="s">
        <v>33</v>
      </c>
      <c r="F2250" s="17" t="s">
        <v>15</v>
      </c>
      <c r="G2250" s="17" t="s">
        <v>38</v>
      </c>
      <c r="H2250" s="17" t="s">
        <v>2592</v>
      </c>
      <c r="I2250" s="17" t="s">
        <v>23</v>
      </c>
      <c r="J2250" s="36">
        <v>15441.18</v>
      </c>
      <c r="K2250" s="36">
        <v>17271.18</v>
      </c>
      <c r="L2250" s="36">
        <f t="shared" si="175"/>
        <v>1830</v>
      </c>
      <c r="M2250" s="37">
        <f t="shared" si="176"/>
        <v>0.11851425862531231</v>
      </c>
      <c r="N2250" s="17" t="str">
        <f t="shared" si="177"/>
        <v>Over Budget</v>
      </c>
      <c r="O2250" s="38">
        <f t="shared" si="178"/>
        <v>17271.18</v>
      </c>
      <c r="P2250" s="39">
        <f t="shared" si="179"/>
        <v>45992</v>
      </c>
    </row>
    <row r="2251" spans="1:16" ht="15.5" x14ac:dyDescent="0.35">
      <c r="A2251" s="17" t="s">
        <v>2299</v>
      </c>
      <c r="B2251" s="35">
        <v>46010</v>
      </c>
      <c r="C2251" s="17" t="s">
        <v>25</v>
      </c>
      <c r="D2251" s="17" t="s">
        <v>32</v>
      </c>
      <c r="E2251" s="17" t="s">
        <v>33</v>
      </c>
      <c r="F2251" s="17" t="s">
        <v>34</v>
      </c>
      <c r="G2251" s="17" t="s">
        <v>82</v>
      </c>
      <c r="H2251" s="17" t="s">
        <v>2591</v>
      </c>
      <c r="I2251" s="17" t="s">
        <v>48</v>
      </c>
      <c r="J2251" s="36">
        <v>15441.18</v>
      </c>
      <c r="K2251" s="36">
        <v>16091.82</v>
      </c>
      <c r="L2251" s="36">
        <f t="shared" si="175"/>
        <v>650.63999999999942</v>
      </c>
      <c r="M2251" s="37">
        <f t="shared" si="176"/>
        <v>4.213667608304543E-2</v>
      </c>
      <c r="N2251" s="17" t="str">
        <f t="shared" si="177"/>
        <v>Over Budget</v>
      </c>
      <c r="O2251" s="38">
        <f t="shared" si="178"/>
        <v>16091.82</v>
      </c>
      <c r="P2251" s="39">
        <f t="shared" si="179"/>
        <v>45992</v>
      </c>
    </row>
    <row r="2252" spans="1:16" ht="15.5" x14ac:dyDescent="0.35">
      <c r="A2252" s="17" t="s">
        <v>2300</v>
      </c>
      <c r="B2252" s="35">
        <v>45934</v>
      </c>
      <c r="C2252" s="17" t="s">
        <v>12</v>
      </c>
      <c r="D2252" s="17" t="s">
        <v>26</v>
      </c>
      <c r="E2252" s="17" t="s">
        <v>74</v>
      </c>
      <c r="F2252" s="17" t="s">
        <v>21</v>
      </c>
      <c r="G2252" s="17" t="s">
        <v>82</v>
      </c>
      <c r="H2252" s="17" t="s">
        <v>2593</v>
      </c>
      <c r="I2252" s="17" t="s">
        <v>48</v>
      </c>
      <c r="J2252" s="36">
        <v>3333.33</v>
      </c>
      <c r="K2252" s="36">
        <v>5212.3</v>
      </c>
      <c r="L2252" s="36">
        <f t="shared" si="175"/>
        <v>1878.9700000000003</v>
      </c>
      <c r="M2252" s="37">
        <f t="shared" si="176"/>
        <v>0.56369156369156381</v>
      </c>
      <c r="N2252" s="17" t="str">
        <f t="shared" si="177"/>
        <v>Over Budget</v>
      </c>
      <c r="O2252" s="38">
        <f t="shared" si="178"/>
        <v>-5212.3</v>
      </c>
      <c r="P2252" s="39">
        <f t="shared" si="179"/>
        <v>45931</v>
      </c>
    </row>
    <row r="2253" spans="1:16" ht="15.5" x14ac:dyDescent="0.35">
      <c r="A2253" s="17" t="s">
        <v>2301</v>
      </c>
      <c r="B2253" s="35">
        <v>45796</v>
      </c>
      <c r="C2253" s="17" t="s">
        <v>25</v>
      </c>
      <c r="D2253" s="17" t="s">
        <v>13</v>
      </c>
      <c r="E2253" s="17" t="s">
        <v>27</v>
      </c>
      <c r="F2253" s="17" t="s">
        <v>52</v>
      </c>
      <c r="G2253" s="17" t="s">
        <v>38</v>
      </c>
      <c r="H2253" s="17" t="s">
        <v>2587</v>
      </c>
      <c r="I2253" s="17" t="s">
        <v>39</v>
      </c>
      <c r="J2253" s="36">
        <v>10000</v>
      </c>
      <c r="K2253" s="36">
        <v>3710.43</v>
      </c>
      <c r="L2253" s="36">
        <f t="shared" si="175"/>
        <v>-6289.57</v>
      </c>
      <c r="M2253" s="37">
        <f t="shared" si="176"/>
        <v>-0.62895699999999999</v>
      </c>
      <c r="N2253" s="17" t="str">
        <f t="shared" si="177"/>
        <v>Under Budget</v>
      </c>
      <c r="O2253" s="38">
        <f t="shared" si="178"/>
        <v>3710.43</v>
      </c>
      <c r="P2253" s="39">
        <f t="shared" si="179"/>
        <v>45778</v>
      </c>
    </row>
    <row r="2254" spans="1:16" ht="15.5" x14ac:dyDescent="0.35">
      <c r="A2254" s="17" t="s">
        <v>2302</v>
      </c>
      <c r="B2254" s="35">
        <v>45921</v>
      </c>
      <c r="C2254" s="17" t="s">
        <v>12</v>
      </c>
      <c r="D2254" s="17" t="s">
        <v>2585</v>
      </c>
      <c r="E2254" s="17" t="s">
        <v>77</v>
      </c>
      <c r="F2254" s="17" t="s">
        <v>21</v>
      </c>
      <c r="G2254" s="17" t="s">
        <v>38</v>
      </c>
      <c r="H2254" s="17" t="s">
        <v>80</v>
      </c>
      <c r="I2254" s="17" t="s">
        <v>39</v>
      </c>
      <c r="J2254" s="36">
        <v>5500</v>
      </c>
      <c r="K2254" s="36">
        <v>3581.08</v>
      </c>
      <c r="L2254" s="36">
        <f t="shared" si="175"/>
        <v>-1918.92</v>
      </c>
      <c r="M2254" s="37">
        <f t="shared" si="176"/>
        <v>-0.34889454545454546</v>
      </c>
      <c r="N2254" s="17" t="str">
        <f t="shared" si="177"/>
        <v>Under Budget</v>
      </c>
      <c r="O2254" s="38">
        <f t="shared" si="178"/>
        <v>-3581.08</v>
      </c>
      <c r="P2254" s="39">
        <f t="shared" si="179"/>
        <v>45901</v>
      </c>
    </row>
    <row r="2255" spans="1:16" ht="15.5" x14ac:dyDescent="0.35">
      <c r="A2255" s="17" t="s">
        <v>2303</v>
      </c>
      <c r="B2255" s="35">
        <v>45826</v>
      </c>
      <c r="C2255" s="17" t="s">
        <v>12</v>
      </c>
      <c r="D2255" s="17" t="s">
        <v>36</v>
      </c>
      <c r="E2255" s="17" t="s">
        <v>47</v>
      </c>
      <c r="F2255" s="17" t="s">
        <v>34</v>
      </c>
      <c r="G2255" s="17" t="s">
        <v>38</v>
      </c>
      <c r="H2255" s="17" t="s">
        <v>2596</v>
      </c>
      <c r="I2255" s="17" t="s">
        <v>30</v>
      </c>
      <c r="J2255" s="36">
        <v>4375</v>
      </c>
      <c r="K2255" s="36">
        <v>2835.34</v>
      </c>
      <c r="L2255" s="36">
        <f t="shared" si="175"/>
        <v>-1539.6599999999999</v>
      </c>
      <c r="M2255" s="37">
        <f t="shared" si="176"/>
        <v>-0.35192228571428569</v>
      </c>
      <c r="N2255" s="17" t="str">
        <f t="shared" si="177"/>
        <v>Under Budget</v>
      </c>
      <c r="O2255" s="38">
        <f t="shared" si="178"/>
        <v>-2835.34</v>
      </c>
      <c r="P2255" s="39">
        <f t="shared" si="179"/>
        <v>45809</v>
      </c>
    </row>
    <row r="2256" spans="1:16" ht="15.5" x14ac:dyDescent="0.35">
      <c r="A2256" s="17" t="s">
        <v>2304</v>
      </c>
      <c r="B2256" s="35">
        <v>45921</v>
      </c>
      <c r="C2256" s="17" t="s">
        <v>12</v>
      </c>
      <c r="D2256" s="17" t="s">
        <v>32</v>
      </c>
      <c r="E2256" s="17" t="s">
        <v>20</v>
      </c>
      <c r="F2256" s="17" t="s">
        <v>34</v>
      </c>
      <c r="G2256" s="17" t="s">
        <v>82</v>
      </c>
      <c r="H2256" s="17" t="s">
        <v>2598</v>
      </c>
      <c r="I2256" s="17" t="s">
        <v>39</v>
      </c>
      <c r="J2256" s="36">
        <v>3600</v>
      </c>
      <c r="K2256" s="36">
        <v>1000.76</v>
      </c>
      <c r="L2256" s="36">
        <f t="shared" si="175"/>
        <v>-2599.2399999999998</v>
      </c>
      <c r="M2256" s="37">
        <f t="shared" si="176"/>
        <v>-0.72201111111111105</v>
      </c>
      <c r="N2256" s="17" t="str">
        <f t="shared" si="177"/>
        <v>Under Budget</v>
      </c>
      <c r="O2256" s="38">
        <f t="shared" si="178"/>
        <v>-1000.76</v>
      </c>
      <c r="P2256" s="39">
        <f t="shared" si="179"/>
        <v>45901</v>
      </c>
    </row>
    <row r="2257" spans="1:16" ht="15.5" x14ac:dyDescent="0.35">
      <c r="A2257" s="17" t="s">
        <v>2305</v>
      </c>
      <c r="B2257" s="35">
        <v>46170</v>
      </c>
      <c r="C2257" s="17" t="s">
        <v>12</v>
      </c>
      <c r="D2257" s="17" t="s">
        <v>26</v>
      </c>
      <c r="E2257" s="17" t="s">
        <v>47</v>
      </c>
      <c r="F2257" s="17" t="s">
        <v>52</v>
      </c>
      <c r="G2257" s="17" t="s">
        <v>38</v>
      </c>
      <c r="H2257" s="17" t="s">
        <v>2587</v>
      </c>
      <c r="I2257" s="17" t="s">
        <v>39</v>
      </c>
      <c r="J2257" s="36">
        <v>2692.31</v>
      </c>
      <c r="K2257" s="36">
        <v>4504.41</v>
      </c>
      <c r="L2257" s="36">
        <f t="shared" si="175"/>
        <v>1812.1</v>
      </c>
      <c r="M2257" s="37">
        <f t="shared" si="176"/>
        <v>0.67306513737273932</v>
      </c>
      <c r="N2257" s="17" t="str">
        <f t="shared" si="177"/>
        <v>Over Budget</v>
      </c>
      <c r="O2257" s="38">
        <f t="shared" si="178"/>
        <v>-4504.41</v>
      </c>
      <c r="P2257" s="39">
        <f t="shared" si="179"/>
        <v>46143</v>
      </c>
    </row>
    <row r="2258" spans="1:16" ht="15.5" x14ac:dyDescent="0.35">
      <c r="A2258" s="17" t="s">
        <v>2306</v>
      </c>
      <c r="B2258" s="35">
        <v>45774</v>
      </c>
      <c r="C2258" s="17" t="s">
        <v>12</v>
      </c>
      <c r="D2258" s="17" t="s">
        <v>26</v>
      </c>
      <c r="E2258" s="17" t="s">
        <v>74</v>
      </c>
      <c r="F2258" s="17" t="s">
        <v>52</v>
      </c>
      <c r="G2258" s="17" t="s">
        <v>38</v>
      </c>
      <c r="H2258" s="17" t="s">
        <v>2592</v>
      </c>
      <c r="I2258" s="17" t="s">
        <v>23</v>
      </c>
      <c r="J2258" s="36">
        <v>5714.29</v>
      </c>
      <c r="K2258" s="36">
        <v>5942.88</v>
      </c>
      <c r="L2258" s="36">
        <f t="shared" si="175"/>
        <v>228.59000000000015</v>
      </c>
      <c r="M2258" s="37">
        <f t="shared" si="176"/>
        <v>4.0003219997585028E-2</v>
      </c>
      <c r="N2258" s="17" t="str">
        <f t="shared" si="177"/>
        <v>Over Budget</v>
      </c>
      <c r="O2258" s="38">
        <f t="shared" si="178"/>
        <v>-5942.88</v>
      </c>
      <c r="P2258" s="39">
        <f t="shared" si="179"/>
        <v>45748</v>
      </c>
    </row>
    <row r="2259" spans="1:16" ht="15.5" x14ac:dyDescent="0.35">
      <c r="A2259" s="17" t="s">
        <v>2307</v>
      </c>
      <c r="B2259" s="35">
        <v>45797</v>
      </c>
      <c r="C2259" s="17" t="s">
        <v>12</v>
      </c>
      <c r="D2259" s="17" t="s">
        <v>19</v>
      </c>
      <c r="E2259" s="17" t="s">
        <v>14</v>
      </c>
      <c r="F2259" s="17" t="s">
        <v>52</v>
      </c>
      <c r="G2259" s="17" t="s">
        <v>82</v>
      </c>
      <c r="H2259" s="17" t="s">
        <v>2587</v>
      </c>
      <c r="I2259" s="17" t="s">
        <v>48</v>
      </c>
      <c r="J2259" s="36">
        <v>2909.09</v>
      </c>
      <c r="K2259" s="36">
        <v>5251.58</v>
      </c>
      <c r="L2259" s="36">
        <f t="shared" si="175"/>
        <v>2342.4899999999998</v>
      </c>
      <c r="M2259" s="37">
        <f t="shared" si="176"/>
        <v>0.80523118913474645</v>
      </c>
      <c r="N2259" s="17" t="str">
        <f t="shared" si="177"/>
        <v>Over Budget</v>
      </c>
      <c r="O2259" s="38">
        <f t="shared" si="178"/>
        <v>-5251.58</v>
      </c>
      <c r="P2259" s="39">
        <f t="shared" si="179"/>
        <v>45778</v>
      </c>
    </row>
    <row r="2260" spans="1:16" ht="15.5" x14ac:dyDescent="0.35">
      <c r="A2260" s="17" t="s">
        <v>2308</v>
      </c>
      <c r="B2260" s="35">
        <v>45766</v>
      </c>
      <c r="C2260" s="17" t="s">
        <v>12</v>
      </c>
      <c r="D2260" s="17" t="s">
        <v>2584</v>
      </c>
      <c r="E2260" s="17" t="s">
        <v>45</v>
      </c>
      <c r="F2260" s="17" t="s">
        <v>52</v>
      </c>
      <c r="G2260" s="17" t="s">
        <v>43</v>
      </c>
      <c r="H2260" s="17" t="s">
        <v>2591</v>
      </c>
      <c r="I2260" s="17" t="s">
        <v>30</v>
      </c>
      <c r="J2260" s="36">
        <v>13846.15</v>
      </c>
      <c r="K2260" s="36">
        <v>16730.310000000001</v>
      </c>
      <c r="L2260" s="36">
        <f t="shared" si="175"/>
        <v>2884.1600000000017</v>
      </c>
      <c r="M2260" s="37">
        <f t="shared" si="176"/>
        <v>0.20830050230569522</v>
      </c>
      <c r="N2260" s="17" t="str">
        <f t="shared" si="177"/>
        <v>Over Budget</v>
      </c>
      <c r="O2260" s="38">
        <f t="shared" si="178"/>
        <v>-16730.310000000001</v>
      </c>
      <c r="P2260" s="39">
        <f t="shared" si="179"/>
        <v>45748</v>
      </c>
    </row>
    <row r="2261" spans="1:16" ht="15.5" x14ac:dyDescent="0.35">
      <c r="A2261" s="17" t="s">
        <v>2309</v>
      </c>
      <c r="B2261" s="35">
        <v>45792</v>
      </c>
      <c r="C2261" s="17" t="s">
        <v>12</v>
      </c>
      <c r="D2261" s="17" t="s">
        <v>19</v>
      </c>
      <c r="E2261" s="17" t="s">
        <v>37</v>
      </c>
      <c r="F2261" s="17" t="s">
        <v>34</v>
      </c>
      <c r="G2261" s="17" t="s">
        <v>38</v>
      </c>
      <c r="H2261" s="17" t="s">
        <v>2594</v>
      </c>
      <c r="I2261" s="17" t="s">
        <v>30</v>
      </c>
      <c r="J2261" s="36">
        <v>4000</v>
      </c>
      <c r="K2261" s="36">
        <v>1582.35</v>
      </c>
      <c r="L2261" s="36">
        <f t="shared" si="175"/>
        <v>-2417.65</v>
      </c>
      <c r="M2261" s="37">
        <f t="shared" si="176"/>
        <v>-0.60441250000000002</v>
      </c>
      <c r="N2261" s="17" t="str">
        <f t="shared" si="177"/>
        <v>Under Budget</v>
      </c>
      <c r="O2261" s="38">
        <f t="shared" si="178"/>
        <v>-1582.35</v>
      </c>
      <c r="P2261" s="39">
        <f t="shared" si="179"/>
        <v>45778</v>
      </c>
    </row>
    <row r="2262" spans="1:16" ht="15.5" x14ac:dyDescent="0.35">
      <c r="A2262" s="17" t="s">
        <v>2310</v>
      </c>
      <c r="B2262" s="35">
        <v>46067</v>
      </c>
      <c r="C2262" s="17" t="s">
        <v>12</v>
      </c>
      <c r="D2262" s="17" t="s">
        <v>13</v>
      </c>
      <c r="E2262" s="17" t="s">
        <v>74</v>
      </c>
      <c r="F2262" s="17" t="s">
        <v>52</v>
      </c>
      <c r="G2262" s="17" t="s">
        <v>38</v>
      </c>
      <c r="H2262" s="17" t="s">
        <v>80</v>
      </c>
      <c r="I2262" s="17" t="s">
        <v>30</v>
      </c>
      <c r="J2262" s="36">
        <v>9700</v>
      </c>
      <c r="K2262" s="36">
        <v>5760.77</v>
      </c>
      <c r="L2262" s="36">
        <f t="shared" si="175"/>
        <v>-3939.2299999999996</v>
      </c>
      <c r="M2262" s="37">
        <f t="shared" si="176"/>
        <v>-0.40610618556701028</v>
      </c>
      <c r="N2262" s="17" t="str">
        <f t="shared" si="177"/>
        <v>Under Budget</v>
      </c>
      <c r="O2262" s="38">
        <f t="shared" si="178"/>
        <v>-5760.77</v>
      </c>
      <c r="P2262" s="39">
        <f t="shared" si="179"/>
        <v>46054</v>
      </c>
    </row>
    <row r="2263" spans="1:16" ht="15.5" x14ac:dyDescent="0.35">
      <c r="A2263" s="17" t="s">
        <v>2311</v>
      </c>
      <c r="B2263" s="35">
        <v>45911</v>
      </c>
      <c r="C2263" s="17" t="s">
        <v>12</v>
      </c>
      <c r="D2263" s="17" t="s">
        <v>2585</v>
      </c>
      <c r="E2263" s="17" t="s">
        <v>41</v>
      </c>
      <c r="F2263" s="17" t="s">
        <v>28</v>
      </c>
      <c r="G2263" s="17" t="s">
        <v>38</v>
      </c>
      <c r="H2263" s="17" t="s">
        <v>2590</v>
      </c>
      <c r="I2263" s="17" t="s">
        <v>23</v>
      </c>
      <c r="J2263" s="36">
        <v>9285.7099999999991</v>
      </c>
      <c r="K2263" s="36">
        <v>5768.68</v>
      </c>
      <c r="L2263" s="36">
        <f t="shared" si="175"/>
        <v>-3517.0299999999988</v>
      </c>
      <c r="M2263" s="37">
        <f t="shared" si="176"/>
        <v>-0.37875725173411612</v>
      </c>
      <c r="N2263" s="17" t="str">
        <f t="shared" si="177"/>
        <v>Under Budget</v>
      </c>
      <c r="O2263" s="38">
        <f t="shared" si="178"/>
        <v>-5768.68</v>
      </c>
      <c r="P2263" s="39">
        <f t="shared" si="179"/>
        <v>45901</v>
      </c>
    </row>
    <row r="2264" spans="1:16" ht="15.5" x14ac:dyDescent="0.35">
      <c r="A2264" s="17" t="s">
        <v>2312</v>
      </c>
      <c r="B2264" s="35">
        <v>46063</v>
      </c>
      <c r="C2264" s="17" t="s">
        <v>12</v>
      </c>
      <c r="D2264" s="17" t="s">
        <v>2584</v>
      </c>
      <c r="E2264" s="17" t="s">
        <v>51</v>
      </c>
      <c r="F2264" s="17" t="s">
        <v>34</v>
      </c>
      <c r="G2264" s="17" t="s">
        <v>38</v>
      </c>
      <c r="H2264" s="17" t="s">
        <v>2598</v>
      </c>
      <c r="I2264" s="17" t="s">
        <v>48</v>
      </c>
      <c r="J2264" s="36">
        <v>2910</v>
      </c>
      <c r="K2264" s="36">
        <v>3375.15</v>
      </c>
      <c r="L2264" s="36">
        <f t="shared" si="175"/>
        <v>465.15000000000009</v>
      </c>
      <c r="M2264" s="37">
        <f t="shared" si="176"/>
        <v>0.15984536082474229</v>
      </c>
      <c r="N2264" s="17" t="str">
        <f t="shared" si="177"/>
        <v>Over Budget</v>
      </c>
      <c r="O2264" s="38">
        <f t="shared" si="178"/>
        <v>-3375.15</v>
      </c>
      <c r="P2264" s="39">
        <f t="shared" si="179"/>
        <v>46054</v>
      </c>
    </row>
    <row r="2265" spans="1:16" ht="15.5" x14ac:dyDescent="0.35">
      <c r="A2265" s="17" t="s">
        <v>2313</v>
      </c>
      <c r="B2265" s="35">
        <v>45973</v>
      </c>
      <c r="C2265" s="17" t="s">
        <v>12</v>
      </c>
      <c r="D2265" s="17" t="s">
        <v>2584</v>
      </c>
      <c r="E2265" s="17" t="s">
        <v>45</v>
      </c>
      <c r="F2265" s="17" t="s">
        <v>21</v>
      </c>
      <c r="G2265" s="17" t="s">
        <v>43</v>
      </c>
      <c r="H2265" s="17" t="s">
        <v>2598</v>
      </c>
      <c r="I2265" s="17" t="s">
        <v>30</v>
      </c>
      <c r="J2265" s="36">
        <v>9947.3700000000008</v>
      </c>
      <c r="K2265" s="36">
        <v>11054.33</v>
      </c>
      <c r="L2265" s="36">
        <f t="shared" si="175"/>
        <v>1106.9599999999991</v>
      </c>
      <c r="M2265" s="37">
        <f t="shared" si="176"/>
        <v>0.11128167545793502</v>
      </c>
      <c r="N2265" s="17" t="str">
        <f t="shared" si="177"/>
        <v>Over Budget</v>
      </c>
      <c r="O2265" s="38">
        <f t="shared" si="178"/>
        <v>-11054.33</v>
      </c>
      <c r="P2265" s="39">
        <f t="shared" si="179"/>
        <v>45962</v>
      </c>
    </row>
    <row r="2266" spans="1:16" ht="15.5" x14ac:dyDescent="0.35">
      <c r="A2266" s="17" t="s">
        <v>2314</v>
      </c>
      <c r="B2266" s="35">
        <v>45880</v>
      </c>
      <c r="C2266" s="17" t="s">
        <v>25</v>
      </c>
      <c r="D2266" s="17" t="s">
        <v>32</v>
      </c>
      <c r="E2266" s="17" t="s">
        <v>33</v>
      </c>
      <c r="F2266" s="17" t="s">
        <v>52</v>
      </c>
      <c r="G2266" s="17" t="s">
        <v>38</v>
      </c>
      <c r="H2266" s="17" t="s">
        <v>2591</v>
      </c>
      <c r="I2266" s="17" t="s">
        <v>39</v>
      </c>
      <c r="J2266" s="36">
        <v>10416.67</v>
      </c>
      <c r="K2266" s="36">
        <v>7228.66</v>
      </c>
      <c r="L2266" s="36">
        <f t="shared" si="175"/>
        <v>-3188.01</v>
      </c>
      <c r="M2266" s="37">
        <f t="shared" si="176"/>
        <v>-0.30604886206436416</v>
      </c>
      <c r="N2266" s="17" t="str">
        <f t="shared" si="177"/>
        <v>Under Budget</v>
      </c>
      <c r="O2266" s="38">
        <f t="shared" si="178"/>
        <v>7228.66</v>
      </c>
      <c r="P2266" s="39">
        <f t="shared" si="179"/>
        <v>45870</v>
      </c>
    </row>
    <row r="2267" spans="1:16" ht="15.5" x14ac:dyDescent="0.35">
      <c r="A2267" s="17" t="s">
        <v>2315</v>
      </c>
      <c r="B2267" s="35">
        <v>46048</v>
      </c>
      <c r="C2267" s="17" t="s">
        <v>25</v>
      </c>
      <c r="D2267" s="17" t="s">
        <v>32</v>
      </c>
      <c r="E2267" s="17" t="s">
        <v>109</v>
      </c>
      <c r="F2267" s="17" t="s">
        <v>34</v>
      </c>
      <c r="G2267" s="17" t="s">
        <v>38</v>
      </c>
      <c r="H2267" s="17" t="s">
        <v>2591</v>
      </c>
      <c r="I2267" s="17" t="s">
        <v>23</v>
      </c>
      <c r="J2267" s="36">
        <v>6062.5</v>
      </c>
      <c r="K2267" s="36">
        <v>9302.09</v>
      </c>
      <c r="L2267" s="36">
        <f t="shared" si="175"/>
        <v>3239.59</v>
      </c>
      <c r="M2267" s="37">
        <f t="shared" si="176"/>
        <v>0.53436536082474229</v>
      </c>
      <c r="N2267" s="17" t="str">
        <f t="shared" si="177"/>
        <v>Over Budget</v>
      </c>
      <c r="O2267" s="38">
        <f t="shared" si="178"/>
        <v>9302.09</v>
      </c>
      <c r="P2267" s="39">
        <f t="shared" si="179"/>
        <v>46023</v>
      </c>
    </row>
    <row r="2268" spans="1:16" ht="15.5" x14ac:dyDescent="0.35">
      <c r="A2268" s="17" t="s">
        <v>2316</v>
      </c>
      <c r="B2268" s="35">
        <v>46093</v>
      </c>
      <c r="C2268" s="17" t="s">
        <v>12</v>
      </c>
      <c r="D2268" s="17" t="s">
        <v>32</v>
      </c>
      <c r="E2268" s="17" t="s">
        <v>47</v>
      </c>
      <c r="F2268" s="17" t="s">
        <v>28</v>
      </c>
      <c r="G2268" s="17" t="s">
        <v>29</v>
      </c>
      <c r="H2268" s="17" t="s">
        <v>60</v>
      </c>
      <c r="I2268" s="17" t="s">
        <v>23</v>
      </c>
      <c r="J2268" s="36">
        <v>3181.82</v>
      </c>
      <c r="K2268" s="36">
        <v>991.02</v>
      </c>
      <c r="L2268" s="36">
        <f t="shared" si="175"/>
        <v>-2190.8000000000002</v>
      </c>
      <c r="M2268" s="37">
        <f t="shared" si="176"/>
        <v>-0.68853674940757181</v>
      </c>
      <c r="N2268" s="17" t="str">
        <f t="shared" si="177"/>
        <v>Under Budget</v>
      </c>
      <c r="O2268" s="38">
        <f t="shared" si="178"/>
        <v>-991.02</v>
      </c>
      <c r="P2268" s="39">
        <f t="shared" si="179"/>
        <v>46082</v>
      </c>
    </row>
    <row r="2269" spans="1:16" ht="15.5" x14ac:dyDescent="0.35">
      <c r="A2269" s="17" t="s">
        <v>2317</v>
      </c>
      <c r="B2269" s="35">
        <v>45855</v>
      </c>
      <c r="C2269" s="17" t="s">
        <v>12</v>
      </c>
      <c r="D2269" s="17" t="s">
        <v>26</v>
      </c>
      <c r="E2269" s="17" t="s">
        <v>37</v>
      </c>
      <c r="F2269" s="17" t="s">
        <v>34</v>
      </c>
      <c r="G2269" s="17" t="s">
        <v>29</v>
      </c>
      <c r="H2269" s="17" t="s">
        <v>2589</v>
      </c>
      <c r="I2269" s="17" t="s">
        <v>23</v>
      </c>
      <c r="J2269" s="36">
        <v>4666.67</v>
      </c>
      <c r="K2269" s="36">
        <v>2249.5100000000002</v>
      </c>
      <c r="L2269" s="36">
        <f t="shared" si="175"/>
        <v>-2417.16</v>
      </c>
      <c r="M2269" s="37">
        <f t="shared" si="176"/>
        <v>-0.51796248716965199</v>
      </c>
      <c r="N2269" s="17" t="str">
        <f t="shared" si="177"/>
        <v>Under Budget</v>
      </c>
      <c r="O2269" s="38">
        <f t="shared" si="178"/>
        <v>-2249.5100000000002</v>
      </c>
      <c r="P2269" s="39">
        <f t="shared" si="179"/>
        <v>45839</v>
      </c>
    </row>
    <row r="2270" spans="1:16" ht="15.5" x14ac:dyDescent="0.35">
      <c r="A2270" s="17" t="s">
        <v>2318</v>
      </c>
      <c r="B2270" s="35">
        <v>45955</v>
      </c>
      <c r="C2270" s="17" t="s">
        <v>25</v>
      </c>
      <c r="D2270" s="17" t="s">
        <v>13</v>
      </c>
      <c r="E2270" s="17" t="s">
        <v>27</v>
      </c>
      <c r="F2270" s="17" t="s">
        <v>15</v>
      </c>
      <c r="G2270" s="17" t="s">
        <v>43</v>
      </c>
      <c r="H2270" s="17" t="s">
        <v>2586</v>
      </c>
      <c r="I2270" s="17" t="s">
        <v>23</v>
      </c>
      <c r="J2270" s="36">
        <v>4705.88</v>
      </c>
      <c r="K2270" s="36">
        <v>6808.86</v>
      </c>
      <c r="L2270" s="36">
        <f t="shared" si="175"/>
        <v>2102.9799999999996</v>
      </c>
      <c r="M2270" s="37">
        <f t="shared" si="176"/>
        <v>0.44688347344173662</v>
      </c>
      <c r="N2270" s="17" t="str">
        <f t="shared" si="177"/>
        <v>Over Budget</v>
      </c>
      <c r="O2270" s="38">
        <f t="shared" si="178"/>
        <v>6808.86</v>
      </c>
      <c r="P2270" s="39">
        <f t="shared" si="179"/>
        <v>45931</v>
      </c>
    </row>
    <row r="2271" spans="1:16" ht="15.5" x14ac:dyDescent="0.35">
      <c r="A2271" s="17" t="s">
        <v>2319</v>
      </c>
      <c r="B2271" s="35">
        <v>46015</v>
      </c>
      <c r="C2271" s="17" t="s">
        <v>25</v>
      </c>
      <c r="D2271" s="17" t="s">
        <v>32</v>
      </c>
      <c r="E2271" s="17" t="s">
        <v>109</v>
      </c>
      <c r="F2271" s="17" t="s">
        <v>21</v>
      </c>
      <c r="G2271" s="17" t="s">
        <v>29</v>
      </c>
      <c r="H2271" s="17" t="s">
        <v>2597</v>
      </c>
      <c r="I2271" s="17" t="s">
        <v>48</v>
      </c>
      <c r="J2271" s="36">
        <v>9545.4500000000007</v>
      </c>
      <c r="K2271" s="36">
        <v>13488.62</v>
      </c>
      <c r="L2271" s="36">
        <f t="shared" si="175"/>
        <v>3943.17</v>
      </c>
      <c r="M2271" s="37">
        <f t="shared" si="176"/>
        <v>0.4130941967115222</v>
      </c>
      <c r="N2271" s="17" t="str">
        <f t="shared" si="177"/>
        <v>Over Budget</v>
      </c>
      <c r="O2271" s="38">
        <f t="shared" si="178"/>
        <v>13488.62</v>
      </c>
      <c r="P2271" s="39">
        <f t="shared" si="179"/>
        <v>45992</v>
      </c>
    </row>
    <row r="2272" spans="1:16" ht="15.5" x14ac:dyDescent="0.35">
      <c r="A2272" s="17" t="s">
        <v>2320</v>
      </c>
      <c r="B2272" s="35">
        <v>46062</v>
      </c>
      <c r="C2272" s="17" t="s">
        <v>12</v>
      </c>
      <c r="D2272" s="17" t="s">
        <v>19</v>
      </c>
      <c r="E2272" s="17" t="s">
        <v>74</v>
      </c>
      <c r="F2272" s="17" t="s">
        <v>52</v>
      </c>
      <c r="G2272" s="17" t="s">
        <v>29</v>
      </c>
      <c r="H2272" s="17" t="s">
        <v>2586</v>
      </c>
      <c r="I2272" s="17" t="s">
        <v>17</v>
      </c>
      <c r="J2272" s="36">
        <v>9700</v>
      </c>
      <c r="K2272" s="36">
        <v>1808.91</v>
      </c>
      <c r="L2272" s="36">
        <f t="shared" si="175"/>
        <v>-7891.09</v>
      </c>
      <c r="M2272" s="37">
        <f t="shared" si="176"/>
        <v>-0.81351443298969073</v>
      </c>
      <c r="N2272" s="17" t="str">
        <f t="shared" si="177"/>
        <v>Under Budget</v>
      </c>
      <c r="O2272" s="38">
        <f t="shared" si="178"/>
        <v>-1808.91</v>
      </c>
      <c r="P2272" s="39">
        <f t="shared" si="179"/>
        <v>46054</v>
      </c>
    </row>
    <row r="2273" spans="1:16" ht="15.5" x14ac:dyDescent="0.35">
      <c r="A2273" s="17" t="s">
        <v>2321</v>
      </c>
      <c r="B2273" s="35">
        <v>45929</v>
      </c>
      <c r="C2273" s="17" t="s">
        <v>12</v>
      </c>
      <c r="D2273" s="17" t="s">
        <v>19</v>
      </c>
      <c r="E2273" s="17" t="s">
        <v>41</v>
      </c>
      <c r="F2273" s="17" t="s">
        <v>15</v>
      </c>
      <c r="G2273" s="17" t="s">
        <v>38</v>
      </c>
      <c r="H2273" s="17" t="s">
        <v>2596</v>
      </c>
      <c r="I2273" s="17" t="s">
        <v>23</v>
      </c>
      <c r="J2273" s="36">
        <v>9285.7099999999991</v>
      </c>
      <c r="K2273" s="36">
        <v>11329.85</v>
      </c>
      <c r="L2273" s="36">
        <f t="shared" si="175"/>
        <v>2044.1400000000012</v>
      </c>
      <c r="M2273" s="37">
        <f t="shared" si="176"/>
        <v>0.22013825544842575</v>
      </c>
      <c r="N2273" s="17" t="str">
        <f t="shared" si="177"/>
        <v>Over Budget</v>
      </c>
      <c r="O2273" s="38">
        <f t="shared" si="178"/>
        <v>-11329.85</v>
      </c>
      <c r="P2273" s="39">
        <f t="shared" si="179"/>
        <v>45901</v>
      </c>
    </row>
    <row r="2274" spans="1:16" ht="15.5" x14ac:dyDescent="0.35">
      <c r="A2274" s="17" t="s">
        <v>2322</v>
      </c>
      <c r="B2274" s="35">
        <v>45670</v>
      </c>
      <c r="C2274" s="17" t="s">
        <v>12</v>
      </c>
      <c r="D2274" s="17" t="s">
        <v>19</v>
      </c>
      <c r="E2274" s="17" t="s">
        <v>14</v>
      </c>
      <c r="F2274" s="17" t="s">
        <v>28</v>
      </c>
      <c r="G2274" s="17" t="s">
        <v>22</v>
      </c>
      <c r="H2274" s="17" t="s">
        <v>2597</v>
      </c>
      <c r="I2274" s="17" t="s">
        <v>30</v>
      </c>
      <c r="J2274" s="36">
        <v>7760</v>
      </c>
      <c r="K2274" s="36">
        <v>2920.07</v>
      </c>
      <c r="L2274" s="36">
        <f t="shared" si="175"/>
        <v>-4839.93</v>
      </c>
      <c r="M2274" s="37">
        <f t="shared" si="176"/>
        <v>-0.6237023195876289</v>
      </c>
      <c r="N2274" s="17" t="str">
        <f t="shared" si="177"/>
        <v>Under Budget</v>
      </c>
      <c r="O2274" s="38">
        <f t="shared" si="178"/>
        <v>-2920.07</v>
      </c>
      <c r="P2274" s="39">
        <f t="shared" si="179"/>
        <v>45658</v>
      </c>
    </row>
    <row r="2275" spans="1:16" ht="15.5" x14ac:dyDescent="0.35">
      <c r="A2275" s="17" t="s">
        <v>2323</v>
      </c>
      <c r="B2275" s="35">
        <v>45682</v>
      </c>
      <c r="C2275" s="17" t="s">
        <v>25</v>
      </c>
      <c r="D2275" s="17" t="s">
        <v>36</v>
      </c>
      <c r="E2275" s="17" t="s">
        <v>33</v>
      </c>
      <c r="F2275" s="17" t="s">
        <v>21</v>
      </c>
      <c r="G2275" s="17" t="s">
        <v>29</v>
      </c>
      <c r="H2275" s="17" t="s">
        <v>2592</v>
      </c>
      <c r="I2275" s="17" t="s">
        <v>23</v>
      </c>
      <c r="J2275" s="36">
        <v>11022.73</v>
      </c>
      <c r="K2275" s="36">
        <v>13641.26</v>
      </c>
      <c r="L2275" s="36">
        <f t="shared" si="175"/>
        <v>2618.5300000000007</v>
      </c>
      <c r="M2275" s="37">
        <f t="shared" si="176"/>
        <v>0.23755730204767792</v>
      </c>
      <c r="N2275" s="17" t="str">
        <f t="shared" si="177"/>
        <v>Over Budget</v>
      </c>
      <c r="O2275" s="38">
        <f t="shared" si="178"/>
        <v>13641.26</v>
      </c>
      <c r="P2275" s="39">
        <f t="shared" si="179"/>
        <v>45658</v>
      </c>
    </row>
    <row r="2276" spans="1:16" ht="15.5" x14ac:dyDescent="0.35">
      <c r="A2276" s="17" t="s">
        <v>2324</v>
      </c>
      <c r="B2276" s="35">
        <v>45936</v>
      </c>
      <c r="C2276" s="17" t="s">
        <v>12</v>
      </c>
      <c r="D2276" s="17" t="s">
        <v>2584</v>
      </c>
      <c r="E2276" s="17" t="s">
        <v>65</v>
      </c>
      <c r="F2276" s="17" t="s">
        <v>52</v>
      </c>
      <c r="G2276" s="17" t="s">
        <v>16</v>
      </c>
      <c r="H2276" s="17" t="s">
        <v>2598</v>
      </c>
      <c r="I2276" s="17" t="s">
        <v>23</v>
      </c>
      <c r="J2276" s="36">
        <v>3928.57</v>
      </c>
      <c r="K2276" s="36">
        <v>654.27</v>
      </c>
      <c r="L2276" s="36">
        <f t="shared" si="175"/>
        <v>-3274.3</v>
      </c>
      <c r="M2276" s="37">
        <f t="shared" si="176"/>
        <v>-0.83345848489399454</v>
      </c>
      <c r="N2276" s="17" t="str">
        <f t="shared" si="177"/>
        <v>Under Budget</v>
      </c>
      <c r="O2276" s="38">
        <f t="shared" si="178"/>
        <v>-654.27</v>
      </c>
      <c r="P2276" s="39">
        <f t="shared" si="179"/>
        <v>45931</v>
      </c>
    </row>
    <row r="2277" spans="1:16" ht="15.5" x14ac:dyDescent="0.35">
      <c r="A2277" s="17" t="s">
        <v>2325</v>
      </c>
      <c r="B2277" s="35">
        <v>45911</v>
      </c>
      <c r="C2277" s="17" t="s">
        <v>25</v>
      </c>
      <c r="D2277" s="17" t="s">
        <v>32</v>
      </c>
      <c r="E2277" s="17" t="s">
        <v>33</v>
      </c>
      <c r="F2277" s="17" t="s">
        <v>28</v>
      </c>
      <c r="G2277" s="17" t="s">
        <v>16</v>
      </c>
      <c r="H2277" s="17" t="s">
        <v>2596</v>
      </c>
      <c r="I2277" s="17" t="s">
        <v>30</v>
      </c>
      <c r="J2277" s="36">
        <v>11904.76</v>
      </c>
      <c r="K2277" s="36">
        <v>726.28</v>
      </c>
      <c r="L2277" s="36">
        <f t="shared" si="175"/>
        <v>-11178.48</v>
      </c>
      <c r="M2277" s="37">
        <f t="shared" si="176"/>
        <v>-0.93899247023879517</v>
      </c>
      <c r="N2277" s="17" t="str">
        <f t="shared" si="177"/>
        <v>Under Budget</v>
      </c>
      <c r="O2277" s="38">
        <f t="shared" si="178"/>
        <v>726.28</v>
      </c>
      <c r="P2277" s="39">
        <f t="shared" si="179"/>
        <v>45901</v>
      </c>
    </row>
    <row r="2278" spans="1:16" ht="15.5" x14ac:dyDescent="0.35">
      <c r="A2278" s="17" t="s">
        <v>2326</v>
      </c>
      <c r="B2278" s="35">
        <v>45923</v>
      </c>
      <c r="C2278" s="17" t="s">
        <v>25</v>
      </c>
      <c r="D2278" s="17" t="s">
        <v>2585</v>
      </c>
      <c r="E2278" s="17" t="s">
        <v>33</v>
      </c>
      <c r="F2278" s="17" t="s">
        <v>52</v>
      </c>
      <c r="G2278" s="17" t="s">
        <v>82</v>
      </c>
      <c r="H2278" s="17" t="s">
        <v>2597</v>
      </c>
      <c r="I2278" s="17" t="s">
        <v>30</v>
      </c>
      <c r="J2278" s="36">
        <v>11904.76</v>
      </c>
      <c r="K2278" s="36">
        <v>5440.12</v>
      </c>
      <c r="L2278" s="36">
        <f t="shared" si="175"/>
        <v>-6464.64</v>
      </c>
      <c r="M2278" s="37">
        <f t="shared" si="176"/>
        <v>-0.54302984688477551</v>
      </c>
      <c r="N2278" s="17" t="str">
        <f t="shared" si="177"/>
        <v>Under Budget</v>
      </c>
      <c r="O2278" s="38">
        <f t="shared" si="178"/>
        <v>5440.12</v>
      </c>
      <c r="P2278" s="39">
        <f t="shared" si="179"/>
        <v>45901</v>
      </c>
    </row>
    <row r="2279" spans="1:16" ht="15.5" x14ac:dyDescent="0.35">
      <c r="A2279" s="17" t="s">
        <v>2327</v>
      </c>
      <c r="B2279" s="35">
        <v>45805</v>
      </c>
      <c r="C2279" s="17" t="s">
        <v>25</v>
      </c>
      <c r="D2279" s="17" t="s">
        <v>32</v>
      </c>
      <c r="E2279" s="17" t="s">
        <v>33</v>
      </c>
      <c r="F2279" s="17" t="s">
        <v>21</v>
      </c>
      <c r="G2279" s="17" t="s">
        <v>38</v>
      </c>
      <c r="H2279" s="17" t="s">
        <v>2591</v>
      </c>
      <c r="I2279" s="17" t="s">
        <v>30</v>
      </c>
      <c r="J2279" s="36">
        <v>9615.3799999999992</v>
      </c>
      <c r="K2279" s="36">
        <v>16927.400000000001</v>
      </c>
      <c r="L2279" s="36">
        <f t="shared" si="175"/>
        <v>7312.0200000000023</v>
      </c>
      <c r="M2279" s="37">
        <f t="shared" si="176"/>
        <v>0.76045044501621395</v>
      </c>
      <c r="N2279" s="17" t="str">
        <f t="shared" si="177"/>
        <v>Over Budget</v>
      </c>
      <c r="O2279" s="38">
        <f t="shared" si="178"/>
        <v>16927.400000000001</v>
      </c>
      <c r="P2279" s="39">
        <f t="shared" si="179"/>
        <v>45778</v>
      </c>
    </row>
    <row r="2280" spans="1:16" ht="15.5" x14ac:dyDescent="0.35">
      <c r="A2280" s="17" t="s">
        <v>2328</v>
      </c>
      <c r="B2280" s="35">
        <v>45710</v>
      </c>
      <c r="C2280" s="17" t="s">
        <v>12</v>
      </c>
      <c r="D2280" s="17" t="s">
        <v>26</v>
      </c>
      <c r="E2280" s="17" t="s">
        <v>45</v>
      </c>
      <c r="F2280" s="17" t="s">
        <v>21</v>
      </c>
      <c r="G2280" s="17" t="s">
        <v>38</v>
      </c>
      <c r="H2280" s="17" t="s">
        <v>2590</v>
      </c>
      <c r="I2280" s="17" t="s">
        <v>48</v>
      </c>
      <c r="J2280" s="36">
        <v>11640</v>
      </c>
      <c r="K2280" s="36">
        <v>1054.23</v>
      </c>
      <c r="L2280" s="36">
        <f t="shared" si="175"/>
        <v>-10585.77</v>
      </c>
      <c r="M2280" s="37">
        <f t="shared" si="176"/>
        <v>-0.90943041237113409</v>
      </c>
      <c r="N2280" s="17" t="str">
        <f t="shared" si="177"/>
        <v>Under Budget</v>
      </c>
      <c r="O2280" s="38">
        <f t="shared" si="178"/>
        <v>-1054.23</v>
      </c>
      <c r="P2280" s="39">
        <f t="shared" si="179"/>
        <v>45689</v>
      </c>
    </row>
    <row r="2281" spans="1:16" ht="15.5" x14ac:dyDescent="0.35">
      <c r="A2281" s="17" t="s">
        <v>2329</v>
      </c>
      <c r="B2281" s="35">
        <v>45677</v>
      </c>
      <c r="C2281" s="17" t="s">
        <v>12</v>
      </c>
      <c r="D2281" s="17" t="s">
        <v>13</v>
      </c>
      <c r="E2281" s="17" t="s">
        <v>77</v>
      </c>
      <c r="F2281" s="17" t="s">
        <v>34</v>
      </c>
      <c r="G2281" s="17" t="s">
        <v>38</v>
      </c>
      <c r="H2281" s="17" t="s">
        <v>2586</v>
      </c>
      <c r="I2281" s="17" t="s">
        <v>23</v>
      </c>
      <c r="J2281" s="36">
        <v>3556.67</v>
      </c>
      <c r="K2281" s="36">
        <v>2674.68</v>
      </c>
      <c r="L2281" s="36">
        <f t="shared" si="175"/>
        <v>-881.99000000000024</v>
      </c>
      <c r="M2281" s="37">
        <f t="shared" si="176"/>
        <v>-0.2479819606542075</v>
      </c>
      <c r="N2281" s="17" t="str">
        <f t="shared" si="177"/>
        <v>Under Budget</v>
      </c>
      <c r="O2281" s="38">
        <f t="shared" si="178"/>
        <v>-2674.68</v>
      </c>
      <c r="P2281" s="39">
        <f t="shared" si="179"/>
        <v>45658</v>
      </c>
    </row>
    <row r="2282" spans="1:16" ht="15.5" x14ac:dyDescent="0.35">
      <c r="A2282" s="17" t="s">
        <v>2330</v>
      </c>
      <c r="B2282" s="35">
        <v>45923</v>
      </c>
      <c r="C2282" s="17" t="s">
        <v>25</v>
      </c>
      <c r="D2282" s="17" t="s">
        <v>32</v>
      </c>
      <c r="E2282" s="17" t="s">
        <v>33</v>
      </c>
      <c r="F2282" s="17" t="s">
        <v>21</v>
      </c>
      <c r="G2282" s="17" t="s">
        <v>43</v>
      </c>
      <c r="H2282" s="17" t="s">
        <v>2590</v>
      </c>
      <c r="I2282" s="17" t="s">
        <v>39</v>
      </c>
      <c r="J2282" s="36">
        <v>11904.76</v>
      </c>
      <c r="K2282" s="36">
        <v>4796.55</v>
      </c>
      <c r="L2282" s="36">
        <f t="shared" si="175"/>
        <v>-7108.21</v>
      </c>
      <c r="M2282" s="37">
        <f t="shared" si="176"/>
        <v>-0.59708973553435762</v>
      </c>
      <c r="N2282" s="17" t="str">
        <f t="shared" si="177"/>
        <v>Under Budget</v>
      </c>
      <c r="O2282" s="38">
        <f t="shared" si="178"/>
        <v>4796.55</v>
      </c>
      <c r="P2282" s="39">
        <f t="shared" si="179"/>
        <v>45901</v>
      </c>
    </row>
    <row r="2283" spans="1:16" ht="15.5" x14ac:dyDescent="0.35">
      <c r="A2283" s="17" t="s">
        <v>2331</v>
      </c>
      <c r="B2283" s="35">
        <v>46044</v>
      </c>
      <c r="C2283" s="17" t="s">
        <v>25</v>
      </c>
      <c r="D2283" s="17" t="s">
        <v>32</v>
      </c>
      <c r="E2283" s="17" t="s">
        <v>33</v>
      </c>
      <c r="F2283" s="17" t="s">
        <v>52</v>
      </c>
      <c r="G2283" s="17" t="s">
        <v>82</v>
      </c>
      <c r="H2283" s="17" t="s">
        <v>80</v>
      </c>
      <c r="I2283" s="17" t="s">
        <v>48</v>
      </c>
      <c r="J2283" s="36">
        <v>11547.62</v>
      </c>
      <c r="K2283" s="36">
        <v>13793.22</v>
      </c>
      <c r="L2283" s="36">
        <f t="shared" si="175"/>
        <v>2245.5999999999985</v>
      </c>
      <c r="M2283" s="37">
        <f t="shared" si="176"/>
        <v>0.19446431385861315</v>
      </c>
      <c r="N2283" s="17" t="str">
        <f t="shared" si="177"/>
        <v>Over Budget</v>
      </c>
      <c r="O2283" s="38">
        <f t="shared" si="178"/>
        <v>13793.22</v>
      </c>
      <c r="P2283" s="39">
        <f t="shared" si="179"/>
        <v>46023</v>
      </c>
    </row>
    <row r="2284" spans="1:16" ht="15.5" x14ac:dyDescent="0.35">
      <c r="A2284" s="17" t="s">
        <v>2332</v>
      </c>
      <c r="B2284" s="35">
        <v>45961</v>
      </c>
      <c r="C2284" s="17" t="s">
        <v>12</v>
      </c>
      <c r="D2284" s="17" t="s">
        <v>13</v>
      </c>
      <c r="E2284" s="17" t="s">
        <v>65</v>
      </c>
      <c r="F2284" s="17" t="s">
        <v>21</v>
      </c>
      <c r="G2284" s="17" t="s">
        <v>43</v>
      </c>
      <c r="H2284" s="17" t="s">
        <v>2595</v>
      </c>
      <c r="I2284" s="17" t="s">
        <v>48</v>
      </c>
      <c r="J2284" s="36">
        <v>3928.57</v>
      </c>
      <c r="K2284" s="36">
        <v>6321.03</v>
      </c>
      <c r="L2284" s="36">
        <f t="shared" si="175"/>
        <v>2392.4599999999996</v>
      </c>
      <c r="M2284" s="37">
        <f t="shared" si="176"/>
        <v>0.60899003963274156</v>
      </c>
      <c r="N2284" s="17" t="str">
        <f t="shared" si="177"/>
        <v>Over Budget</v>
      </c>
      <c r="O2284" s="38">
        <f t="shared" si="178"/>
        <v>-6321.03</v>
      </c>
      <c r="P2284" s="39">
        <f t="shared" si="179"/>
        <v>45931</v>
      </c>
    </row>
    <row r="2285" spans="1:16" ht="15.5" x14ac:dyDescent="0.35">
      <c r="A2285" s="17" t="s">
        <v>2333</v>
      </c>
      <c r="B2285" s="35">
        <v>45802</v>
      </c>
      <c r="C2285" s="17" t="s">
        <v>12</v>
      </c>
      <c r="D2285" s="17" t="s">
        <v>2584</v>
      </c>
      <c r="E2285" s="17" t="s">
        <v>20</v>
      </c>
      <c r="F2285" s="17" t="s">
        <v>34</v>
      </c>
      <c r="G2285" s="17" t="s">
        <v>38</v>
      </c>
      <c r="H2285" s="17" t="s">
        <v>2590</v>
      </c>
      <c r="I2285" s="17" t="s">
        <v>30</v>
      </c>
      <c r="J2285" s="36">
        <v>2250</v>
      </c>
      <c r="K2285" s="36">
        <v>336.42</v>
      </c>
      <c r="L2285" s="36">
        <f t="shared" si="175"/>
        <v>-1913.58</v>
      </c>
      <c r="M2285" s="37">
        <f t="shared" si="176"/>
        <v>-0.85048000000000001</v>
      </c>
      <c r="N2285" s="17" t="str">
        <f t="shared" si="177"/>
        <v>Under Budget</v>
      </c>
      <c r="O2285" s="38">
        <f t="shared" si="178"/>
        <v>-336.42</v>
      </c>
      <c r="P2285" s="39">
        <f t="shared" si="179"/>
        <v>45778</v>
      </c>
    </row>
    <row r="2286" spans="1:16" ht="15.5" x14ac:dyDescent="0.35">
      <c r="A2286" s="17" t="s">
        <v>2334</v>
      </c>
      <c r="B2286" s="35">
        <v>45739</v>
      </c>
      <c r="C2286" s="17" t="s">
        <v>12</v>
      </c>
      <c r="D2286" s="17" t="s">
        <v>26</v>
      </c>
      <c r="E2286" s="17" t="s">
        <v>45</v>
      </c>
      <c r="F2286" s="17" t="s">
        <v>21</v>
      </c>
      <c r="G2286" s="17" t="s">
        <v>38</v>
      </c>
      <c r="H2286" s="17" t="s">
        <v>2593</v>
      </c>
      <c r="I2286" s="17" t="s">
        <v>23</v>
      </c>
      <c r="J2286" s="36">
        <v>6000</v>
      </c>
      <c r="K2286" s="36">
        <v>6346.2</v>
      </c>
      <c r="L2286" s="36">
        <f t="shared" si="175"/>
        <v>346.19999999999982</v>
      </c>
      <c r="M2286" s="37">
        <f t="shared" si="176"/>
        <v>5.7699999999999967E-2</v>
      </c>
      <c r="N2286" s="17" t="str">
        <f t="shared" si="177"/>
        <v>Over Budget</v>
      </c>
      <c r="O2286" s="38">
        <f t="shared" si="178"/>
        <v>-6346.2</v>
      </c>
      <c r="P2286" s="39">
        <f t="shared" si="179"/>
        <v>45717</v>
      </c>
    </row>
    <row r="2287" spans="1:16" ht="15.5" x14ac:dyDescent="0.35">
      <c r="A2287" s="17" t="s">
        <v>2335</v>
      </c>
      <c r="B2287" s="35">
        <v>46131</v>
      </c>
      <c r="C2287" s="17" t="s">
        <v>25</v>
      </c>
      <c r="D2287" s="17" t="s">
        <v>32</v>
      </c>
      <c r="E2287" s="17" t="s">
        <v>169</v>
      </c>
      <c r="F2287" s="17" t="s">
        <v>34</v>
      </c>
      <c r="G2287" s="17" t="s">
        <v>22</v>
      </c>
      <c r="H2287" s="17" t="s">
        <v>2587</v>
      </c>
      <c r="I2287" s="17" t="s">
        <v>30</v>
      </c>
      <c r="J2287" s="36">
        <v>3333.33</v>
      </c>
      <c r="K2287" s="36">
        <v>3908.96</v>
      </c>
      <c r="L2287" s="36">
        <f t="shared" si="175"/>
        <v>575.63000000000011</v>
      </c>
      <c r="M2287" s="37">
        <f t="shared" si="176"/>
        <v>0.17268917268917272</v>
      </c>
      <c r="N2287" s="17" t="str">
        <f t="shared" si="177"/>
        <v>Over Budget</v>
      </c>
      <c r="O2287" s="38">
        <f t="shared" si="178"/>
        <v>3908.96</v>
      </c>
      <c r="P2287" s="39">
        <f t="shared" si="179"/>
        <v>46113</v>
      </c>
    </row>
    <row r="2288" spans="1:16" ht="15.5" x14ac:dyDescent="0.35">
      <c r="A2288" s="17" t="s">
        <v>2336</v>
      </c>
      <c r="B2288" s="35">
        <v>46201</v>
      </c>
      <c r="C2288" s="17" t="s">
        <v>12</v>
      </c>
      <c r="D2288" s="17" t="s">
        <v>26</v>
      </c>
      <c r="E2288" s="17" t="s">
        <v>37</v>
      </c>
      <c r="F2288" s="17" t="s">
        <v>28</v>
      </c>
      <c r="G2288" s="17" t="s">
        <v>29</v>
      </c>
      <c r="H2288" s="17" t="s">
        <v>2597</v>
      </c>
      <c r="I2288" s="17" t="s">
        <v>30</v>
      </c>
      <c r="J2288" s="36">
        <v>5600</v>
      </c>
      <c r="K2288" s="36">
        <v>3181.38</v>
      </c>
      <c r="L2288" s="36">
        <f t="shared" si="175"/>
        <v>-2418.62</v>
      </c>
      <c r="M2288" s="37">
        <f t="shared" si="176"/>
        <v>-0.43189642857142857</v>
      </c>
      <c r="N2288" s="17" t="str">
        <f t="shared" si="177"/>
        <v>Under Budget</v>
      </c>
      <c r="O2288" s="38">
        <f t="shared" si="178"/>
        <v>-3181.38</v>
      </c>
      <c r="P2288" s="39">
        <f t="shared" si="179"/>
        <v>46174</v>
      </c>
    </row>
    <row r="2289" spans="1:16" ht="15.5" x14ac:dyDescent="0.35">
      <c r="A2289" s="17" t="s">
        <v>2337</v>
      </c>
      <c r="B2289" s="35">
        <v>45827</v>
      </c>
      <c r="C2289" s="17" t="s">
        <v>25</v>
      </c>
      <c r="D2289" s="17" t="s">
        <v>32</v>
      </c>
      <c r="E2289" s="17" t="s">
        <v>27</v>
      </c>
      <c r="F2289" s="17" t="s">
        <v>52</v>
      </c>
      <c r="G2289" s="17" t="s">
        <v>38</v>
      </c>
      <c r="H2289" s="17" t="s">
        <v>2589</v>
      </c>
      <c r="I2289" s="17" t="s">
        <v>48</v>
      </c>
      <c r="J2289" s="36">
        <v>5333.33</v>
      </c>
      <c r="K2289" s="36">
        <v>5882.42</v>
      </c>
      <c r="L2289" s="36">
        <f t="shared" si="175"/>
        <v>549.09000000000015</v>
      </c>
      <c r="M2289" s="37">
        <f t="shared" si="176"/>
        <v>0.10295443934652462</v>
      </c>
      <c r="N2289" s="17" t="str">
        <f t="shared" si="177"/>
        <v>Over Budget</v>
      </c>
      <c r="O2289" s="38">
        <f t="shared" si="178"/>
        <v>5882.42</v>
      </c>
      <c r="P2289" s="39">
        <f t="shared" si="179"/>
        <v>45809</v>
      </c>
    </row>
    <row r="2290" spans="1:16" ht="15.5" x14ac:dyDescent="0.35">
      <c r="A2290" s="17" t="s">
        <v>2338</v>
      </c>
      <c r="B2290" s="35">
        <v>45854</v>
      </c>
      <c r="C2290" s="17" t="s">
        <v>12</v>
      </c>
      <c r="D2290" s="17" t="s">
        <v>26</v>
      </c>
      <c r="E2290" s="17" t="s">
        <v>77</v>
      </c>
      <c r="F2290" s="17" t="s">
        <v>52</v>
      </c>
      <c r="G2290" s="17" t="s">
        <v>38</v>
      </c>
      <c r="H2290" s="17" t="s">
        <v>2586</v>
      </c>
      <c r="I2290" s="17" t="s">
        <v>48</v>
      </c>
      <c r="J2290" s="36">
        <v>2750</v>
      </c>
      <c r="K2290" s="36">
        <v>1778.44</v>
      </c>
      <c r="L2290" s="36">
        <f t="shared" si="175"/>
        <v>-971.56</v>
      </c>
      <c r="M2290" s="37">
        <f t="shared" si="176"/>
        <v>-0.35329454545454542</v>
      </c>
      <c r="N2290" s="17" t="str">
        <f t="shared" si="177"/>
        <v>Under Budget</v>
      </c>
      <c r="O2290" s="38">
        <f t="shared" si="178"/>
        <v>-1778.44</v>
      </c>
      <c r="P2290" s="39">
        <f t="shared" si="179"/>
        <v>45839</v>
      </c>
    </row>
    <row r="2291" spans="1:16" ht="15.5" x14ac:dyDescent="0.35">
      <c r="A2291" s="17" t="s">
        <v>2339</v>
      </c>
      <c r="B2291" s="35">
        <v>45752</v>
      </c>
      <c r="C2291" s="17" t="s">
        <v>25</v>
      </c>
      <c r="D2291" s="17" t="s">
        <v>26</v>
      </c>
      <c r="E2291" s="17" t="s">
        <v>33</v>
      </c>
      <c r="F2291" s="17" t="s">
        <v>15</v>
      </c>
      <c r="G2291" s="17" t="s">
        <v>38</v>
      </c>
      <c r="H2291" s="17" t="s">
        <v>2588</v>
      </c>
      <c r="I2291" s="17" t="s">
        <v>23</v>
      </c>
      <c r="J2291" s="36">
        <v>11363.64</v>
      </c>
      <c r="K2291" s="36">
        <v>936.44</v>
      </c>
      <c r="L2291" s="36">
        <f t="shared" si="175"/>
        <v>-10427.199999999999</v>
      </c>
      <c r="M2291" s="37">
        <f t="shared" si="176"/>
        <v>-0.91759330637014191</v>
      </c>
      <c r="N2291" s="17" t="str">
        <f t="shared" si="177"/>
        <v>Under Budget</v>
      </c>
      <c r="O2291" s="38">
        <f t="shared" si="178"/>
        <v>936.44</v>
      </c>
      <c r="P2291" s="39">
        <f t="shared" si="179"/>
        <v>45748</v>
      </c>
    </row>
    <row r="2292" spans="1:16" ht="15.5" x14ac:dyDescent="0.35">
      <c r="A2292" s="17" t="s">
        <v>2340</v>
      </c>
      <c r="B2292" s="35">
        <v>45683</v>
      </c>
      <c r="C2292" s="17" t="s">
        <v>12</v>
      </c>
      <c r="D2292" s="17" t="s">
        <v>2584</v>
      </c>
      <c r="E2292" s="17" t="s">
        <v>51</v>
      </c>
      <c r="F2292" s="17" t="s">
        <v>34</v>
      </c>
      <c r="G2292" s="17" t="s">
        <v>38</v>
      </c>
      <c r="H2292" s="17" t="s">
        <v>80</v>
      </c>
      <c r="I2292" s="17" t="s">
        <v>39</v>
      </c>
      <c r="J2292" s="36">
        <v>3637.5</v>
      </c>
      <c r="K2292" s="36">
        <v>3156.36</v>
      </c>
      <c r="L2292" s="36">
        <f t="shared" si="175"/>
        <v>-481.13999999999987</v>
      </c>
      <c r="M2292" s="37">
        <f t="shared" si="176"/>
        <v>-0.13227216494845356</v>
      </c>
      <c r="N2292" s="17" t="str">
        <f t="shared" si="177"/>
        <v>Under Budget</v>
      </c>
      <c r="O2292" s="38">
        <f t="shared" si="178"/>
        <v>-3156.36</v>
      </c>
      <c r="P2292" s="39">
        <f t="shared" si="179"/>
        <v>45658</v>
      </c>
    </row>
    <row r="2293" spans="1:16" ht="15.5" x14ac:dyDescent="0.35">
      <c r="A2293" s="17" t="s">
        <v>2341</v>
      </c>
      <c r="B2293" s="35">
        <v>45976</v>
      </c>
      <c r="C2293" s="17" t="s">
        <v>25</v>
      </c>
      <c r="D2293" s="17" t="s">
        <v>2585</v>
      </c>
      <c r="E2293" s="17" t="s">
        <v>33</v>
      </c>
      <c r="F2293" s="17" t="s">
        <v>15</v>
      </c>
      <c r="G2293" s="17" t="s">
        <v>38</v>
      </c>
      <c r="H2293" s="17" t="s">
        <v>2589</v>
      </c>
      <c r="I2293" s="17" t="s">
        <v>48</v>
      </c>
      <c r="J2293" s="36">
        <v>13125</v>
      </c>
      <c r="K2293" s="36">
        <v>8981.73</v>
      </c>
      <c r="L2293" s="36">
        <f t="shared" si="175"/>
        <v>-4143.2700000000004</v>
      </c>
      <c r="M2293" s="37">
        <f t="shared" si="176"/>
        <v>-0.31567771428571434</v>
      </c>
      <c r="N2293" s="17" t="str">
        <f t="shared" si="177"/>
        <v>Under Budget</v>
      </c>
      <c r="O2293" s="38">
        <f t="shared" si="178"/>
        <v>8981.73</v>
      </c>
      <c r="P2293" s="39">
        <f t="shared" si="179"/>
        <v>45962</v>
      </c>
    </row>
    <row r="2294" spans="1:16" ht="15.5" x14ac:dyDescent="0.35">
      <c r="A2294" s="17" t="s">
        <v>2342</v>
      </c>
      <c r="B2294" s="35">
        <v>45760</v>
      </c>
      <c r="C2294" s="17" t="s">
        <v>12</v>
      </c>
      <c r="D2294" s="17" t="s">
        <v>2584</v>
      </c>
      <c r="E2294" s="17" t="s">
        <v>51</v>
      </c>
      <c r="F2294" s="17" t="s">
        <v>21</v>
      </c>
      <c r="G2294" s="17" t="s">
        <v>38</v>
      </c>
      <c r="H2294" s="17" t="s">
        <v>2589</v>
      </c>
      <c r="I2294" s="17" t="s">
        <v>39</v>
      </c>
      <c r="J2294" s="36">
        <v>3750</v>
      </c>
      <c r="K2294" s="36">
        <v>3251.96</v>
      </c>
      <c r="L2294" s="36">
        <f t="shared" si="175"/>
        <v>-498.03999999999996</v>
      </c>
      <c r="M2294" s="37">
        <f t="shared" si="176"/>
        <v>-0.13281066666666666</v>
      </c>
      <c r="N2294" s="17" t="str">
        <f t="shared" si="177"/>
        <v>Under Budget</v>
      </c>
      <c r="O2294" s="38">
        <f t="shared" si="178"/>
        <v>-3251.96</v>
      </c>
      <c r="P2294" s="39">
        <f t="shared" si="179"/>
        <v>45748</v>
      </c>
    </row>
    <row r="2295" spans="1:16" ht="15.5" x14ac:dyDescent="0.35">
      <c r="A2295" s="17" t="s">
        <v>2343</v>
      </c>
      <c r="B2295" s="35">
        <v>45886</v>
      </c>
      <c r="C2295" s="17" t="s">
        <v>25</v>
      </c>
      <c r="D2295" s="17" t="s">
        <v>2585</v>
      </c>
      <c r="E2295" s="17" t="s">
        <v>109</v>
      </c>
      <c r="F2295" s="17" t="s">
        <v>28</v>
      </c>
      <c r="G2295" s="17" t="s">
        <v>38</v>
      </c>
      <c r="H2295" s="17" t="s">
        <v>2586</v>
      </c>
      <c r="I2295" s="17" t="s">
        <v>17</v>
      </c>
      <c r="J2295" s="36">
        <v>7142.86</v>
      </c>
      <c r="K2295" s="36">
        <v>2554.79</v>
      </c>
      <c r="L2295" s="36">
        <f t="shared" si="175"/>
        <v>-4588.07</v>
      </c>
      <c r="M2295" s="37">
        <f t="shared" si="176"/>
        <v>-0.6423295430681828</v>
      </c>
      <c r="N2295" s="17" t="str">
        <f t="shared" si="177"/>
        <v>Under Budget</v>
      </c>
      <c r="O2295" s="38">
        <f t="shared" si="178"/>
        <v>2554.79</v>
      </c>
      <c r="P2295" s="39">
        <f t="shared" si="179"/>
        <v>45870</v>
      </c>
    </row>
    <row r="2296" spans="1:16" ht="15.5" x14ac:dyDescent="0.35">
      <c r="A2296" s="17" t="s">
        <v>2344</v>
      </c>
      <c r="B2296" s="35">
        <v>45751</v>
      </c>
      <c r="C2296" s="17" t="s">
        <v>12</v>
      </c>
      <c r="D2296" s="17" t="s">
        <v>32</v>
      </c>
      <c r="E2296" s="17" t="s">
        <v>65</v>
      </c>
      <c r="F2296" s="17" t="s">
        <v>52</v>
      </c>
      <c r="G2296" s="17" t="s">
        <v>38</v>
      </c>
      <c r="H2296" s="17" t="s">
        <v>2588</v>
      </c>
      <c r="I2296" s="17" t="s">
        <v>23</v>
      </c>
      <c r="J2296" s="36">
        <v>6111.11</v>
      </c>
      <c r="K2296" s="36">
        <v>475.91</v>
      </c>
      <c r="L2296" s="36">
        <f t="shared" si="175"/>
        <v>-5635.2</v>
      </c>
      <c r="M2296" s="37">
        <f t="shared" si="176"/>
        <v>-0.92212380402250982</v>
      </c>
      <c r="N2296" s="17" t="str">
        <f t="shared" si="177"/>
        <v>Under Budget</v>
      </c>
      <c r="O2296" s="38">
        <f t="shared" si="178"/>
        <v>-475.91</v>
      </c>
      <c r="P2296" s="39">
        <f t="shared" si="179"/>
        <v>45748</v>
      </c>
    </row>
    <row r="2297" spans="1:16" ht="15.5" x14ac:dyDescent="0.35">
      <c r="A2297" s="17" t="s">
        <v>2345</v>
      </c>
      <c r="B2297" s="35">
        <v>45859</v>
      </c>
      <c r="C2297" s="17" t="s">
        <v>12</v>
      </c>
      <c r="D2297" s="17" t="s">
        <v>2585</v>
      </c>
      <c r="E2297" s="17" t="s">
        <v>45</v>
      </c>
      <c r="F2297" s="17" t="s">
        <v>28</v>
      </c>
      <c r="G2297" s="17" t="s">
        <v>29</v>
      </c>
      <c r="H2297" s="17" t="s">
        <v>2592</v>
      </c>
      <c r="I2297" s="17" t="s">
        <v>48</v>
      </c>
      <c r="J2297" s="36">
        <v>6923.08</v>
      </c>
      <c r="K2297" s="36">
        <v>3308.08</v>
      </c>
      <c r="L2297" s="36">
        <f t="shared" si="175"/>
        <v>-3615</v>
      </c>
      <c r="M2297" s="37">
        <f t="shared" si="176"/>
        <v>-0.52216643459269574</v>
      </c>
      <c r="N2297" s="17" t="str">
        <f t="shared" si="177"/>
        <v>Under Budget</v>
      </c>
      <c r="O2297" s="38">
        <f t="shared" si="178"/>
        <v>-3308.08</v>
      </c>
      <c r="P2297" s="39">
        <f t="shared" si="179"/>
        <v>45839</v>
      </c>
    </row>
    <row r="2298" spans="1:16" ht="15.5" x14ac:dyDescent="0.35">
      <c r="A2298" s="17" t="s">
        <v>2346</v>
      </c>
      <c r="B2298" s="35">
        <v>45825</v>
      </c>
      <c r="C2298" s="17" t="s">
        <v>25</v>
      </c>
      <c r="D2298" s="17" t="s">
        <v>32</v>
      </c>
      <c r="E2298" s="17" t="s">
        <v>109</v>
      </c>
      <c r="F2298" s="17" t="s">
        <v>28</v>
      </c>
      <c r="G2298" s="17" t="s">
        <v>38</v>
      </c>
      <c r="H2298" s="17" t="s">
        <v>2597</v>
      </c>
      <c r="I2298" s="17" t="s">
        <v>39</v>
      </c>
      <c r="J2298" s="36">
        <v>6250</v>
      </c>
      <c r="K2298" s="36">
        <v>17377.86</v>
      </c>
      <c r="L2298" s="36">
        <f t="shared" si="175"/>
        <v>11127.86</v>
      </c>
      <c r="M2298" s="37">
        <f t="shared" si="176"/>
        <v>1.7804576000000001</v>
      </c>
      <c r="N2298" s="17" t="str">
        <f t="shared" si="177"/>
        <v>Over Budget</v>
      </c>
      <c r="O2298" s="38">
        <f t="shared" si="178"/>
        <v>17377.86</v>
      </c>
      <c r="P2298" s="39">
        <f t="shared" si="179"/>
        <v>45809</v>
      </c>
    </row>
    <row r="2299" spans="1:16" ht="15.5" x14ac:dyDescent="0.35">
      <c r="A2299" s="17" t="s">
        <v>2347</v>
      </c>
      <c r="B2299" s="35">
        <v>45924</v>
      </c>
      <c r="C2299" s="17" t="s">
        <v>12</v>
      </c>
      <c r="D2299" s="17" t="s">
        <v>19</v>
      </c>
      <c r="E2299" s="17" t="s">
        <v>74</v>
      </c>
      <c r="F2299" s="17" t="s">
        <v>52</v>
      </c>
      <c r="G2299" s="17" t="s">
        <v>38</v>
      </c>
      <c r="H2299" s="17" t="s">
        <v>2591</v>
      </c>
      <c r="I2299" s="17" t="s">
        <v>39</v>
      </c>
      <c r="J2299" s="36">
        <v>5000</v>
      </c>
      <c r="K2299" s="36">
        <v>962.92</v>
      </c>
      <c r="L2299" s="36">
        <f t="shared" si="175"/>
        <v>-4037.08</v>
      </c>
      <c r="M2299" s="37">
        <f t="shared" si="176"/>
        <v>-0.80741600000000002</v>
      </c>
      <c r="N2299" s="17" t="str">
        <f t="shared" si="177"/>
        <v>Under Budget</v>
      </c>
      <c r="O2299" s="38">
        <f t="shared" si="178"/>
        <v>-962.92</v>
      </c>
      <c r="P2299" s="39">
        <f t="shared" si="179"/>
        <v>45901</v>
      </c>
    </row>
    <row r="2300" spans="1:16" ht="15.5" x14ac:dyDescent="0.35">
      <c r="A2300" s="17" t="s">
        <v>2348</v>
      </c>
      <c r="B2300" s="35">
        <v>45882</v>
      </c>
      <c r="C2300" s="17" t="s">
        <v>25</v>
      </c>
      <c r="D2300" s="17" t="s">
        <v>32</v>
      </c>
      <c r="E2300" s="17" t="s">
        <v>169</v>
      </c>
      <c r="F2300" s="17" t="s">
        <v>21</v>
      </c>
      <c r="G2300" s="17" t="s">
        <v>38</v>
      </c>
      <c r="H2300" s="17" t="s">
        <v>2592</v>
      </c>
      <c r="I2300" s="17" t="s">
        <v>23</v>
      </c>
      <c r="J2300" s="36">
        <v>6666.67</v>
      </c>
      <c r="K2300" s="36">
        <v>4040.58</v>
      </c>
      <c r="L2300" s="36">
        <f t="shared" si="175"/>
        <v>-2626.09</v>
      </c>
      <c r="M2300" s="37">
        <f t="shared" si="176"/>
        <v>-0.39391330304334848</v>
      </c>
      <c r="N2300" s="17" t="str">
        <f t="shared" si="177"/>
        <v>Under Budget</v>
      </c>
      <c r="O2300" s="38">
        <f t="shared" si="178"/>
        <v>4040.58</v>
      </c>
      <c r="P2300" s="39">
        <f t="shared" si="179"/>
        <v>45870</v>
      </c>
    </row>
    <row r="2301" spans="1:16" ht="15.5" x14ac:dyDescent="0.35">
      <c r="A2301" s="17" t="s">
        <v>2349</v>
      </c>
      <c r="B2301" s="35">
        <v>45670</v>
      </c>
      <c r="C2301" s="17" t="s">
        <v>12</v>
      </c>
      <c r="D2301" s="17" t="s">
        <v>19</v>
      </c>
      <c r="E2301" s="17" t="s">
        <v>65</v>
      </c>
      <c r="F2301" s="17" t="s">
        <v>28</v>
      </c>
      <c r="G2301" s="17" t="s">
        <v>82</v>
      </c>
      <c r="H2301" s="17" t="s">
        <v>2598</v>
      </c>
      <c r="I2301" s="17" t="s">
        <v>48</v>
      </c>
      <c r="J2301" s="36">
        <v>3810.71</v>
      </c>
      <c r="K2301" s="36">
        <v>4458.76</v>
      </c>
      <c r="L2301" s="36">
        <f t="shared" si="175"/>
        <v>648.05000000000018</v>
      </c>
      <c r="M2301" s="37">
        <f t="shared" si="176"/>
        <v>0.17006017251378355</v>
      </c>
      <c r="N2301" s="17" t="str">
        <f t="shared" si="177"/>
        <v>Over Budget</v>
      </c>
      <c r="O2301" s="38">
        <f t="shared" si="178"/>
        <v>-4458.76</v>
      </c>
      <c r="P2301" s="39">
        <f t="shared" si="179"/>
        <v>45658</v>
      </c>
    </row>
    <row r="2302" spans="1:16" ht="15.5" x14ac:dyDescent="0.35">
      <c r="A2302" s="17" t="s">
        <v>2350</v>
      </c>
      <c r="B2302" s="35">
        <v>46132</v>
      </c>
      <c r="C2302" s="17" t="s">
        <v>12</v>
      </c>
      <c r="D2302" s="17" t="s">
        <v>32</v>
      </c>
      <c r="E2302" s="17" t="s">
        <v>45</v>
      </c>
      <c r="F2302" s="17" t="s">
        <v>21</v>
      </c>
      <c r="G2302" s="17" t="s">
        <v>38</v>
      </c>
      <c r="H2302" s="17" t="s">
        <v>2586</v>
      </c>
      <c r="I2302" s="17" t="s">
        <v>48</v>
      </c>
      <c r="J2302" s="36">
        <v>8571.43</v>
      </c>
      <c r="K2302" s="36">
        <v>4381.7299999999996</v>
      </c>
      <c r="L2302" s="36">
        <f t="shared" si="175"/>
        <v>-4189.7000000000007</v>
      </c>
      <c r="M2302" s="37">
        <f t="shared" si="176"/>
        <v>-0.48879825186695808</v>
      </c>
      <c r="N2302" s="17" t="str">
        <f t="shared" si="177"/>
        <v>Under Budget</v>
      </c>
      <c r="O2302" s="38">
        <f t="shared" si="178"/>
        <v>-4381.7299999999996</v>
      </c>
      <c r="P2302" s="39">
        <f t="shared" si="179"/>
        <v>46113</v>
      </c>
    </row>
    <row r="2303" spans="1:16" ht="15.5" x14ac:dyDescent="0.35">
      <c r="A2303" s="17" t="s">
        <v>2351</v>
      </c>
      <c r="B2303" s="35">
        <v>46131</v>
      </c>
      <c r="C2303" s="17" t="s">
        <v>12</v>
      </c>
      <c r="D2303" s="17" t="s">
        <v>2585</v>
      </c>
      <c r="E2303" s="17" t="s">
        <v>51</v>
      </c>
      <c r="F2303" s="17" t="s">
        <v>52</v>
      </c>
      <c r="G2303" s="17" t="s">
        <v>38</v>
      </c>
      <c r="H2303" s="17" t="s">
        <v>2587</v>
      </c>
      <c r="I2303" s="17" t="s">
        <v>48</v>
      </c>
      <c r="J2303" s="36">
        <v>10000</v>
      </c>
      <c r="K2303" s="36">
        <v>7884.61</v>
      </c>
      <c r="L2303" s="36">
        <f t="shared" si="175"/>
        <v>-2115.3900000000003</v>
      </c>
      <c r="M2303" s="37">
        <f t="shared" si="176"/>
        <v>-0.21153900000000003</v>
      </c>
      <c r="N2303" s="17" t="str">
        <f t="shared" si="177"/>
        <v>Under Budget</v>
      </c>
      <c r="O2303" s="38">
        <f t="shared" si="178"/>
        <v>-7884.61</v>
      </c>
      <c r="P2303" s="39">
        <f t="shared" si="179"/>
        <v>46113</v>
      </c>
    </row>
    <row r="2304" spans="1:16" ht="15.5" x14ac:dyDescent="0.35">
      <c r="A2304" s="17" t="s">
        <v>2352</v>
      </c>
      <c r="B2304" s="35">
        <v>45804</v>
      </c>
      <c r="C2304" s="17" t="s">
        <v>12</v>
      </c>
      <c r="D2304" s="17" t="s">
        <v>36</v>
      </c>
      <c r="E2304" s="17" t="s">
        <v>51</v>
      </c>
      <c r="F2304" s="17" t="s">
        <v>52</v>
      </c>
      <c r="G2304" s="17" t="s">
        <v>43</v>
      </c>
      <c r="H2304" s="17" t="s">
        <v>2598</v>
      </c>
      <c r="I2304" s="17" t="s">
        <v>48</v>
      </c>
      <c r="J2304" s="36">
        <v>2307.69</v>
      </c>
      <c r="K2304" s="36">
        <v>7380.04</v>
      </c>
      <c r="L2304" s="36">
        <f t="shared" si="175"/>
        <v>5072.3500000000004</v>
      </c>
      <c r="M2304" s="37">
        <f t="shared" si="176"/>
        <v>2.198020531353865</v>
      </c>
      <c r="N2304" s="17" t="str">
        <f t="shared" si="177"/>
        <v>Over Budget</v>
      </c>
      <c r="O2304" s="38">
        <f t="shared" si="178"/>
        <v>-7380.04</v>
      </c>
      <c r="P2304" s="39">
        <f t="shared" si="179"/>
        <v>45778</v>
      </c>
    </row>
    <row r="2305" spans="1:16" ht="15.5" x14ac:dyDescent="0.35">
      <c r="A2305" s="17" t="s">
        <v>2353</v>
      </c>
      <c r="B2305" s="35">
        <v>45705</v>
      </c>
      <c r="C2305" s="17" t="s">
        <v>25</v>
      </c>
      <c r="D2305" s="17" t="s">
        <v>19</v>
      </c>
      <c r="E2305" s="17" t="s">
        <v>169</v>
      </c>
      <c r="F2305" s="17" t="s">
        <v>34</v>
      </c>
      <c r="G2305" s="17" t="s">
        <v>43</v>
      </c>
      <c r="H2305" s="17" t="s">
        <v>2591</v>
      </c>
      <c r="I2305" s="17" t="s">
        <v>39</v>
      </c>
      <c r="J2305" s="36">
        <v>3233.33</v>
      </c>
      <c r="K2305" s="36">
        <v>2645.06</v>
      </c>
      <c r="L2305" s="36">
        <f t="shared" si="175"/>
        <v>-588.27</v>
      </c>
      <c r="M2305" s="37">
        <f t="shared" si="176"/>
        <v>-0.18193936282408538</v>
      </c>
      <c r="N2305" s="17" t="str">
        <f t="shared" si="177"/>
        <v>Under Budget</v>
      </c>
      <c r="O2305" s="38">
        <f t="shared" si="178"/>
        <v>2645.06</v>
      </c>
      <c r="P2305" s="39">
        <f t="shared" si="179"/>
        <v>45689</v>
      </c>
    </row>
    <row r="2306" spans="1:16" ht="15.5" x14ac:dyDescent="0.35">
      <c r="A2306" s="17" t="s">
        <v>2354</v>
      </c>
      <c r="B2306" s="35">
        <v>45863</v>
      </c>
      <c r="C2306" s="17" t="s">
        <v>12</v>
      </c>
      <c r="D2306" s="17" t="s">
        <v>2585</v>
      </c>
      <c r="E2306" s="17" t="s">
        <v>14</v>
      </c>
      <c r="F2306" s="17" t="s">
        <v>15</v>
      </c>
      <c r="G2306" s="17" t="s">
        <v>38</v>
      </c>
      <c r="H2306" s="17" t="s">
        <v>2588</v>
      </c>
      <c r="I2306" s="17" t="s">
        <v>23</v>
      </c>
      <c r="J2306" s="36">
        <v>4000</v>
      </c>
      <c r="K2306" s="36">
        <v>1491.47</v>
      </c>
      <c r="L2306" s="36">
        <f t="shared" si="175"/>
        <v>-2508.5299999999997</v>
      </c>
      <c r="M2306" s="37">
        <f t="shared" si="176"/>
        <v>-0.62713249999999998</v>
      </c>
      <c r="N2306" s="17" t="str">
        <f t="shared" si="177"/>
        <v>Under Budget</v>
      </c>
      <c r="O2306" s="38">
        <f t="shared" si="178"/>
        <v>-1491.47</v>
      </c>
      <c r="P2306" s="39">
        <f t="shared" si="179"/>
        <v>45839</v>
      </c>
    </row>
    <row r="2307" spans="1:16" ht="15.5" x14ac:dyDescent="0.35">
      <c r="A2307" s="17" t="s">
        <v>2355</v>
      </c>
      <c r="B2307" s="35">
        <v>45685</v>
      </c>
      <c r="C2307" s="17" t="s">
        <v>25</v>
      </c>
      <c r="D2307" s="17" t="s">
        <v>36</v>
      </c>
      <c r="E2307" s="17" t="s">
        <v>33</v>
      </c>
      <c r="F2307" s="17" t="s">
        <v>52</v>
      </c>
      <c r="G2307" s="17" t="s">
        <v>22</v>
      </c>
      <c r="H2307" s="17" t="s">
        <v>60</v>
      </c>
      <c r="I2307" s="17" t="s">
        <v>23</v>
      </c>
      <c r="J2307" s="36">
        <v>11022.73</v>
      </c>
      <c r="K2307" s="36">
        <v>20748.97</v>
      </c>
      <c r="L2307" s="36">
        <f t="shared" ref="L2307:L2370" si="180">K2307-J2307</f>
        <v>9726.2400000000016</v>
      </c>
      <c r="M2307" s="37">
        <f t="shared" ref="M2307:M2370" si="181">IF(J2307=0,0,L2307/J2307)</f>
        <v>0.882380317761571</v>
      </c>
      <c r="N2307" s="17" t="str">
        <f t="shared" ref="N2307:N2370" si="182">IF(J2307=0,"No Budget",IF(K2307&gt;J2307,"Over Budget",IF(K2307&lt;J2307,"Under Budget","On Budget")))</f>
        <v>Over Budget</v>
      </c>
      <c r="O2307" s="38">
        <f t="shared" ref="O2307:O2370" si="183">IF(C2307="Revenue",K2307,-K2307)</f>
        <v>20748.97</v>
      </c>
      <c r="P2307" s="39">
        <f t="shared" ref="P2307:P2370" si="184">DATE(YEAR(B2307),MONTH(B2307),1)</f>
        <v>45658</v>
      </c>
    </row>
    <row r="2308" spans="1:16" ht="15.5" x14ac:dyDescent="0.35">
      <c r="A2308" s="17" t="s">
        <v>2356</v>
      </c>
      <c r="B2308" s="35">
        <v>45887</v>
      </c>
      <c r="C2308" s="17" t="s">
        <v>25</v>
      </c>
      <c r="D2308" s="17" t="s">
        <v>19</v>
      </c>
      <c r="E2308" s="17" t="s">
        <v>33</v>
      </c>
      <c r="F2308" s="17" t="s">
        <v>21</v>
      </c>
      <c r="G2308" s="17" t="s">
        <v>82</v>
      </c>
      <c r="H2308" s="17" t="s">
        <v>2590</v>
      </c>
      <c r="I2308" s="17" t="s">
        <v>30</v>
      </c>
      <c r="J2308" s="36">
        <v>10416.67</v>
      </c>
      <c r="K2308" s="36">
        <v>16018.22</v>
      </c>
      <c r="L2308" s="36">
        <f t="shared" si="180"/>
        <v>5601.5499999999993</v>
      </c>
      <c r="M2308" s="37">
        <f t="shared" si="181"/>
        <v>0.53774862792043898</v>
      </c>
      <c r="N2308" s="17" t="str">
        <f t="shared" si="182"/>
        <v>Over Budget</v>
      </c>
      <c r="O2308" s="38">
        <f t="shared" si="183"/>
        <v>16018.22</v>
      </c>
      <c r="P2308" s="39">
        <f t="shared" si="184"/>
        <v>45870</v>
      </c>
    </row>
    <row r="2309" spans="1:16" ht="15.5" x14ac:dyDescent="0.35">
      <c r="A2309" s="17" t="s">
        <v>2357</v>
      </c>
      <c r="B2309" s="35">
        <v>46185</v>
      </c>
      <c r="C2309" s="17" t="s">
        <v>25</v>
      </c>
      <c r="D2309" s="17" t="s">
        <v>36</v>
      </c>
      <c r="E2309" s="17" t="s">
        <v>27</v>
      </c>
      <c r="F2309" s="17" t="s">
        <v>28</v>
      </c>
      <c r="G2309" s="17" t="s">
        <v>38</v>
      </c>
      <c r="H2309" s="17" t="s">
        <v>2586</v>
      </c>
      <c r="I2309" s="17" t="s">
        <v>48</v>
      </c>
      <c r="J2309" s="36">
        <v>7272.73</v>
      </c>
      <c r="K2309" s="36">
        <v>2246.0700000000002</v>
      </c>
      <c r="L2309" s="36">
        <f t="shared" si="180"/>
        <v>-5026.66</v>
      </c>
      <c r="M2309" s="37">
        <f t="shared" si="181"/>
        <v>-0.69116549081294099</v>
      </c>
      <c r="N2309" s="17" t="str">
        <f t="shared" si="182"/>
        <v>Under Budget</v>
      </c>
      <c r="O2309" s="38">
        <f t="shared" si="183"/>
        <v>2246.0700000000002</v>
      </c>
      <c r="P2309" s="39">
        <f t="shared" si="184"/>
        <v>46174</v>
      </c>
    </row>
    <row r="2310" spans="1:16" ht="15.5" x14ac:dyDescent="0.35">
      <c r="A2310" s="17" t="s">
        <v>2358</v>
      </c>
      <c r="B2310" s="35">
        <v>45900</v>
      </c>
      <c r="C2310" s="17" t="s">
        <v>12</v>
      </c>
      <c r="D2310" s="17" t="s">
        <v>36</v>
      </c>
      <c r="E2310" s="17" t="s">
        <v>65</v>
      </c>
      <c r="F2310" s="17" t="s">
        <v>28</v>
      </c>
      <c r="G2310" s="17" t="s">
        <v>22</v>
      </c>
      <c r="H2310" s="17" t="s">
        <v>2586</v>
      </c>
      <c r="I2310" s="17" t="s">
        <v>17</v>
      </c>
      <c r="J2310" s="36">
        <v>3928.57</v>
      </c>
      <c r="K2310" s="36">
        <v>7745.08</v>
      </c>
      <c r="L2310" s="36">
        <f t="shared" si="180"/>
        <v>3816.5099999999998</v>
      </c>
      <c r="M2310" s="37">
        <f t="shared" si="181"/>
        <v>0.97147562599113657</v>
      </c>
      <c r="N2310" s="17" t="str">
        <f t="shared" si="182"/>
        <v>Over Budget</v>
      </c>
      <c r="O2310" s="38">
        <f t="shared" si="183"/>
        <v>-7745.08</v>
      </c>
      <c r="P2310" s="39">
        <f t="shared" si="184"/>
        <v>45870</v>
      </c>
    </row>
    <row r="2311" spans="1:16" ht="15.5" x14ac:dyDescent="0.35">
      <c r="A2311" s="17" t="s">
        <v>2359</v>
      </c>
      <c r="B2311" s="35">
        <v>45813</v>
      </c>
      <c r="C2311" s="17" t="s">
        <v>12</v>
      </c>
      <c r="D2311" s="17" t="s">
        <v>26</v>
      </c>
      <c r="E2311" s="17" t="s">
        <v>77</v>
      </c>
      <c r="F2311" s="17" t="s">
        <v>34</v>
      </c>
      <c r="G2311" s="17" t="s">
        <v>43</v>
      </c>
      <c r="H2311" s="17" t="s">
        <v>2596</v>
      </c>
      <c r="I2311" s="17" t="s">
        <v>23</v>
      </c>
      <c r="J2311" s="36">
        <v>3666.67</v>
      </c>
      <c r="K2311" s="36">
        <v>3753.26</v>
      </c>
      <c r="L2311" s="36">
        <f t="shared" si="180"/>
        <v>86.590000000000146</v>
      </c>
      <c r="M2311" s="37">
        <f t="shared" si="181"/>
        <v>2.361543307687906E-2</v>
      </c>
      <c r="N2311" s="17" t="str">
        <f t="shared" si="182"/>
        <v>Over Budget</v>
      </c>
      <c r="O2311" s="38">
        <f t="shared" si="183"/>
        <v>-3753.26</v>
      </c>
      <c r="P2311" s="39">
        <f t="shared" si="184"/>
        <v>45809</v>
      </c>
    </row>
    <row r="2312" spans="1:16" ht="15.5" x14ac:dyDescent="0.35">
      <c r="A2312" s="17" t="s">
        <v>2360</v>
      </c>
      <c r="B2312" s="35">
        <v>45938</v>
      </c>
      <c r="C2312" s="17" t="s">
        <v>12</v>
      </c>
      <c r="D2312" s="17" t="s">
        <v>13</v>
      </c>
      <c r="E2312" s="17" t="s">
        <v>37</v>
      </c>
      <c r="F2312" s="17" t="s">
        <v>28</v>
      </c>
      <c r="G2312" s="17" t="s">
        <v>82</v>
      </c>
      <c r="H2312" s="17" t="s">
        <v>2592</v>
      </c>
      <c r="I2312" s="17" t="s">
        <v>23</v>
      </c>
      <c r="J2312" s="36">
        <v>3500</v>
      </c>
      <c r="K2312" s="36">
        <v>2803.44</v>
      </c>
      <c r="L2312" s="36">
        <f t="shared" si="180"/>
        <v>-696.56</v>
      </c>
      <c r="M2312" s="37">
        <f t="shared" si="181"/>
        <v>-0.19901714285714284</v>
      </c>
      <c r="N2312" s="17" t="str">
        <f t="shared" si="182"/>
        <v>Under Budget</v>
      </c>
      <c r="O2312" s="38">
        <f t="shared" si="183"/>
        <v>-2803.44</v>
      </c>
      <c r="P2312" s="39">
        <f t="shared" si="184"/>
        <v>45931</v>
      </c>
    </row>
    <row r="2313" spans="1:16" ht="15.5" x14ac:dyDescent="0.35">
      <c r="A2313" s="17" t="s">
        <v>2361</v>
      </c>
      <c r="B2313" s="35">
        <v>46116</v>
      </c>
      <c r="C2313" s="17" t="s">
        <v>25</v>
      </c>
      <c r="D2313" s="17" t="s">
        <v>19</v>
      </c>
      <c r="E2313" s="17" t="s">
        <v>33</v>
      </c>
      <c r="F2313" s="17" t="s">
        <v>15</v>
      </c>
      <c r="G2313" s="17" t="s">
        <v>38</v>
      </c>
      <c r="H2313" s="17" t="s">
        <v>2588</v>
      </c>
      <c r="I2313" s="17" t="s">
        <v>39</v>
      </c>
      <c r="J2313" s="36">
        <v>8333.33</v>
      </c>
      <c r="K2313" s="36">
        <v>684.3</v>
      </c>
      <c r="L2313" s="36">
        <f t="shared" si="180"/>
        <v>-7649.03</v>
      </c>
      <c r="M2313" s="37">
        <f t="shared" si="181"/>
        <v>-0.91788396715358689</v>
      </c>
      <c r="N2313" s="17" t="str">
        <f t="shared" si="182"/>
        <v>Under Budget</v>
      </c>
      <c r="O2313" s="38">
        <f t="shared" si="183"/>
        <v>684.3</v>
      </c>
      <c r="P2313" s="39">
        <f t="shared" si="184"/>
        <v>46113</v>
      </c>
    </row>
    <row r="2314" spans="1:16" ht="15.5" x14ac:dyDescent="0.35">
      <c r="A2314" s="17" t="s">
        <v>2362</v>
      </c>
      <c r="B2314" s="35">
        <v>45679</v>
      </c>
      <c r="C2314" s="17" t="s">
        <v>12</v>
      </c>
      <c r="D2314" s="17" t="s">
        <v>2585</v>
      </c>
      <c r="E2314" s="17" t="s">
        <v>14</v>
      </c>
      <c r="F2314" s="17" t="s">
        <v>21</v>
      </c>
      <c r="G2314" s="17" t="s">
        <v>43</v>
      </c>
      <c r="H2314" s="17" t="s">
        <v>2587</v>
      </c>
      <c r="I2314" s="17" t="s">
        <v>23</v>
      </c>
      <c r="J2314" s="36">
        <v>7760</v>
      </c>
      <c r="K2314" s="36">
        <v>2630.53</v>
      </c>
      <c r="L2314" s="36">
        <f t="shared" si="180"/>
        <v>-5129.4699999999993</v>
      </c>
      <c r="M2314" s="37">
        <f t="shared" si="181"/>
        <v>-0.66101417525773187</v>
      </c>
      <c r="N2314" s="17" t="str">
        <f t="shared" si="182"/>
        <v>Under Budget</v>
      </c>
      <c r="O2314" s="38">
        <f t="shared" si="183"/>
        <v>-2630.53</v>
      </c>
      <c r="P2314" s="39">
        <f t="shared" si="184"/>
        <v>45658</v>
      </c>
    </row>
    <row r="2315" spans="1:16" ht="15.5" x14ac:dyDescent="0.35">
      <c r="A2315" s="17" t="s">
        <v>2363</v>
      </c>
      <c r="B2315" s="35">
        <v>46085</v>
      </c>
      <c r="C2315" s="17" t="s">
        <v>12</v>
      </c>
      <c r="D2315" s="17" t="s">
        <v>26</v>
      </c>
      <c r="E2315" s="17" t="s">
        <v>41</v>
      </c>
      <c r="F2315" s="17" t="s">
        <v>15</v>
      </c>
      <c r="G2315" s="17" t="s">
        <v>22</v>
      </c>
      <c r="H2315" s="17" t="s">
        <v>2592</v>
      </c>
      <c r="I2315" s="17" t="s">
        <v>48</v>
      </c>
      <c r="J2315" s="36">
        <v>6500</v>
      </c>
      <c r="K2315" s="36">
        <v>6312.14</v>
      </c>
      <c r="L2315" s="36">
        <f t="shared" si="180"/>
        <v>-187.85999999999967</v>
      </c>
      <c r="M2315" s="37">
        <f t="shared" si="181"/>
        <v>-2.8901538461538413E-2</v>
      </c>
      <c r="N2315" s="17" t="str">
        <f t="shared" si="182"/>
        <v>Under Budget</v>
      </c>
      <c r="O2315" s="38">
        <f t="shared" si="183"/>
        <v>-6312.14</v>
      </c>
      <c r="P2315" s="39">
        <f t="shared" si="184"/>
        <v>46082</v>
      </c>
    </row>
    <row r="2316" spans="1:16" ht="15.5" x14ac:dyDescent="0.35">
      <c r="A2316" s="17" t="s">
        <v>2364</v>
      </c>
      <c r="B2316" s="35">
        <v>45699</v>
      </c>
      <c r="C2316" s="17" t="s">
        <v>25</v>
      </c>
      <c r="D2316" s="17" t="s">
        <v>2585</v>
      </c>
      <c r="E2316" s="17" t="s">
        <v>33</v>
      </c>
      <c r="F2316" s="17" t="s">
        <v>15</v>
      </c>
      <c r="G2316" s="17" t="s">
        <v>43</v>
      </c>
      <c r="H2316" s="17" t="s">
        <v>60</v>
      </c>
      <c r="I2316" s="17" t="s">
        <v>48</v>
      </c>
      <c r="J2316" s="36">
        <v>13472.22</v>
      </c>
      <c r="K2316" s="36">
        <v>17942.27</v>
      </c>
      <c r="L2316" s="36">
        <f t="shared" si="180"/>
        <v>4470.0500000000011</v>
      </c>
      <c r="M2316" s="37">
        <f t="shared" si="181"/>
        <v>0.33179758050269381</v>
      </c>
      <c r="N2316" s="17" t="str">
        <f t="shared" si="182"/>
        <v>Over Budget</v>
      </c>
      <c r="O2316" s="38">
        <f t="shared" si="183"/>
        <v>17942.27</v>
      </c>
      <c r="P2316" s="39">
        <f t="shared" si="184"/>
        <v>45689</v>
      </c>
    </row>
    <row r="2317" spans="1:16" ht="15.5" x14ac:dyDescent="0.35">
      <c r="A2317" s="17" t="s">
        <v>2365</v>
      </c>
      <c r="B2317" s="35">
        <v>46034</v>
      </c>
      <c r="C2317" s="17" t="s">
        <v>25</v>
      </c>
      <c r="D2317" s="17" t="s">
        <v>32</v>
      </c>
      <c r="E2317" s="17" t="s">
        <v>27</v>
      </c>
      <c r="F2317" s="17" t="s">
        <v>28</v>
      </c>
      <c r="G2317" s="17" t="s">
        <v>38</v>
      </c>
      <c r="H2317" s="17" t="s">
        <v>2594</v>
      </c>
      <c r="I2317" s="17" t="s">
        <v>23</v>
      </c>
      <c r="J2317" s="36">
        <v>8622.2199999999993</v>
      </c>
      <c r="K2317" s="36">
        <v>4411.0600000000004</v>
      </c>
      <c r="L2317" s="36">
        <f t="shared" si="180"/>
        <v>-4211.1599999999989</v>
      </c>
      <c r="M2317" s="37">
        <f t="shared" si="181"/>
        <v>-0.48840785783707669</v>
      </c>
      <c r="N2317" s="17" t="str">
        <f t="shared" si="182"/>
        <v>Under Budget</v>
      </c>
      <c r="O2317" s="38">
        <f t="shared" si="183"/>
        <v>4411.0600000000004</v>
      </c>
      <c r="P2317" s="39">
        <f t="shared" si="184"/>
        <v>46023</v>
      </c>
    </row>
    <row r="2318" spans="1:16" ht="15.5" x14ac:dyDescent="0.35">
      <c r="A2318" s="17" t="s">
        <v>2366</v>
      </c>
      <c r="B2318" s="35">
        <v>45694</v>
      </c>
      <c r="C2318" s="17" t="s">
        <v>25</v>
      </c>
      <c r="D2318" s="17" t="s">
        <v>19</v>
      </c>
      <c r="E2318" s="17" t="s">
        <v>169</v>
      </c>
      <c r="F2318" s="17" t="s">
        <v>15</v>
      </c>
      <c r="G2318" s="17" t="s">
        <v>38</v>
      </c>
      <c r="H2318" s="17" t="s">
        <v>2592</v>
      </c>
      <c r="I2318" s="17" t="s">
        <v>23</v>
      </c>
      <c r="J2318" s="36">
        <v>3233.33</v>
      </c>
      <c r="K2318" s="36">
        <v>514.54999999999995</v>
      </c>
      <c r="L2318" s="36">
        <f t="shared" si="180"/>
        <v>-2718.7799999999997</v>
      </c>
      <c r="M2318" s="37">
        <f t="shared" si="181"/>
        <v>-0.84086066068109344</v>
      </c>
      <c r="N2318" s="17" t="str">
        <f t="shared" si="182"/>
        <v>Under Budget</v>
      </c>
      <c r="O2318" s="38">
        <f t="shared" si="183"/>
        <v>514.54999999999995</v>
      </c>
      <c r="P2318" s="39">
        <f t="shared" si="184"/>
        <v>45689</v>
      </c>
    </row>
    <row r="2319" spans="1:16" ht="15.5" x14ac:dyDescent="0.35">
      <c r="A2319" s="17" t="s">
        <v>2367</v>
      </c>
      <c r="B2319" s="35">
        <v>45750</v>
      </c>
      <c r="C2319" s="17" t="s">
        <v>12</v>
      </c>
      <c r="D2319" s="17" t="s">
        <v>26</v>
      </c>
      <c r="E2319" s="17" t="s">
        <v>41</v>
      </c>
      <c r="F2319" s="17" t="s">
        <v>34</v>
      </c>
      <c r="G2319" s="17" t="s">
        <v>16</v>
      </c>
      <c r="H2319" s="17" t="s">
        <v>2589</v>
      </c>
      <c r="I2319" s="17" t="s">
        <v>39</v>
      </c>
      <c r="J2319" s="36">
        <v>5416.67</v>
      </c>
      <c r="K2319" s="36">
        <v>9332.18</v>
      </c>
      <c r="L2319" s="36">
        <f t="shared" si="180"/>
        <v>3915.51</v>
      </c>
      <c r="M2319" s="37">
        <f t="shared" si="181"/>
        <v>0.7228629397766525</v>
      </c>
      <c r="N2319" s="17" t="str">
        <f t="shared" si="182"/>
        <v>Over Budget</v>
      </c>
      <c r="O2319" s="38">
        <f t="shared" si="183"/>
        <v>-9332.18</v>
      </c>
      <c r="P2319" s="39">
        <f t="shared" si="184"/>
        <v>45748</v>
      </c>
    </row>
    <row r="2320" spans="1:16" ht="15.5" x14ac:dyDescent="0.35">
      <c r="A2320" s="17" t="s">
        <v>2368</v>
      </c>
      <c r="B2320" s="35">
        <v>45690</v>
      </c>
      <c r="C2320" s="17" t="s">
        <v>12</v>
      </c>
      <c r="D2320" s="17" t="s">
        <v>19</v>
      </c>
      <c r="E2320" s="17" t="s">
        <v>45</v>
      </c>
      <c r="F2320" s="17" t="s">
        <v>34</v>
      </c>
      <c r="G2320" s="17" t="s">
        <v>43</v>
      </c>
      <c r="H2320" s="17" t="s">
        <v>2596</v>
      </c>
      <c r="I2320" s="17" t="s">
        <v>48</v>
      </c>
      <c r="J2320" s="36">
        <v>11640</v>
      </c>
      <c r="K2320" s="36">
        <v>6368.81</v>
      </c>
      <c r="L2320" s="36">
        <f t="shared" si="180"/>
        <v>-5271.19</v>
      </c>
      <c r="M2320" s="37">
        <f t="shared" si="181"/>
        <v>-0.45285137457044672</v>
      </c>
      <c r="N2320" s="17" t="str">
        <f t="shared" si="182"/>
        <v>Under Budget</v>
      </c>
      <c r="O2320" s="38">
        <f t="shared" si="183"/>
        <v>-6368.81</v>
      </c>
      <c r="P2320" s="39">
        <f t="shared" si="184"/>
        <v>45689</v>
      </c>
    </row>
    <row r="2321" spans="1:16" ht="15.5" x14ac:dyDescent="0.35">
      <c r="A2321" s="17" t="s">
        <v>2369</v>
      </c>
      <c r="B2321" s="35">
        <v>45934</v>
      </c>
      <c r="C2321" s="17" t="s">
        <v>12</v>
      </c>
      <c r="D2321" s="17" t="s">
        <v>19</v>
      </c>
      <c r="E2321" s="17" t="s">
        <v>14</v>
      </c>
      <c r="F2321" s="17" t="s">
        <v>52</v>
      </c>
      <c r="G2321" s="17" t="s">
        <v>38</v>
      </c>
      <c r="H2321" s="17" t="s">
        <v>2593</v>
      </c>
      <c r="I2321" s="17" t="s">
        <v>17</v>
      </c>
      <c r="J2321" s="36">
        <v>2666.67</v>
      </c>
      <c r="K2321" s="36">
        <v>4441.5600000000004</v>
      </c>
      <c r="L2321" s="36">
        <f t="shared" si="180"/>
        <v>1774.8900000000003</v>
      </c>
      <c r="M2321" s="37">
        <f t="shared" si="181"/>
        <v>0.66558291802135261</v>
      </c>
      <c r="N2321" s="17" t="str">
        <f t="shared" si="182"/>
        <v>Over Budget</v>
      </c>
      <c r="O2321" s="38">
        <f t="shared" si="183"/>
        <v>-4441.5600000000004</v>
      </c>
      <c r="P2321" s="39">
        <f t="shared" si="184"/>
        <v>45931</v>
      </c>
    </row>
    <row r="2322" spans="1:16" ht="15.5" x14ac:dyDescent="0.35">
      <c r="A2322" s="17" t="s">
        <v>2370</v>
      </c>
      <c r="B2322" s="35">
        <v>45944</v>
      </c>
      <c r="C2322" s="17" t="s">
        <v>12</v>
      </c>
      <c r="D2322" s="17" t="s">
        <v>32</v>
      </c>
      <c r="E2322" s="17" t="s">
        <v>65</v>
      </c>
      <c r="F2322" s="17" t="s">
        <v>34</v>
      </c>
      <c r="G2322" s="17" t="s">
        <v>43</v>
      </c>
      <c r="H2322" s="17" t="s">
        <v>2590</v>
      </c>
      <c r="I2322" s="17" t="s">
        <v>23</v>
      </c>
      <c r="J2322" s="36">
        <v>3928.57</v>
      </c>
      <c r="K2322" s="36">
        <v>5550.36</v>
      </c>
      <c r="L2322" s="36">
        <f t="shared" si="180"/>
        <v>1621.7899999999995</v>
      </c>
      <c r="M2322" s="37">
        <f t="shared" si="181"/>
        <v>0.41281942284342632</v>
      </c>
      <c r="N2322" s="17" t="str">
        <f t="shared" si="182"/>
        <v>Over Budget</v>
      </c>
      <c r="O2322" s="38">
        <f t="shared" si="183"/>
        <v>-5550.36</v>
      </c>
      <c r="P2322" s="39">
        <f t="shared" si="184"/>
        <v>45931</v>
      </c>
    </row>
    <row r="2323" spans="1:16" ht="15.5" x14ac:dyDescent="0.35">
      <c r="A2323" s="17" t="s">
        <v>2371</v>
      </c>
      <c r="B2323" s="35">
        <v>45834</v>
      </c>
      <c r="C2323" s="17" t="s">
        <v>12</v>
      </c>
      <c r="D2323" s="17" t="s">
        <v>2585</v>
      </c>
      <c r="E2323" s="17" t="s">
        <v>51</v>
      </c>
      <c r="F2323" s="17" t="s">
        <v>34</v>
      </c>
      <c r="G2323" s="17" t="s">
        <v>22</v>
      </c>
      <c r="H2323" s="17" t="s">
        <v>2596</v>
      </c>
      <c r="I2323" s="17" t="s">
        <v>48</v>
      </c>
      <c r="J2323" s="36">
        <v>5000</v>
      </c>
      <c r="K2323" s="36">
        <v>3620.53</v>
      </c>
      <c r="L2323" s="36">
        <f t="shared" si="180"/>
        <v>-1379.4699999999998</v>
      </c>
      <c r="M2323" s="37">
        <f t="shared" si="181"/>
        <v>-0.27589399999999997</v>
      </c>
      <c r="N2323" s="17" t="str">
        <f t="shared" si="182"/>
        <v>Under Budget</v>
      </c>
      <c r="O2323" s="38">
        <f t="shared" si="183"/>
        <v>-3620.53</v>
      </c>
      <c r="P2323" s="39">
        <f t="shared" si="184"/>
        <v>45809</v>
      </c>
    </row>
    <row r="2324" spans="1:16" ht="15.5" x14ac:dyDescent="0.35">
      <c r="A2324" s="17" t="s">
        <v>2372</v>
      </c>
      <c r="B2324" s="35">
        <v>45821</v>
      </c>
      <c r="C2324" s="17" t="s">
        <v>25</v>
      </c>
      <c r="D2324" s="17" t="s">
        <v>32</v>
      </c>
      <c r="E2324" s="17" t="s">
        <v>27</v>
      </c>
      <c r="F2324" s="17" t="s">
        <v>21</v>
      </c>
      <c r="G2324" s="17" t="s">
        <v>38</v>
      </c>
      <c r="H2324" s="17" t="s">
        <v>2592</v>
      </c>
      <c r="I2324" s="17" t="s">
        <v>30</v>
      </c>
      <c r="J2324" s="36">
        <v>5333.33</v>
      </c>
      <c r="K2324" s="36">
        <v>1875.07</v>
      </c>
      <c r="L2324" s="36">
        <f t="shared" si="180"/>
        <v>-3458.26</v>
      </c>
      <c r="M2324" s="37">
        <f t="shared" si="181"/>
        <v>-0.64842415526509711</v>
      </c>
      <c r="N2324" s="17" t="str">
        <f t="shared" si="182"/>
        <v>Under Budget</v>
      </c>
      <c r="O2324" s="38">
        <f t="shared" si="183"/>
        <v>1875.07</v>
      </c>
      <c r="P2324" s="39">
        <f t="shared" si="184"/>
        <v>45809</v>
      </c>
    </row>
    <row r="2325" spans="1:16" ht="15.5" x14ac:dyDescent="0.35">
      <c r="A2325" s="17" t="s">
        <v>2373</v>
      </c>
      <c r="B2325" s="35">
        <v>45781</v>
      </c>
      <c r="C2325" s="17" t="s">
        <v>25</v>
      </c>
      <c r="D2325" s="17" t="s">
        <v>32</v>
      </c>
      <c r="E2325" s="17" t="s">
        <v>33</v>
      </c>
      <c r="F2325" s="17" t="s">
        <v>52</v>
      </c>
      <c r="G2325" s="17" t="s">
        <v>38</v>
      </c>
      <c r="H2325" s="17" t="s">
        <v>2590</v>
      </c>
      <c r="I2325" s="17" t="s">
        <v>48</v>
      </c>
      <c r="J2325" s="36">
        <v>9615.3799999999992</v>
      </c>
      <c r="K2325" s="36">
        <v>2740.46</v>
      </c>
      <c r="L2325" s="36">
        <f t="shared" si="180"/>
        <v>-6874.9199999999992</v>
      </c>
      <c r="M2325" s="37">
        <f t="shared" si="181"/>
        <v>-0.71499202319617106</v>
      </c>
      <c r="N2325" s="17" t="str">
        <f t="shared" si="182"/>
        <v>Under Budget</v>
      </c>
      <c r="O2325" s="38">
        <f t="shared" si="183"/>
        <v>2740.46</v>
      </c>
      <c r="P2325" s="39">
        <f t="shared" si="184"/>
        <v>45778</v>
      </c>
    </row>
    <row r="2326" spans="1:16" ht="15.5" x14ac:dyDescent="0.35">
      <c r="A2326" s="17" t="s">
        <v>2374</v>
      </c>
      <c r="B2326" s="35">
        <v>46170</v>
      </c>
      <c r="C2326" s="17" t="s">
        <v>25</v>
      </c>
      <c r="D2326" s="17" t="s">
        <v>32</v>
      </c>
      <c r="E2326" s="17" t="s">
        <v>33</v>
      </c>
      <c r="F2326" s="17" t="s">
        <v>28</v>
      </c>
      <c r="G2326" s="17" t="s">
        <v>38</v>
      </c>
      <c r="H2326" s="17" t="s">
        <v>2590</v>
      </c>
      <c r="I2326" s="17" t="s">
        <v>48</v>
      </c>
      <c r="J2326" s="36">
        <v>10869.57</v>
      </c>
      <c r="K2326" s="36">
        <v>4880.8</v>
      </c>
      <c r="L2326" s="36">
        <f t="shared" si="180"/>
        <v>-5988.7699999999995</v>
      </c>
      <c r="M2326" s="37">
        <f t="shared" si="181"/>
        <v>-0.55096659757469701</v>
      </c>
      <c r="N2326" s="17" t="str">
        <f t="shared" si="182"/>
        <v>Under Budget</v>
      </c>
      <c r="O2326" s="38">
        <f t="shared" si="183"/>
        <v>4880.8</v>
      </c>
      <c r="P2326" s="39">
        <f t="shared" si="184"/>
        <v>46143</v>
      </c>
    </row>
    <row r="2327" spans="1:16" ht="15.5" x14ac:dyDescent="0.35">
      <c r="A2327" s="17" t="s">
        <v>2375</v>
      </c>
      <c r="B2327" s="35">
        <v>45877</v>
      </c>
      <c r="C2327" s="17" t="s">
        <v>25</v>
      </c>
      <c r="D2327" s="17" t="s">
        <v>26</v>
      </c>
      <c r="E2327" s="17" t="s">
        <v>33</v>
      </c>
      <c r="F2327" s="17" t="s">
        <v>52</v>
      </c>
      <c r="G2327" s="17" t="s">
        <v>16</v>
      </c>
      <c r="H2327" s="17" t="s">
        <v>80</v>
      </c>
      <c r="I2327" s="17" t="s">
        <v>17</v>
      </c>
      <c r="J2327" s="36">
        <v>10416.67</v>
      </c>
      <c r="K2327" s="36">
        <v>12475.67</v>
      </c>
      <c r="L2327" s="36">
        <f t="shared" si="180"/>
        <v>2059</v>
      </c>
      <c r="M2327" s="37">
        <f t="shared" si="181"/>
        <v>0.19766393674754024</v>
      </c>
      <c r="N2327" s="17" t="str">
        <f t="shared" si="182"/>
        <v>Over Budget</v>
      </c>
      <c r="O2327" s="38">
        <f t="shared" si="183"/>
        <v>12475.67</v>
      </c>
      <c r="P2327" s="39">
        <f t="shared" si="184"/>
        <v>45870</v>
      </c>
    </row>
    <row r="2328" spans="1:16" ht="15.5" x14ac:dyDescent="0.35">
      <c r="A2328" s="17" t="s">
        <v>2376</v>
      </c>
      <c r="B2328" s="35">
        <v>45717</v>
      </c>
      <c r="C2328" s="17" t="s">
        <v>12</v>
      </c>
      <c r="D2328" s="17" t="s">
        <v>13</v>
      </c>
      <c r="E2328" s="17" t="s">
        <v>47</v>
      </c>
      <c r="F2328" s="17" t="s">
        <v>15</v>
      </c>
      <c r="G2328" s="17" t="s">
        <v>22</v>
      </c>
      <c r="H2328" s="17" t="s">
        <v>60</v>
      </c>
      <c r="I2328" s="17" t="s">
        <v>48</v>
      </c>
      <c r="J2328" s="36">
        <v>4375</v>
      </c>
      <c r="K2328" s="36">
        <v>2106.58</v>
      </c>
      <c r="L2328" s="36">
        <f t="shared" si="180"/>
        <v>-2268.42</v>
      </c>
      <c r="M2328" s="37">
        <f t="shared" si="181"/>
        <v>-0.51849600000000007</v>
      </c>
      <c r="N2328" s="17" t="str">
        <f t="shared" si="182"/>
        <v>Under Budget</v>
      </c>
      <c r="O2328" s="38">
        <f t="shared" si="183"/>
        <v>-2106.58</v>
      </c>
      <c r="P2328" s="39">
        <f t="shared" si="184"/>
        <v>45717</v>
      </c>
    </row>
    <row r="2329" spans="1:16" ht="15.5" x14ac:dyDescent="0.35">
      <c r="A2329" s="17" t="s">
        <v>2377</v>
      </c>
      <c r="B2329" s="35">
        <v>45844</v>
      </c>
      <c r="C2329" s="17" t="s">
        <v>12</v>
      </c>
      <c r="D2329" s="17" t="s">
        <v>19</v>
      </c>
      <c r="E2329" s="17" t="s">
        <v>47</v>
      </c>
      <c r="F2329" s="17" t="s">
        <v>21</v>
      </c>
      <c r="G2329" s="17" t="s">
        <v>38</v>
      </c>
      <c r="H2329" s="17" t="s">
        <v>2597</v>
      </c>
      <c r="I2329" s="17" t="s">
        <v>39</v>
      </c>
      <c r="J2329" s="36">
        <v>8750</v>
      </c>
      <c r="K2329" s="36">
        <v>1016.32</v>
      </c>
      <c r="L2329" s="36">
        <f t="shared" si="180"/>
        <v>-7733.68</v>
      </c>
      <c r="M2329" s="37">
        <f t="shared" si="181"/>
        <v>-0.88384914285714289</v>
      </c>
      <c r="N2329" s="17" t="str">
        <f t="shared" si="182"/>
        <v>Under Budget</v>
      </c>
      <c r="O2329" s="38">
        <f t="shared" si="183"/>
        <v>-1016.32</v>
      </c>
      <c r="P2329" s="39">
        <f t="shared" si="184"/>
        <v>45839</v>
      </c>
    </row>
    <row r="2330" spans="1:16" ht="15.5" x14ac:dyDescent="0.35">
      <c r="A2330" s="17" t="s">
        <v>2378</v>
      </c>
      <c r="B2330" s="35">
        <v>46032</v>
      </c>
      <c r="C2330" s="17" t="s">
        <v>25</v>
      </c>
      <c r="D2330" s="17" t="s">
        <v>32</v>
      </c>
      <c r="E2330" s="17" t="s">
        <v>33</v>
      </c>
      <c r="F2330" s="17" t="s">
        <v>21</v>
      </c>
      <c r="G2330" s="17" t="s">
        <v>38</v>
      </c>
      <c r="H2330" s="17" t="s">
        <v>2594</v>
      </c>
      <c r="I2330" s="17" t="s">
        <v>17</v>
      </c>
      <c r="J2330" s="36">
        <v>11547.62</v>
      </c>
      <c r="K2330" s="36">
        <v>4912.2700000000004</v>
      </c>
      <c r="L2330" s="36">
        <f t="shared" si="180"/>
        <v>-6635.35</v>
      </c>
      <c r="M2330" s="37">
        <f t="shared" si="181"/>
        <v>-0.57460758147566338</v>
      </c>
      <c r="N2330" s="17" t="str">
        <f t="shared" si="182"/>
        <v>Under Budget</v>
      </c>
      <c r="O2330" s="38">
        <f t="shared" si="183"/>
        <v>4912.2700000000004</v>
      </c>
      <c r="P2330" s="39">
        <f t="shared" si="184"/>
        <v>46023</v>
      </c>
    </row>
    <row r="2331" spans="1:16" ht="15.5" x14ac:dyDescent="0.35">
      <c r="A2331" s="17" t="s">
        <v>2379</v>
      </c>
      <c r="B2331" s="35">
        <v>45683</v>
      </c>
      <c r="C2331" s="17" t="s">
        <v>25</v>
      </c>
      <c r="D2331" s="17" t="s">
        <v>2585</v>
      </c>
      <c r="E2331" s="17" t="s">
        <v>27</v>
      </c>
      <c r="F2331" s="17" t="s">
        <v>21</v>
      </c>
      <c r="G2331" s="17" t="s">
        <v>22</v>
      </c>
      <c r="H2331" s="17" t="s">
        <v>2591</v>
      </c>
      <c r="I2331" s="17" t="s">
        <v>30</v>
      </c>
      <c r="J2331" s="36">
        <v>11085.71</v>
      </c>
      <c r="K2331" s="36">
        <v>6388.93</v>
      </c>
      <c r="L2331" s="36">
        <f t="shared" si="180"/>
        <v>-4696.7799999999988</v>
      </c>
      <c r="M2331" s="37">
        <f t="shared" si="181"/>
        <v>-0.42367877204076232</v>
      </c>
      <c r="N2331" s="17" t="str">
        <f t="shared" si="182"/>
        <v>Under Budget</v>
      </c>
      <c r="O2331" s="38">
        <f t="shared" si="183"/>
        <v>6388.93</v>
      </c>
      <c r="P2331" s="39">
        <f t="shared" si="184"/>
        <v>45658</v>
      </c>
    </row>
    <row r="2332" spans="1:16" ht="15.5" x14ac:dyDescent="0.35">
      <c r="A2332" s="17" t="s">
        <v>2380</v>
      </c>
      <c r="B2332" s="35">
        <v>45854</v>
      </c>
      <c r="C2332" s="17" t="s">
        <v>25</v>
      </c>
      <c r="D2332" s="17" t="s">
        <v>32</v>
      </c>
      <c r="E2332" s="17" t="s">
        <v>109</v>
      </c>
      <c r="F2332" s="17" t="s">
        <v>28</v>
      </c>
      <c r="G2332" s="17" t="s">
        <v>38</v>
      </c>
      <c r="H2332" s="17" t="s">
        <v>2593</v>
      </c>
      <c r="I2332" s="17" t="s">
        <v>30</v>
      </c>
      <c r="J2332" s="36">
        <v>7142.86</v>
      </c>
      <c r="K2332" s="36">
        <v>11144.08</v>
      </c>
      <c r="L2332" s="36">
        <f t="shared" si="180"/>
        <v>4001.2200000000003</v>
      </c>
      <c r="M2332" s="37">
        <f t="shared" si="181"/>
        <v>0.56017057593176967</v>
      </c>
      <c r="N2332" s="17" t="str">
        <f t="shared" si="182"/>
        <v>Over Budget</v>
      </c>
      <c r="O2332" s="38">
        <f t="shared" si="183"/>
        <v>11144.08</v>
      </c>
      <c r="P2332" s="39">
        <f t="shared" si="184"/>
        <v>45839</v>
      </c>
    </row>
    <row r="2333" spans="1:16" ht="15.5" x14ac:dyDescent="0.35">
      <c r="A2333" s="17" t="s">
        <v>2381</v>
      </c>
      <c r="B2333" s="35">
        <v>45848</v>
      </c>
      <c r="C2333" s="17" t="s">
        <v>25</v>
      </c>
      <c r="D2333" s="17" t="s">
        <v>2585</v>
      </c>
      <c r="E2333" s="17" t="s">
        <v>109</v>
      </c>
      <c r="F2333" s="17" t="s">
        <v>52</v>
      </c>
      <c r="G2333" s="17" t="s">
        <v>82</v>
      </c>
      <c r="H2333" s="17" t="s">
        <v>2593</v>
      </c>
      <c r="I2333" s="17" t="s">
        <v>39</v>
      </c>
      <c r="J2333" s="36">
        <v>7142.86</v>
      </c>
      <c r="K2333" s="36">
        <v>15063.75</v>
      </c>
      <c r="L2333" s="36">
        <f t="shared" si="180"/>
        <v>7920.89</v>
      </c>
      <c r="M2333" s="37">
        <f t="shared" si="181"/>
        <v>1.1089241564303376</v>
      </c>
      <c r="N2333" s="17" t="str">
        <f t="shared" si="182"/>
        <v>Over Budget</v>
      </c>
      <c r="O2333" s="38">
        <f t="shared" si="183"/>
        <v>15063.75</v>
      </c>
      <c r="P2333" s="39">
        <f t="shared" si="184"/>
        <v>45839</v>
      </c>
    </row>
    <row r="2334" spans="1:16" ht="15.5" x14ac:dyDescent="0.35">
      <c r="A2334" s="17" t="s">
        <v>2382</v>
      </c>
      <c r="B2334" s="35">
        <v>46040</v>
      </c>
      <c r="C2334" s="17" t="s">
        <v>25</v>
      </c>
      <c r="D2334" s="17" t="s">
        <v>36</v>
      </c>
      <c r="E2334" s="17" t="s">
        <v>33</v>
      </c>
      <c r="F2334" s="17" t="s">
        <v>52</v>
      </c>
      <c r="G2334" s="17" t="s">
        <v>22</v>
      </c>
      <c r="H2334" s="17" t="s">
        <v>2596</v>
      </c>
      <c r="I2334" s="17" t="s">
        <v>39</v>
      </c>
      <c r="J2334" s="36">
        <v>11547.62</v>
      </c>
      <c r="K2334" s="36">
        <v>14593.14</v>
      </c>
      <c r="L2334" s="36">
        <f t="shared" si="180"/>
        <v>3045.5199999999986</v>
      </c>
      <c r="M2334" s="37">
        <f t="shared" si="181"/>
        <v>0.26373573082591895</v>
      </c>
      <c r="N2334" s="17" t="str">
        <f t="shared" si="182"/>
        <v>Over Budget</v>
      </c>
      <c r="O2334" s="38">
        <f t="shared" si="183"/>
        <v>14593.14</v>
      </c>
      <c r="P2334" s="39">
        <f t="shared" si="184"/>
        <v>46023</v>
      </c>
    </row>
    <row r="2335" spans="1:16" ht="15.5" x14ac:dyDescent="0.35">
      <c r="A2335" s="17" t="s">
        <v>2383</v>
      </c>
      <c r="B2335" s="35">
        <v>46069</v>
      </c>
      <c r="C2335" s="17" t="s">
        <v>12</v>
      </c>
      <c r="D2335" s="17" t="s">
        <v>19</v>
      </c>
      <c r="E2335" s="17" t="s">
        <v>65</v>
      </c>
      <c r="F2335" s="17" t="s">
        <v>34</v>
      </c>
      <c r="G2335" s="17" t="s">
        <v>29</v>
      </c>
      <c r="H2335" s="17" t="s">
        <v>2594</v>
      </c>
      <c r="I2335" s="17" t="s">
        <v>39</v>
      </c>
      <c r="J2335" s="36">
        <v>4850</v>
      </c>
      <c r="K2335" s="36">
        <v>5513.1</v>
      </c>
      <c r="L2335" s="36">
        <f t="shared" si="180"/>
        <v>663.10000000000036</v>
      </c>
      <c r="M2335" s="37">
        <f t="shared" si="181"/>
        <v>0.13672164948453616</v>
      </c>
      <c r="N2335" s="17" t="str">
        <f t="shared" si="182"/>
        <v>Over Budget</v>
      </c>
      <c r="O2335" s="38">
        <f t="shared" si="183"/>
        <v>-5513.1</v>
      </c>
      <c r="P2335" s="39">
        <f t="shared" si="184"/>
        <v>46054</v>
      </c>
    </row>
    <row r="2336" spans="1:16" ht="15.5" x14ac:dyDescent="0.35">
      <c r="A2336" s="17" t="s">
        <v>2384</v>
      </c>
      <c r="B2336" s="35">
        <v>45694</v>
      </c>
      <c r="C2336" s="17" t="s">
        <v>12</v>
      </c>
      <c r="D2336" s="17" t="s">
        <v>32</v>
      </c>
      <c r="E2336" s="17" t="s">
        <v>74</v>
      </c>
      <c r="F2336" s="17" t="s">
        <v>52</v>
      </c>
      <c r="G2336" s="17" t="s">
        <v>16</v>
      </c>
      <c r="H2336" s="17" t="s">
        <v>2589</v>
      </c>
      <c r="I2336" s="17" t="s">
        <v>39</v>
      </c>
      <c r="J2336" s="36">
        <v>5542.86</v>
      </c>
      <c r="K2336" s="36">
        <v>3815.56</v>
      </c>
      <c r="L2336" s="36">
        <f t="shared" si="180"/>
        <v>-1727.2999999999997</v>
      </c>
      <c r="M2336" s="37">
        <f t="shared" si="181"/>
        <v>-0.31162612802776901</v>
      </c>
      <c r="N2336" s="17" t="str">
        <f t="shared" si="182"/>
        <v>Under Budget</v>
      </c>
      <c r="O2336" s="38">
        <f t="shared" si="183"/>
        <v>-3815.56</v>
      </c>
      <c r="P2336" s="39">
        <f t="shared" si="184"/>
        <v>45689</v>
      </c>
    </row>
    <row r="2337" spans="1:16" ht="15.5" x14ac:dyDescent="0.35">
      <c r="A2337" s="17" t="s">
        <v>2385</v>
      </c>
      <c r="B2337" s="35">
        <v>46203</v>
      </c>
      <c r="C2337" s="17" t="s">
        <v>12</v>
      </c>
      <c r="D2337" s="17" t="s">
        <v>2584</v>
      </c>
      <c r="E2337" s="17" t="s">
        <v>45</v>
      </c>
      <c r="F2337" s="17" t="s">
        <v>52</v>
      </c>
      <c r="G2337" s="17" t="s">
        <v>38</v>
      </c>
      <c r="H2337" s="17" t="s">
        <v>60</v>
      </c>
      <c r="I2337" s="17" t="s">
        <v>17</v>
      </c>
      <c r="J2337" s="36">
        <v>8571.43</v>
      </c>
      <c r="K2337" s="36">
        <v>16343.09</v>
      </c>
      <c r="L2337" s="36">
        <f t="shared" si="180"/>
        <v>7771.66</v>
      </c>
      <c r="M2337" s="37">
        <f t="shared" si="181"/>
        <v>0.90669351555108069</v>
      </c>
      <c r="N2337" s="17" t="str">
        <f t="shared" si="182"/>
        <v>Over Budget</v>
      </c>
      <c r="O2337" s="38">
        <f t="shared" si="183"/>
        <v>-16343.09</v>
      </c>
      <c r="P2337" s="39">
        <f t="shared" si="184"/>
        <v>46174</v>
      </c>
    </row>
    <row r="2338" spans="1:16" ht="15.5" x14ac:dyDescent="0.35">
      <c r="A2338" s="17" t="s">
        <v>2386</v>
      </c>
      <c r="B2338" s="35">
        <v>46183</v>
      </c>
      <c r="C2338" s="17" t="s">
        <v>25</v>
      </c>
      <c r="D2338" s="17" t="s">
        <v>32</v>
      </c>
      <c r="E2338" s="17" t="s">
        <v>33</v>
      </c>
      <c r="F2338" s="17" t="s">
        <v>34</v>
      </c>
      <c r="G2338" s="17" t="s">
        <v>22</v>
      </c>
      <c r="H2338" s="17" t="s">
        <v>2595</v>
      </c>
      <c r="I2338" s="17" t="s">
        <v>30</v>
      </c>
      <c r="J2338" s="36">
        <v>10000</v>
      </c>
      <c r="K2338" s="36">
        <v>16829.39</v>
      </c>
      <c r="L2338" s="36">
        <f t="shared" si="180"/>
        <v>6829.3899999999994</v>
      </c>
      <c r="M2338" s="37">
        <f t="shared" si="181"/>
        <v>0.68293899999999996</v>
      </c>
      <c r="N2338" s="17" t="str">
        <f t="shared" si="182"/>
        <v>Over Budget</v>
      </c>
      <c r="O2338" s="38">
        <f t="shared" si="183"/>
        <v>16829.39</v>
      </c>
      <c r="P2338" s="39">
        <f t="shared" si="184"/>
        <v>46174</v>
      </c>
    </row>
    <row r="2339" spans="1:16" ht="15.5" x14ac:dyDescent="0.35">
      <c r="A2339" s="17" t="s">
        <v>2387</v>
      </c>
      <c r="B2339" s="35">
        <v>46046</v>
      </c>
      <c r="C2339" s="17" t="s">
        <v>12</v>
      </c>
      <c r="D2339" s="17" t="s">
        <v>2584</v>
      </c>
      <c r="E2339" s="17" t="s">
        <v>20</v>
      </c>
      <c r="F2339" s="17" t="s">
        <v>34</v>
      </c>
      <c r="G2339" s="17" t="s">
        <v>29</v>
      </c>
      <c r="H2339" s="17" t="s">
        <v>2589</v>
      </c>
      <c r="I2339" s="17" t="s">
        <v>23</v>
      </c>
      <c r="J2339" s="36">
        <v>5820</v>
      </c>
      <c r="K2339" s="36">
        <v>1022.83</v>
      </c>
      <c r="L2339" s="36">
        <f t="shared" si="180"/>
        <v>-4797.17</v>
      </c>
      <c r="M2339" s="37">
        <f t="shared" si="181"/>
        <v>-0.82425601374570445</v>
      </c>
      <c r="N2339" s="17" t="str">
        <f t="shared" si="182"/>
        <v>Under Budget</v>
      </c>
      <c r="O2339" s="38">
        <f t="shared" si="183"/>
        <v>-1022.83</v>
      </c>
      <c r="P2339" s="39">
        <f t="shared" si="184"/>
        <v>46023</v>
      </c>
    </row>
    <row r="2340" spans="1:16" ht="15.5" x14ac:dyDescent="0.35">
      <c r="A2340" s="17" t="s">
        <v>2388</v>
      </c>
      <c r="B2340" s="35">
        <v>45919</v>
      </c>
      <c r="C2340" s="17" t="s">
        <v>12</v>
      </c>
      <c r="D2340" s="17" t="s">
        <v>26</v>
      </c>
      <c r="E2340" s="17" t="s">
        <v>47</v>
      </c>
      <c r="F2340" s="17" t="s">
        <v>21</v>
      </c>
      <c r="G2340" s="17" t="s">
        <v>22</v>
      </c>
      <c r="H2340" s="17" t="s">
        <v>2587</v>
      </c>
      <c r="I2340" s="17" t="s">
        <v>48</v>
      </c>
      <c r="J2340" s="36">
        <v>3500</v>
      </c>
      <c r="K2340" s="36">
        <v>4463.43</v>
      </c>
      <c r="L2340" s="36">
        <f t="shared" si="180"/>
        <v>963.43000000000029</v>
      </c>
      <c r="M2340" s="37">
        <f t="shared" si="181"/>
        <v>0.27526571428571439</v>
      </c>
      <c r="N2340" s="17" t="str">
        <f t="shared" si="182"/>
        <v>Over Budget</v>
      </c>
      <c r="O2340" s="38">
        <f t="shared" si="183"/>
        <v>-4463.43</v>
      </c>
      <c r="P2340" s="39">
        <f t="shared" si="184"/>
        <v>45901</v>
      </c>
    </row>
    <row r="2341" spans="1:16" ht="15.5" x14ac:dyDescent="0.35">
      <c r="A2341" s="17" t="s">
        <v>2389</v>
      </c>
      <c r="B2341" s="35">
        <v>45736</v>
      </c>
      <c r="C2341" s="17" t="s">
        <v>12</v>
      </c>
      <c r="D2341" s="17" t="s">
        <v>19</v>
      </c>
      <c r="E2341" s="17" t="s">
        <v>77</v>
      </c>
      <c r="F2341" s="17" t="s">
        <v>52</v>
      </c>
      <c r="G2341" s="17" t="s">
        <v>38</v>
      </c>
      <c r="H2341" s="17" t="s">
        <v>2597</v>
      </c>
      <c r="I2341" s="17" t="s">
        <v>23</v>
      </c>
      <c r="J2341" s="36">
        <v>3142.86</v>
      </c>
      <c r="K2341" s="36">
        <v>2104.17</v>
      </c>
      <c r="L2341" s="36">
        <f t="shared" si="180"/>
        <v>-1038.69</v>
      </c>
      <c r="M2341" s="37">
        <f t="shared" si="181"/>
        <v>-0.33049197228002519</v>
      </c>
      <c r="N2341" s="17" t="str">
        <f t="shared" si="182"/>
        <v>Under Budget</v>
      </c>
      <c r="O2341" s="38">
        <f t="shared" si="183"/>
        <v>-2104.17</v>
      </c>
      <c r="P2341" s="39">
        <f t="shared" si="184"/>
        <v>45717</v>
      </c>
    </row>
    <row r="2342" spans="1:16" ht="15.5" x14ac:dyDescent="0.35">
      <c r="A2342" s="17" t="s">
        <v>2390</v>
      </c>
      <c r="B2342" s="35">
        <v>45780</v>
      </c>
      <c r="C2342" s="17" t="s">
        <v>12</v>
      </c>
      <c r="D2342" s="17" t="s">
        <v>19</v>
      </c>
      <c r="E2342" s="17" t="s">
        <v>51</v>
      </c>
      <c r="F2342" s="17" t="s">
        <v>34</v>
      </c>
      <c r="G2342" s="17" t="s">
        <v>43</v>
      </c>
      <c r="H2342" s="17" t="s">
        <v>60</v>
      </c>
      <c r="I2342" s="17" t="s">
        <v>23</v>
      </c>
      <c r="J2342" s="36">
        <v>2307.69</v>
      </c>
      <c r="K2342" s="36">
        <v>1217.26</v>
      </c>
      <c r="L2342" s="36">
        <f t="shared" si="180"/>
        <v>-1090.43</v>
      </c>
      <c r="M2342" s="37">
        <f t="shared" si="181"/>
        <v>-0.47252013918680585</v>
      </c>
      <c r="N2342" s="17" t="str">
        <f t="shared" si="182"/>
        <v>Under Budget</v>
      </c>
      <c r="O2342" s="38">
        <f t="shared" si="183"/>
        <v>-1217.26</v>
      </c>
      <c r="P2342" s="39">
        <f t="shared" si="184"/>
        <v>45778</v>
      </c>
    </row>
    <row r="2343" spans="1:16" ht="15.5" x14ac:dyDescent="0.35">
      <c r="A2343" s="17" t="s">
        <v>2391</v>
      </c>
      <c r="B2343" s="35">
        <v>45900</v>
      </c>
      <c r="C2343" s="17" t="s">
        <v>12</v>
      </c>
      <c r="D2343" s="17" t="s">
        <v>36</v>
      </c>
      <c r="E2343" s="17" t="s">
        <v>14</v>
      </c>
      <c r="F2343" s="17" t="s">
        <v>15</v>
      </c>
      <c r="G2343" s="17" t="s">
        <v>29</v>
      </c>
      <c r="H2343" s="17" t="s">
        <v>2583</v>
      </c>
      <c r="I2343" s="17" t="s">
        <v>23</v>
      </c>
      <c r="J2343" s="36">
        <v>2285.71</v>
      </c>
      <c r="K2343" s="36">
        <v>6261.52</v>
      </c>
      <c r="L2343" s="36">
        <f t="shared" si="180"/>
        <v>3975.8100000000004</v>
      </c>
      <c r="M2343" s="37">
        <f t="shared" si="181"/>
        <v>1.7394201364127559</v>
      </c>
      <c r="N2343" s="17" t="str">
        <f t="shared" si="182"/>
        <v>Over Budget</v>
      </c>
      <c r="O2343" s="38">
        <f t="shared" si="183"/>
        <v>-6261.52</v>
      </c>
      <c r="P2343" s="39">
        <f t="shared" si="184"/>
        <v>45870</v>
      </c>
    </row>
    <row r="2344" spans="1:16" ht="15.5" x14ac:dyDescent="0.35">
      <c r="A2344" s="17" t="s">
        <v>2392</v>
      </c>
      <c r="B2344" s="35">
        <v>45897</v>
      </c>
      <c r="C2344" s="17" t="s">
        <v>12</v>
      </c>
      <c r="D2344" s="17" t="s">
        <v>36</v>
      </c>
      <c r="E2344" s="17" t="s">
        <v>65</v>
      </c>
      <c r="F2344" s="17" t="s">
        <v>52</v>
      </c>
      <c r="G2344" s="17" t="s">
        <v>22</v>
      </c>
      <c r="H2344" s="17" t="s">
        <v>2598</v>
      </c>
      <c r="I2344" s="17" t="s">
        <v>30</v>
      </c>
      <c r="J2344" s="36">
        <v>3928.57</v>
      </c>
      <c r="K2344" s="36">
        <v>6937.6</v>
      </c>
      <c r="L2344" s="36">
        <f t="shared" si="180"/>
        <v>3009.03</v>
      </c>
      <c r="M2344" s="37">
        <f t="shared" si="181"/>
        <v>0.76593518761279555</v>
      </c>
      <c r="N2344" s="17" t="str">
        <f t="shared" si="182"/>
        <v>Over Budget</v>
      </c>
      <c r="O2344" s="38">
        <f t="shared" si="183"/>
        <v>-6937.6</v>
      </c>
      <c r="P2344" s="39">
        <f t="shared" si="184"/>
        <v>45870</v>
      </c>
    </row>
    <row r="2345" spans="1:16" ht="15.5" x14ac:dyDescent="0.35">
      <c r="A2345" s="17" t="s">
        <v>2393</v>
      </c>
      <c r="B2345" s="35">
        <v>46127</v>
      </c>
      <c r="C2345" s="17" t="s">
        <v>12</v>
      </c>
      <c r="D2345" s="17" t="s">
        <v>26</v>
      </c>
      <c r="E2345" s="17" t="s">
        <v>20</v>
      </c>
      <c r="F2345" s="17" t="s">
        <v>28</v>
      </c>
      <c r="G2345" s="17" t="s">
        <v>38</v>
      </c>
      <c r="H2345" s="17" t="s">
        <v>2590</v>
      </c>
      <c r="I2345" s="17" t="s">
        <v>30</v>
      </c>
      <c r="J2345" s="36">
        <v>2250</v>
      </c>
      <c r="K2345" s="36">
        <v>237.92</v>
      </c>
      <c r="L2345" s="36">
        <f t="shared" si="180"/>
        <v>-2012.08</v>
      </c>
      <c r="M2345" s="37">
        <f t="shared" si="181"/>
        <v>-0.89425777777777771</v>
      </c>
      <c r="N2345" s="17" t="str">
        <f t="shared" si="182"/>
        <v>Under Budget</v>
      </c>
      <c r="O2345" s="38">
        <f t="shared" si="183"/>
        <v>-237.92</v>
      </c>
      <c r="P2345" s="39">
        <f t="shared" si="184"/>
        <v>46113</v>
      </c>
    </row>
    <row r="2346" spans="1:16" ht="15.5" x14ac:dyDescent="0.35">
      <c r="A2346" s="17" t="s">
        <v>2394</v>
      </c>
      <c r="B2346" s="35">
        <v>45850</v>
      </c>
      <c r="C2346" s="17" t="s">
        <v>25</v>
      </c>
      <c r="D2346" s="17" t="s">
        <v>26</v>
      </c>
      <c r="E2346" s="17" t="s">
        <v>33</v>
      </c>
      <c r="F2346" s="17" t="s">
        <v>28</v>
      </c>
      <c r="G2346" s="17" t="s">
        <v>38</v>
      </c>
      <c r="H2346" s="17" t="s">
        <v>80</v>
      </c>
      <c r="I2346" s="17" t="s">
        <v>23</v>
      </c>
      <c r="J2346" s="36">
        <v>12500</v>
      </c>
      <c r="K2346" s="36">
        <v>12324.68</v>
      </c>
      <c r="L2346" s="36">
        <f t="shared" si="180"/>
        <v>-175.31999999999971</v>
      </c>
      <c r="M2346" s="37">
        <f t="shared" si="181"/>
        <v>-1.4025599999999977E-2</v>
      </c>
      <c r="N2346" s="17" t="str">
        <f t="shared" si="182"/>
        <v>Under Budget</v>
      </c>
      <c r="O2346" s="38">
        <f t="shared" si="183"/>
        <v>12324.68</v>
      </c>
      <c r="P2346" s="39">
        <f t="shared" si="184"/>
        <v>45839</v>
      </c>
    </row>
    <row r="2347" spans="1:16" ht="15.5" x14ac:dyDescent="0.35">
      <c r="A2347" s="17" t="s">
        <v>2395</v>
      </c>
      <c r="B2347" s="35">
        <v>45722</v>
      </c>
      <c r="C2347" s="17" t="s">
        <v>25</v>
      </c>
      <c r="D2347" s="17" t="s">
        <v>32</v>
      </c>
      <c r="E2347" s="17" t="s">
        <v>27</v>
      </c>
      <c r="F2347" s="17" t="s">
        <v>34</v>
      </c>
      <c r="G2347" s="17" t="s">
        <v>38</v>
      </c>
      <c r="H2347" s="17" t="s">
        <v>2595</v>
      </c>
      <c r="I2347" s="17" t="s">
        <v>30</v>
      </c>
      <c r="J2347" s="36">
        <v>11428.57</v>
      </c>
      <c r="K2347" s="36">
        <v>3471.97</v>
      </c>
      <c r="L2347" s="36">
        <f t="shared" si="180"/>
        <v>-7956.6</v>
      </c>
      <c r="M2347" s="37">
        <f t="shared" si="181"/>
        <v>-0.69620258702532345</v>
      </c>
      <c r="N2347" s="17" t="str">
        <f t="shared" si="182"/>
        <v>Under Budget</v>
      </c>
      <c r="O2347" s="38">
        <f t="shared" si="183"/>
        <v>3471.97</v>
      </c>
      <c r="P2347" s="39">
        <f t="shared" si="184"/>
        <v>45717</v>
      </c>
    </row>
    <row r="2348" spans="1:16" ht="15.5" x14ac:dyDescent="0.35">
      <c r="A2348" s="17" t="s">
        <v>2396</v>
      </c>
      <c r="B2348" s="35">
        <v>46101</v>
      </c>
      <c r="C2348" s="17" t="s">
        <v>12</v>
      </c>
      <c r="D2348" s="17" t="s">
        <v>2584</v>
      </c>
      <c r="E2348" s="17" t="s">
        <v>37</v>
      </c>
      <c r="F2348" s="17" t="s">
        <v>34</v>
      </c>
      <c r="G2348" s="17" t="s">
        <v>22</v>
      </c>
      <c r="H2348" s="17" t="s">
        <v>2591</v>
      </c>
      <c r="I2348" s="17" t="s">
        <v>48</v>
      </c>
      <c r="J2348" s="36">
        <v>4000</v>
      </c>
      <c r="K2348" s="36">
        <v>891.03</v>
      </c>
      <c r="L2348" s="36">
        <f t="shared" si="180"/>
        <v>-3108.9700000000003</v>
      </c>
      <c r="M2348" s="37">
        <f t="shared" si="181"/>
        <v>-0.77724250000000006</v>
      </c>
      <c r="N2348" s="17" t="str">
        <f t="shared" si="182"/>
        <v>Under Budget</v>
      </c>
      <c r="O2348" s="38">
        <f t="shared" si="183"/>
        <v>-891.03</v>
      </c>
      <c r="P2348" s="39">
        <f t="shared" si="184"/>
        <v>46082</v>
      </c>
    </row>
    <row r="2349" spans="1:16" ht="15.5" x14ac:dyDescent="0.35">
      <c r="A2349" s="17" t="s">
        <v>2397</v>
      </c>
      <c r="B2349" s="35">
        <v>46177</v>
      </c>
      <c r="C2349" s="17" t="s">
        <v>25</v>
      </c>
      <c r="D2349" s="17" t="s">
        <v>32</v>
      </c>
      <c r="E2349" s="17" t="s">
        <v>33</v>
      </c>
      <c r="F2349" s="17" t="s">
        <v>15</v>
      </c>
      <c r="G2349" s="17" t="s">
        <v>38</v>
      </c>
      <c r="H2349" s="17" t="s">
        <v>2593</v>
      </c>
      <c r="I2349" s="17" t="s">
        <v>23</v>
      </c>
      <c r="J2349" s="36">
        <v>10000</v>
      </c>
      <c r="K2349" s="36">
        <v>14686.67</v>
      </c>
      <c r="L2349" s="36">
        <f t="shared" si="180"/>
        <v>4686.67</v>
      </c>
      <c r="M2349" s="37">
        <f t="shared" si="181"/>
        <v>0.468667</v>
      </c>
      <c r="N2349" s="17" t="str">
        <f t="shared" si="182"/>
        <v>Over Budget</v>
      </c>
      <c r="O2349" s="38">
        <f t="shared" si="183"/>
        <v>14686.67</v>
      </c>
      <c r="P2349" s="39">
        <f t="shared" si="184"/>
        <v>46174</v>
      </c>
    </row>
    <row r="2350" spans="1:16" ht="15.5" x14ac:dyDescent="0.35">
      <c r="A2350" s="17" t="s">
        <v>2398</v>
      </c>
      <c r="B2350" s="35">
        <v>46118</v>
      </c>
      <c r="C2350" s="17" t="s">
        <v>25</v>
      </c>
      <c r="D2350" s="17" t="s">
        <v>32</v>
      </c>
      <c r="E2350" s="17" t="s">
        <v>109</v>
      </c>
      <c r="F2350" s="17" t="s">
        <v>21</v>
      </c>
      <c r="G2350" s="17" t="s">
        <v>22</v>
      </c>
      <c r="H2350" s="17" t="s">
        <v>2589</v>
      </c>
      <c r="I2350" s="17" t="s">
        <v>30</v>
      </c>
      <c r="J2350" s="36">
        <v>7142.86</v>
      </c>
      <c r="K2350" s="36">
        <v>17665.169999999998</v>
      </c>
      <c r="L2350" s="36">
        <f t="shared" si="180"/>
        <v>10522.309999999998</v>
      </c>
      <c r="M2350" s="37">
        <f t="shared" si="181"/>
        <v>1.4731228107508754</v>
      </c>
      <c r="N2350" s="17" t="str">
        <f t="shared" si="182"/>
        <v>Over Budget</v>
      </c>
      <c r="O2350" s="38">
        <f t="shared" si="183"/>
        <v>17665.169999999998</v>
      </c>
      <c r="P2350" s="39">
        <f t="shared" si="184"/>
        <v>46113</v>
      </c>
    </row>
    <row r="2351" spans="1:16" ht="15.5" x14ac:dyDescent="0.35">
      <c r="A2351" s="17" t="s">
        <v>2399</v>
      </c>
      <c r="B2351" s="35">
        <v>46045</v>
      </c>
      <c r="C2351" s="17" t="s">
        <v>12</v>
      </c>
      <c r="D2351" s="17" t="s">
        <v>19</v>
      </c>
      <c r="E2351" s="17" t="s">
        <v>65</v>
      </c>
      <c r="F2351" s="17" t="s">
        <v>28</v>
      </c>
      <c r="G2351" s="17" t="s">
        <v>29</v>
      </c>
      <c r="H2351" s="17" t="s">
        <v>2592</v>
      </c>
      <c r="I2351" s="17" t="s">
        <v>48</v>
      </c>
      <c r="J2351" s="36">
        <v>7621.43</v>
      </c>
      <c r="K2351" s="36">
        <v>1868.15</v>
      </c>
      <c r="L2351" s="36">
        <f t="shared" si="180"/>
        <v>-5753.2800000000007</v>
      </c>
      <c r="M2351" s="37">
        <f t="shared" si="181"/>
        <v>-0.75488195784780554</v>
      </c>
      <c r="N2351" s="17" t="str">
        <f t="shared" si="182"/>
        <v>Under Budget</v>
      </c>
      <c r="O2351" s="38">
        <f t="shared" si="183"/>
        <v>-1868.15</v>
      </c>
      <c r="P2351" s="39">
        <f t="shared" si="184"/>
        <v>46023</v>
      </c>
    </row>
    <row r="2352" spans="1:16" ht="15.5" x14ac:dyDescent="0.35">
      <c r="A2352" s="17" t="s">
        <v>2400</v>
      </c>
      <c r="B2352" s="35">
        <v>45672</v>
      </c>
      <c r="C2352" s="17" t="s">
        <v>25</v>
      </c>
      <c r="D2352" s="17" t="s">
        <v>32</v>
      </c>
      <c r="E2352" s="17" t="s">
        <v>33</v>
      </c>
      <c r="F2352" s="17" t="s">
        <v>34</v>
      </c>
      <c r="G2352" s="17" t="s">
        <v>16</v>
      </c>
      <c r="H2352" s="17" t="s">
        <v>2598</v>
      </c>
      <c r="I2352" s="17" t="s">
        <v>23</v>
      </c>
      <c r="J2352" s="36">
        <v>11022.73</v>
      </c>
      <c r="K2352" s="36">
        <v>10762.31</v>
      </c>
      <c r="L2352" s="36">
        <f t="shared" si="180"/>
        <v>-260.42000000000007</v>
      </c>
      <c r="M2352" s="37">
        <f t="shared" si="181"/>
        <v>-2.3625726113222414E-2</v>
      </c>
      <c r="N2352" s="17" t="str">
        <f t="shared" si="182"/>
        <v>Under Budget</v>
      </c>
      <c r="O2352" s="38">
        <f t="shared" si="183"/>
        <v>10762.31</v>
      </c>
      <c r="P2352" s="39">
        <f t="shared" si="184"/>
        <v>45658</v>
      </c>
    </row>
    <row r="2353" spans="1:16" ht="15.5" x14ac:dyDescent="0.35">
      <c r="A2353" s="17" t="s">
        <v>2401</v>
      </c>
      <c r="B2353" s="35">
        <v>46080</v>
      </c>
      <c r="C2353" s="17" t="s">
        <v>12</v>
      </c>
      <c r="D2353" s="17" t="s">
        <v>19</v>
      </c>
      <c r="E2353" s="17" t="s">
        <v>41</v>
      </c>
      <c r="F2353" s="17" t="s">
        <v>52</v>
      </c>
      <c r="G2353" s="17" t="s">
        <v>22</v>
      </c>
      <c r="H2353" s="17" t="s">
        <v>2596</v>
      </c>
      <c r="I2353" s="17" t="s">
        <v>30</v>
      </c>
      <c r="J2353" s="36">
        <v>6305</v>
      </c>
      <c r="K2353" s="36">
        <v>11080.43</v>
      </c>
      <c r="L2353" s="36">
        <f t="shared" si="180"/>
        <v>4775.43</v>
      </c>
      <c r="M2353" s="37">
        <f t="shared" si="181"/>
        <v>0.75740364789849335</v>
      </c>
      <c r="N2353" s="17" t="str">
        <f t="shared" si="182"/>
        <v>Over Budget</v>
      </c>
      <c r="O2353" s="38">
        <f t="shared" si="183"/>
        <v>-11080.43</v>
      </c>
      <c r="P2353" s="39">
        <f t="shared" si="184"/>
        <v>46054</v>
      </c>
    </row>
    <row r="2354" spans="1:16" ht="15.5" x14ac:dyDescent="0.35">
      <c r="A2354" s="17" t="s">
        <v>2402</v>
      </c>
      <c r="B2354" s="35">
        <v>46133</v>
      </c>
      <c r="C2354" s="17" t="s">
        <v>25</v>
      </c>
      <c r="D2354" s="17" t="s">
        <v>2585</v>
      </c>
      <c r="E2354" s="17" t="s">
        <v>109</v>
      </c>
      <c r="F2354" s="17" t="s">
        <v>34</v>
      </c>
      <c r="G2354" s="17" t="s">
        <v>82</v>
      </c>
      <c r="H2354" s="17" t="s">
        <v>2591</v>
      </c>
      <c r="I2354" s="17" t="s">
        <v>48</v>
      </c>
      <c r="J2354" s="36">
        <v>7142.86</v>
      </c>
      <c r="K2354" s="36">
        <v>5310.08</v>
      </c>
      <c r="L2354" s="36">
        <f t="shared" si="180"/>
        <v>-1832.7799999999997</v>
      </c>
      <c r="M2354" s="37">
        <f t="shared" si="181"/>
        <v>-0.25658909736436103</v>
      </c>
      <c r="N2354" s="17" t="str">
        <f t="shared" si="182"/>
        <v>Under Budget</v>
      </c>
      <c r="O2354" s="38">
        <f t="shared" si="183"/>
        <v>5310.08</v>
      </c>
      <c r="P2354" s="39">
        <f t="shared" si="184"/>
        <v>46113</v>
      </c>
    </row>
    <row r="2355" spans="1:16" ht="15.5" x14ac:dyDescent="0.35">
      <c r="A2355" s="17" t="s">
        <v>2403</v>
      </c>
      <c r="B2355" s="35">
        <v>46167</v>
      </c>
      <c r="C2355" s="17" t="s">
        <v>12</v>
      </c>
      <c r="D2355" s="17" t="s">
        <v>2584</v>
      </c>
      <c r="E2355" s="17" t="s">
        <v>47</v>
      </c>
      <c r="F2355" s="17" t="s">
        <v>28</v>
      </c>
      <c r="G2355" s="17" t="s">
        <v>82</v>
      </c>
      <c r="H2355" s="17" t="s">
        <v>2593</v>
      </c>
      <c r="I2355" s="17" t="s">
        <v>30</v>
      </c>
      <c r="J2355" s="36">
        <v>2692.31</v>
      </c>
      <c r="K2355" s="36">
        <v>3430.12</v>
      </c>
      <c r="L2355" s="36">
        <f t="shared" si="180"/>
        <v>737.81</v>
      </c>
      <c r="M2355" s="37">
        <f t="shared" si="181"/>
        <v>0.27404347939130336</v>
      </c>
      <c r="N2355" s="17" t="str">
        <f t="shared" si="182"/>
        <v>Over Budget</v>
      </c>
      <c r="O2355" s="38">
        <f t="shared" si="183"/>
        <v>-3430.12</v>
      </c>
      <c r="P2355" s="39">
        <f t="shared" si="184"/>
        <v>46143</v>
      </c>
    </row>
    <row r="2356" spans="1:16" ht="15.5" x14ac:dyDescent="0.35">
      <c r="A2356" s="17" t="s">
        <v>2404</v>
      </c>
      <c r="B2356" s="35">
        <v>45965</v>
      </c>
      <c r="C2356" s="17" t="s">
        <v>12</v>
      </c>
      <c r="D2356" s="17" t="s">
        <v>13</v>
      </c>
      <c r="E2356" s="17" t="s">
        <v>45</v>
      </c>
      <c r="F2356" s="17" t="s">
        <v>34</v>
      </c>
      <c r="G2356" s="17" t="s">
        <v>38</v>
      </c>
      <c r="H2356" s="17" t="s">
        <v>2596</v>
      </c>
      <c r="I2356" s="17" t="s">
        <v>48</v>
      </c>
      <c r="J2356" s="36">
        <v>9947.3700000000008</v>
      </c>
      <c r="K2356" s="36">
        <v>1985.45</v>
      </c>
      <c r="L2356" s="36">
        <f t="shared" si="180"/>
        <v>-7961.920000000001</v>
      </c>
      <c r="M2356" s="37">
        <f t="shared" si="181"/>
        <v>-0.8004045290363182</v>
      </c>
      <c r="N2356" s="17" t="str">
        <f t="shared" si="182"/>
        <v>Under Budget</v>
      </c>
      <c r="O2356" s="38">
        <f t="shared" si="183"/>
        <v>-1985.45</v>
      </c>
      <c r="P2356" s="39">
        <f t="shared" si="184"/>
        <v>45962</v>
      </c>
    </row>
    <row r="2357" spans="1:16" ht="15.5" x14ac:dyDescent="0.35">
      <c r="A2357" s="17" t="s">
        <v>2405</v>
      </c>
      <c r="B2357" s="35">
        <v>45663</v>
      </c>
      <c r="C2357" s="17" t="s">
        <v>12</v>
      </c>
      <c r="D2357" s="17" t="s">
        <v>36</v>
      </c>
      <c r="E2357" s="17" t="s">
        <v>20</v>
      </c>
      <c r="F2357" s="17" t="s">
        <v>28</v>
      </c>
      <c r="G2357" s="17" t="s">
        <v>82</v>
      </c>
      <c r="H2357" s="17" t="s">
        <v>2591</v>
      </c>
      <c r="I2357" s="17" t="s">
        <v>30</v>
      </c>
      <c r="J2357" s="36">
        <v>1746</v>
      </c>
      <c r="K2357" s="36">
        <v>578.24</v>
      </c>
      <c r="L2357" s="36">
        <f t="shared" si="180"/>
        <v>-1167.76</v>
      </c>
      <c r="M2357" s="37">
        <f t="shared" si="181"/>
        <v>-0.66882016036655212</v>
      </c>
      <c r="N2357" s="17" t="str">
        <f t="shared" si="182"/>
        <v>Under Budget</v>
      </c>
      <c r="O2357" s="38">
        <f t="shared" si="183"/>
        <v>-578.24</v>
      </c>
      <c r="P2357" s="39">
        <f t="shared" si="184"/>
        <v>45658</v>
      </c>
    </row>
    <row r="2358" spans="1:16" ht="15.5" x14ac:dyDescent="0.35">
      <c r="A2358" s="17" t="s">
        <v>2406</v>
      </c>
      <c r="B2358" s="35">
        <v>45788</v>
      </c>
      <c r="C2358" s="17" t="s">
        <v>25</v>
      </c>
      <c r="D2358" s="17" t="s">
        <v>32</v>
      </c>
      <c r="E2358" s="17" t="s">
        <v>33</v>
      </c>
      <c r="F2358" s="17" t="s">
        <v>34</v>
      </c>
      <c r="G2358" s="17" t="s">
        <v>16</v>
      </c>
      <c r="H2358" s="17" t="s">
        <v>60</v>
      </c>
      <c r="I2358" s="17" t="s">
        <v>48</v>
      </c>
      <c r="J2358" s="36">
        <v>9615.3799999999992</v>
      </c>
      <c r="K2358" s="36">
        <v>16186.9</v>
      </c>
      <c r="L2358" s="36">
        <f t="shared" si="180"/>
        <v>6571.52</v>
      </c>
      <c r="M2358" s="37">
        <f t="shared" si="181"/>
        <v>0.68343840805043599</v>
      </c>
      <c r="N2358" s="17" t="str">
        <f t="shared" si="182"/>
        <v>Over Budget</v>
      </c>
      <c r="O2358" s="38">
        <f t="shared" si="183"/>
        <v>16186.9</v>
      </c>
      <c r="P2358" s="39">
        <f t="shared" si="184"/>
        <v>45778</v>
      </c>
    </row>
    <row r="2359" spans="1:16" ht="15.5" x14ac:dyDescent="0.35">
      <c r="A2359" s="17" t="s">
        <v>2407</v>
      </c>
      <c r="B2359" s="35">
        <v>46002</v>
      </c>
      <c r="C2359" s="17" t="s">
        <v>12</v>
      </c>
      <c r="D2359" s="17" t="s">
        <v>19</v>
      </c>
      <c r="E2359" s="17" t="s">
        <v>45</v>
      </c>
      <c r="F2359" s="17" t="s">
        <v>52</v>
      </c>
      <c r="G2359" s="17" t="s">
        <v>29</v>
      </c>
      <c r="H2359" s="17" t="s">
        <v>2588</v>
      </c>
      <c r="I2359" s="17" t="s">
        <v>30</v>
      </c>
      <c r="J2359" s="36">
        <v>7875</v>
      </c>
      <c r="K2359" s="36">
        <v>13043.27</v>
      </c>
      <c r="L2359" s="36">
        <f t="shared" si="180"/>
        <v>5168.2700000000004</v>
      </c>
      <c r="M2359" s="37">
        <f t="shared" si="181"/>
        <v>0.65628825396825408</v>
      </c>
      <c r="N2359" s="17" t="str">
        <f t="shared" si="182"/>
        <v>Over Budget</v>
      </c>
      <c r="O2359" s="38">
        <f t="shared" si="183"/>
        <v>-13043.27</v>
      </c>
      <c r="P2359" s="39">
        <f t="shared" si="184"/>
        <v>45992</v>
      </c>
    </row>
    <row r="2360" spans="1:16" ht="15.5" x14ac:dyDescent="0.35">
      <c r="A2360" s="17" t="s">
        <v>2408</v>
      </c>
      <c r="B2360" s="35">
        <v>45806</v>
      </c>
      <c r="C2360" s="17" t="s">
        <v>25</v>
      </c>
      <c r="D2360" s="17" t="s">
        <v>26</v>
      </c>
      <c r="E2360" s="17" t="s">
        <v>33</v>
      </c>
      <c r="F2360" s="17" t="s">
        <v>52</v>
      </c>
      <c r="G2360" s="17" t="s">
        <v>38</v>
      </c>
      <c r="H2360" s="17" t="s">
        <v>2586</v>
      </c>
      <c r="I2360" s="17" t="s">
        <v>23</v>
      </c>
      <c r="J2360" s="36">
        <v>9615.3799999999992</v>
      </c>
      <c r="K2360" s="36">
        <v>3038.84</v>
      </c>
      <c r="L2360" s="36">
        <f t="shared" si="180"/>
        <v>-6576.5399999999991</v>
      </c>
      <c r="M2360" s="37">
        <f t="shared" si="181"/>
        <v>-0.6839604883010344</v>
      </c>
      <c r="N2360" s="17" t="str">
        <f t="shared" si="182"/>
        <v>Under Budget</v>
      </c>
      <c r="O2360" s="38">
        <f t="shared" si="183"/>
        <v>3038.84</v>
      </c>
      <c r="P2360" s="39">
        <f t="shared" si="184"/>
        <v>45778</v>
      </c>
    </row>
    <row r="2361" spans="1:16" ht="15.5" x14ac:dyDescent="0.35">
      <c r="A2361" s="17" t="s">
        <v>2409</v>
      </c>
      <c r="B2361" s="35">
        <v>46041</v>
      </c>
      <c r="C2361" s="17" t="s">
        <v>12</v>
      </c>
      <c r="D2361" s="17" t="s">
        <v>2585</v>
      </c>
      <c r="E2361" s="17" t="s">
        <v>45</v>
      </c>
      <c r="F2361" s="17" t="s">
        <v>52</v>
      </c>
      <c r="G2361" s="17" t="s">
        <v>22</v>
      </c>
      <c r="H2361" s="17" t="s">
        <v>2591</v>
      </c>
      <c r="I2361" s="17" t="s">
        <v>48</v>
      </c>
      <c r="J2361" s="36">
        <v>6715.38</v>
      </c>
      <c r="K2361" s="36">
        <v>1730.31</v>
      </c>
      <c r="L2361" s="36">
        <f t="shared" si="180"/>
        <v>-4985.07</v>
      </c>
      <c r="M2361" s="37">
        <f t="shared" si="181"/>
        <v>-0.74233624902834983</v>
      </c>
      <c r="N2361" s="17" t="str">
        <f t="shared" si="182"/>
        <v>Under Budget</v>
      </c>
      <c r="O2361" s="38">
        <f t="shared" si="183"/>
        <v>-1730.31</v>
      </c>
      <c r="P2361" s="39">
        <f t="shared" si="184"/>
        <v>46023</v>
      </c>
    </row>
    <row r="2362" spans="1:16" ht="15.5" x14ac:dyDescent="0.35">
      <c r="A2362" s="17" t="s">
        <v>2410</v>
      </c>
      <c r="B2362" s="35">
        <v>45707</v>
      </c>
      <c r="C2362" s="17" t="s">
        <v>12</v>
      </c>
      <c r="D2362" s="17" t="s">
        <v>2585</v>
      </c>
      <c r="E2362" s="17" t="s">
        <v>20</v>
      </c>
      <c r="F2362" s="17" t="s">
        <v>21</v>
      </c>
      <c r="G2362" s="17" t="s">
        <v>22</v>
      </c>
      <c r="H2362" s="17" t="s">
        <v>2594</v>
      </c>
      <c r="I2362" s="17" t="s">
        <v>23</v>
      </c>
      <c r="J2362" s="36">
        <v>1940</v>
      </c>
      <c r="K2362" s="36">
        <v>662.12</v>
      </c>
      <c r="L2362" s="36">
        <f t="shared" si="180"/>
        <v>-1277.8800000000001</v>
      </c>
      <c r="M2362" s="37">
        <f t="shared" si="181"/>
        <v>-0.65870103092783516</v>
      </c>
      <c r="N2362" s="17" t="str">
        <f t="shared" si="182"/>
        <v>Under Budget</v>
      </c>
      <c r="O2362" s="38">
        <f t="shared" si="183"/>
        <v>-662.12</v>
      </c>
      <c r="P2362" s="39">
        <f t="shared" si="184"/>
        <v>45689</v>
      </c>
    </row>
    <row r="2363" spans="1:16" ht="15.5" x14ac:dyDescent="0.35">
      <c r="A2363" s="17" t="s">
        <v>2411</v>
      </c>
      <c r="B2363" s="35">
        <v>45795</v>
      </c>
      <c r="C2363" s="17" t="s">
        <v>12</v>
      </c>
      <c r="D2363" s="17" t="s">
        <v>2585</v>
      </c>
      <c r="E2363" s="17" t="s">
        <v>45</v>
      </c>
      <c r="F2363" s="17" t="s">
        <v>52</v>
      </c>
      <c r="G2363" s="17" t="s">
        <v>82</v>
      </c>
      <c r="H2363" s="17" t="s">
        <v>2591</v>
      </c>
      <c r="I2363" s="17" t="s">
        <v>48</v>
      </c>
      <c r="J2363" s="36">
        <v>7200</v>
      </c>
      <c r="K2363" s="36">
        <v>14395.39</v>
      </c>
      <c r="L2363" s="36">
        <f t="shared" si="180"/>
        <v>7195.3899999999994</v>
      </c>
      <c r="M2363" s="37">
        <f t="shared" si="181"/>
        <v>0.99935972222222214</v>
      </c>
      <c r="N2363" s="17" t="str">
        <f t="shared" si="182"/>
        <v>Over Budget</v>
      </c>
      <c r="O2363" s="38">
        <f t="shared" si="183"/>
        <v>-14395.39</v>
      </c>
      <c r="P2363" s="39">
        <f t="shared" si="184"/>
        <v>45778</v>
      </c>
    </row>
    <row r="2364" spans="1:16" ht="15.5" x14ac:dyDescent="0.35">
      <c r="A2364" s="17" t="s">
        <v>2412</v>
      </c>
      <c r="B2364" s="35">
        <v>45824</v>
      </c>
      <c r="C2364" s="17" t="s">
        <v>12</v>
      </c>
      <c r="D2364" s="17" t="s">
        <v>2585</v>
      </c>
      <c r="E2364" s="17" t="s">
        <v>74</v>
      </c>
      <c r="F2364" s="17" t="s">
        <v>52</v>
      </c>
      <c r="G2364" s="17" t="s">
        <v>38</v>
      </c>
      <c r="H2364" s="17" t="s">
        <v>2586</v>
      </c>
      <c r="I2364" s="17" t="s">
        <v>30</v>
      </c>
      <c r="J2364" s="36">
        <v>6666.67</v>
      </c>
      <c r="K2364" s="36">
        <v>4270</v>
      </c>
      <c r="L2364" s="36">
        <f t="shared" si="180"/>
        <v>-2396.67</v>
      </c>
      <c r="M2364" s="37">
        <f t="shared" si="181"/>
        <v>-0.35950032024983986</v>
      </c>
      <c r="N2364" s="17" t="str">
        <f t="shared" si="182"/>
        <v>Under Budget</v>
      </c>
      <c r="O2364" s="38">
        <f t="shared" si="183"/>
        <v>-4270</v>
      </c>
      <c r="P2364" s="39">
        <f t="shared" si="184"/>
        <v>45809</v>
      </c>
    </row>
    <row r="2365" spans="1:16" ht="15.5" x14ac:dyDescent="0.35">
      <c r="A2365" s="17" t="s">
        <v>2413</v>
      </c>
      <c r="B2365" s="35">
        <v>45667</v>
      </c>
      <c r="C2365" s="17" t="s">
        <v>12</v>
      </c>
      <c r="D2365" s="17" t="s">
        <v>26</v>
      </c>
      <c r="E2365" s="17" t="s">
        <v>45</v>
      </c>
      <c r="F2365" s="17" t="s">
        <v>34</v>
      </c>
      <c r="G2365" s="17" t="s">
        <v>38</v>
      </c>
      <c r="H2365" s="17" t="s">
        <v>2594</v>
      </c>
      <c r="I2365" s="17" t="s">
        <v>48</v>
      </c>
      <c r="J2365" s="36">
        <v>7591.3</v>
      </c>
      <c r="K2365" s="36">
        <v>3725.62</v>
      </c>
      <c r="L2365" s="36">
        <f t="shared" si="180"/>
        <v>-3865.6800000000003</v>
      </c>
      <c r="M2365" s="37">
        <f t="shared" si="181"/>
        <v>-0.50922503392040896</v>
      </c>
      <c r="N2365" s="17" t="str">
        <f t="shared" si="182"/>
        <v>Under Budget</v>
      </c>
      <c r="O2365" s="38">
        <f t="shared" si="183"/>
        <v>-3725.62</v>
      </c>
      <c r="P2365" s="39">
        <f t="shared" si="184"/>
        <v>45658</v>
      </c>
    </row>
    <row r="2366" spans="1:16" ht="15.5" x14ac:dyDescent="0.35">
      <c r="A2366" s="17" t="s">
        <v>2414</v>
      </c>
      <c r="B2366" s="35">
        <v>46011</v>
      </c>
      <c r="C2366" s="17" t="s">
        <v>12</v>
      </c>
      <c r="D2366" s="17" t="s">
        <v>36</v>
      </c>
      <c r="E2366" s="17" t="s">
        <v>51</v>
      </c>
      <c r="F2366" s="17" t="s">
        <v>34</v>
      </c>
      <c r="G2366" s="17" t="s">
        <v>38</v>
      </c>
      <c r="H2366" s="17" t="s">
        <v>60</v>
      </c>
      <c r="I2366" s="17" t="s">
        <v>48</v>
      </c>
      <c r="J2366" s="36">
        <v>4500</v>
      </c>
      <c r="K2366" s="36">
        <v>3234.19</v>
      </c>
      <c r="L2366" s="36">
        <f t="shared" si="180"/>
        <v>-1265.81</v>
      </c>
      <c r="M2366" s="37">
        <f t="shared" si="181"/>
        <v>-0.2812911111111111</v>
      </c>
      <c r="N2366" s="17" t="str">
        <f t="shared" si="182"/>
        <v>Under Budget</v>
      </c>
      <c r="O2366" s="38">
        <f t="shared" si="183"/>
        <v>-3234.19</v>
      </c>
      <c r="P2366" s="39">
        <f t="shared" si="184"/>
        <v>45992</v>
      </c>
    </row>
    <row r="2367" spans="1:16" ht="15.5" x14ac:dyDescent="0.35">
      <c r="A2367" s="17" t="s">
        <v>2415</v>
      </c>
      <c r="B2367" s="35">
        <v>45718</v>
      </c>
      <c r="C2367" s="17" t="s">
        <v>25</v>
      </c>
      <c r="D2367" s="17" t="s">
        <v>32</v>
      </c>
      <c r="E2367" s="17" t="s">
        <v>27</v>
      </c>
      <c r="F2367" s="17" t="s">
        <v>52</v>
      </c>
      <c r="G2367" s="17" t="s">
        <v>29</v>
      </c>
      <c r="H2367" s="17" t="s">
        <v>80</v>
      </c>
      <c r="I2367" s="17" t="s">
        <v>39</v>
      </c>
      <c r="J2367" s="36">
        <v>11428.57</v>
      </c>
      <c r="K2367" s="36">
        <v>1593.95</v>
      </c>
      <c r="L2367" s="36">
        <f t="shared" si="180"/>
        <v>-9834.619999999999</v>
      </c>
      <c r="M2367" s="37">
        <f t="shared" si="181"/>
        <v>-0.86052935756616966</v>
      </c>
      <c r="N2367" s="17" t="str">
        <f t="shared" si="182"/>
        <v>Under Budget</v>
      </c>
      <c r="O2367" s="38">
        <f t="shared" si="183"/>
        <v>1593.95</v>
      </c>
      <c r="P2367" s="39">
        <f t="shared" si="184"/>
        <v>45717</v>
      </c>
    </row>
    <row r="2368" spans="1:16" ht="15.5" x14ac:dyDescent="0.35">
      <c r="A2368" s="17" t="s">
        <v>2416</v>
      </c>
      <c r="B2368" s="35">
        <v>45793</v>
      </c>
      <c r="C2368" s="17" t="s">
        <v>12</v>
      </c>
      <c r="D2368" s="17" t="s">
        <v>2585</v>
      </c>
      <c r="E2368" s="17" t="s">
        <v>14</v>
      </c>
      <c r="F2368" s="17" t="s">
        <v>21</v>
      </c>
      <c r="G2368" s="17" t="s">
        <v>16</v>
      </c>
      <c r="H2368" s="17" t="s">
        <v>2586</v>
      </c>
      <c r="I2368" s="17" t="s">
        <v>39</v>
      </c>
      <c r="J2368" s="36">
        <v>2909.09</v>
      </c>
      <c r="K2368" s="36">
        <v>4258.87</v>
      </c>
      <c r="L2368" s="36">
        <f t="shared" si="180"/>
        <v>1349.7799999999997</v>
      </c>
      <c r="M2368" s="37">
        <f t="shared" si="181"/>
        <v>0.46398701999594366</v>
      </c>
      <c r="N2368" s="17" t="str">
        <f t="shared" si="182"/>
        <v>Over Budget</v>
      </c>
      <c r="O2368" s="38">
        <f t="shared" si="183"/>
        <v>-4258.87</v>
      </c>
      <c r="P2368" s="39">
        <f t="shared" si="184"/>
        <v>45778</v>
      </c>
    </row>
    <row r="2369" spans="1:16" ht="15.5" x14ac:dyDescent="0.35">
      <c r="A2369" s="17" t="s">
        <v>2417</v>
      </c>
      <c r="B2369" s="35">
        <v>46184</v>
      </c>
      <c r="C2369" s="17" t="s">
        <v>12</v>
      </c>
      <c r="D2369" s="17" t="s">
        <v>19</v>
      </c>
      <c r="E2369" s="17" t="s">
        <v>65</v>
      </c>
      <c r="F2369" s="17" t="s">
        <v>52</v>
      </c>
      <c r="G2369" s="17" t="s">
        <v>38</v>
      </c>
      <c r="H2369" s="17" t="s">
        <v>2587</v>
      </c>
      <c r="I2369" s="17" t="s">
        <v>39</v>
      </c>
      <c r="J2369" s="36">
        <v>3666.67</v>
      </c>
      <c r="K2369" s="36">
        <v>3653.92</v>
      </c>
      <c r="L2369" s="36">
        <f t="shared" si="180"/>
        <v>-12.75</v>
      </c>
      <c r="M2369" s="37">
        <f t="shared" si="181"/>
        <v>-3.4772695661185763E-3</v>
      </c>
      <c r="N2369" s="17" t="str">
        <f t="shared" si="182"/>
        <v>Under Budget</v>
      </c>
      <c r="O2369" s="38">
        <f t="shared" si="183"/>
        <v>-3653.92</v>
      </c>
      <c r="P2369" s="39">
        <f t="shared" si="184"/>
        <v>46174</v>
      </c>
    </row>
    <row r="2370" spans="1:16" ht="15.5" x14ac:dyDescent="0.35">
      <c r="A2370" s="17" t="s">
        <v>2418</v>
      </c>
      <c r="B2370" s="35">
        <v>45779</v>
      </c>
      <c r="C2370" s="17" t="s">
        <v>12</v>
      </c>
      <c r="D2370" s="17" t="s">
        <v>26</v>
      </c>
      <c r="E2370" s="17" t="s">
        <v>41</v>
      </c>
      <c r="F2370" s="17" t="s">
        <v>21</v>
      </c>
      <c r="G2370" s="17" t="s">
        <v>82</v>
      </c>
      <c r="H2370" s="17" t="s">
        <v>2594</v>
      </c>
      <c r="I2370" s="17" t="s">
        <v>48</v>
      </c>
      <c r="J2370" s="36">
        <v>4642.8599999999997</v>
      </c>
      <c r="K2370" s="36">
        <v>7619.11</v>
      </c>
      <c r="L2370" s="36">
        <f t="shared" si="180"/>
        <v>2976.25</v>
      </c>
      <c r="M2370" s="37">
        <f t="shared" si="181"/>
        <v>0.6410380670534972</v>
      </c>
      <c r="N2370" s="17" t="str">
        <f t="shared" si="182"/>
        <v>Over Budget</v>
      </c>
      <c r="O2370" s="38">
        <f t="shared" si="183"/>
        <v>-7619.11</v>
      </c>
      <c r="P2370" s="39">
        <f t="shared" si="184"/>
        <v>45778</v>
      </c>
    </row>
    <row r="2371" spans="1:16" ht="15.5" x14ac:dyDescent="0.35">
      <c r="A2371" s="17" t="s">
        <v>2419</v>
      </c>
      <c r="B2371" s="35">
        <v>45852</v>
      </c>
      <c r="C2371" s="17" t="s">
        <v>25</v>
      </c>
      <c r="D2371" s="17" t="s">
        <v>2585</v>
      </c>
      <c r="E2371" s="17" t="s">
        <v>109</v>
      </c>
      <c r="F2371" s="17" t="s">
        <v>52</v>
      </c>
      <c r="G2371" s="17" t="s">
        <v>43</v>
      </c>
      <c r="H2371" s="17" t="s">
        <v>80</v>
      </c>
      <c r="I2371" s="17" t="s">
        <v>48</v>
      </c>
      <c r="J2371" s="36">
        <v>7142.86</v>
      </c>
      <c r="K2371" s="36">
        <v>7939.97</v>
      </c>
      <c r="L2371" s="36">
        <f t="shared" ref="L2371:L2434" si="185">K2371-J2371</f>
        <v>797.11000000000058</v>
      </c>
      <c r="M2371" s="37">
        <f t="shared" ref="M2371:M2434" si="186">IF(J2371=0,0,L2371/J2371)</f>
        <v>0.11159535536185794</v>
      </c>
      <c r="N2371" s="17" t="str">
        <f t="shared" ref="N2371:N2434" si="187">IF(J2371=0,"No Budget",IF(K2371&gt;J2371,"Over Budget",IF(K2371&lt;J2371,"Under Budget","On Budget")))</f>
        <v>Over Budget</v>
      </c>
      <c r="O2371" s="38">
        <f t="shared" ref="O2371:O2434" si="188">IF(C2371="Revenue",K2371,-K2371)</f>
        <v>7939.97</v>
      </c>
      <c r="P2371" s="39">
        <f t="shared" ref="P2371:P2434" si="189">DATE(YEAR(B2371),MONTH(B2371),1)</f>
        <v>45839</v>
      </c>
    </row>
    <row r="2372" spans="1:16" ht="15.5" x14ac:dyDescent="0.35">
      <c r="A2372" s="17" t="s">
        <v>2420</v>
      </c>
      <c r="B2372" s="35">
        <v>45938</v>
      </c>
      <c r="C2372" s="17" t="s">
        <v>25</v>
      </c>
      <c r="D2372" s="17" t="s">
        <v>32</v>
      </c>
      <c r="E2372" s="17" t="s">
        <v>27</v>
      </c>
      <c r="F2372" s="17" t="s">
        <v>15</v>
      </c>
      <c r="G2372" s="17" t="s">
        <v>16</v>
      </c>
      <c r="H2372" s="17" t="s">
        <v>2593</v>
      </c>
      <c r="I2372" s="17" t="s">
        <v>39</v>
      </c>
      <c r="J2372" s="36">
        <v>4705.88</v>
      </c>
      <c r="K2372" s="36">
        <v>3924.38</v>
      </c>
      <c r="L2372" s="36">
        <f t="shared" si="185"/>
        <v>-781.5</v>
      </c>
      <c r="M2372" s="37">
        <f t="shared" si="186"/>
        <v>-0.16606883303441652</v>
      </c>
      <c r="N2372" s="17" t="str">
        <f t="shared" si="187"/>
        <v>Under Budget</v>
      </c>
      <c r="O2372" s="38">
        <f t="shared" si="188"/>
        <v>3924.38</v>
      </c>
      <c r="P2372" s="39">
        <f t="shared" si="189"/>
        <v>45931</v>
      </c>
    </row>
    <row r="2373" spans="1:16" ht="15.5" x14ac:dyDescent="0.35">
      <c r="A2373" s="17" t="s">
        <v>2421</v>
      </c>
      <c r="B2373" s="35">
        <v>46096</v>
      </c>
      <c r="C2373" s="17" t="s">
        <v>25</v>
      </c>
      <c r="D2373" s="17" t="s">
        <v>32</v>
      </c>
      <c r="E2373" s="17" t="s">
        <v>33</v>
      </c>
      <c r="F2373" s="17" t="s">
        <v>52</v>
      </c>
      <c r="G2373" s="17" t="s">
        <v>43</v>
      </c>
      <c r="H2373" s="17" t="s">
        <v>2595</v>
      </c>
      <c r="I2373" s="17" t="s">
        <v>23</v>
      </c>
      <c r="J2373" s="36">
        <v>11363.64</v>
      </c>
      <c r="K2373" s="36">
        <v>2456.12</v>
      </c>
      <c r="L2373" s="36">
        <f t="shared" si="185"/>
        <v>-8907.52</v>
      </c>
      <c r="M2373" s="37">
        <f t="shared" si="186"/>
        <v>-0.78386150916431718</v>
      </c>
      <c r="N2373" s="17" t="str">
        <f t="shared" si="187"/>
        <v>Under Budget</v>
      </c>
      <c r="O2373" s="38">
        <f t="shared" si="188"/>
        <v>2456.12</v>
      </c>
      <c r="P2373" s="39">
        <f t="shared" si="189"/>
        <v>46082</v>
      </c>
    </row>
    <row r="2374" spans="1:16" ht="15.5" x14ac:dyDescent="0.35">
      <c r="A2374" s="17" t="s">
        <v>2422</v>
      </c>
      <c r="B2374" s="35">
        <v>46035</v>
      </c>
      <c r="C2374" s="17" t="s">
        <v>12</v>
      </c>
      <c r="D2374" s="17" t="s">
        <v>13</v>
      </c>
      <c r="E2374" s="17" t="s">
        <v>45</v>
      </c>
      <c r="F2374" s="17" t="s">
        <v>34</v>
      </c>
      <c r="G2374" s="17" t="s">
        <v>38</v>
      </c>
      <c r="H2374" s="17" t="s">
        <v>2593</v>
      </c>
      <c r="I2374" s="17" t="s">
        <v>23</v>
      </c>
      <c r="J2374" s="36">
        <v>6715.38</v>
      </c>
      <c r="K2374" s="36">
        <v>7972.4</v>
      </c>
      <c r="L2374" s="36">
        <f t="shared" si="185"/>
        <v>1257.0199999999995</v>
      </c>
      <c r="M2374" s="37">
        <f t="shared" si="186"/>
        <v>0.18718523746980803</v>
      </c>
      <c r="N2374" s="17" t="str">
        <f t="shared" si="187"/>
        <v>Over Budget</v>
      </c>
      <c r="O2374" s="38">
        <f t="shared" si="188"/>
        <v>-7972.4</v>
      </c>
      <c r="P2374" s="39">
        <f t="shared" si="189"/>
        <v>46023</v>
      </c>
    </row>
    <row r="2375" spans="1:16" ht="15.5" x14ac:dyDescent="0.35">
      <c r="A2375" s="17" t="s">
        <v>2423</v>
      </c>
      <c r="B2375" s="35">
        <v>45802</v>
      </c>
      <c r="C2375" s="17" t="s">
        <v>12</v>
      </c>
      <c r="D2375" s="17" t="s">
        <v>26</v>
      </c>
      <c r="E2375" s="17" t="s">
        <v>45</v>
      </c>
      <c r="F2375" s="17" t="s">
        <v>52</v>
      </c>
      <c r="G2375" s="17" t="s">
        <v>22</v>
      </c>
      <c r="H2375" s="17" t="s">
        <v>2596</v>
      </c>
      <c r="I2375" s="17" t="s">
        <v>48</v>
      </c>
      <c r="J2375" s="36">
        <v>7200</v>
      </c>
      <c r="K2375" s="36">
        <v>9509.2999999999993</v>
      </c>
      <c r="L2375" s="36">
        <f t="shared" si="185"/>
        <v>2309.2999999999993</v>
      </c>
      <c r="M2375" s="37">
        <f t="shared" si="186"/>
        <v>0.320736111111111</v>
      </c>
      <c r="N2375" s="17" t="str">
        <f t="shared" si="187"/>
        <v>Over Budget</v>
      </c>
      <c r="O2375" s="38">
        <f t="shared" si="188"/>
        <v>-9509.2999999999993</v>
      </c>
      <c r="P2375" s="39">
        <f t="shared" si="189"/>
        <v>45778</v>
      </c>
    </row>
    <row r="2376" spans="1:16" ht="15.5" x14ac:dyDescent="0.35">
      <c r="A2376" s="17" t="s">
        <v>2424</v>
      </c>
      <c r="B2376" s="35">
        <v>45836</v>
      </c>
      <c r="C2376" s="17" t="s">
        <v>12</v>
      </c>
      <c r="D2376" s="17" t="s">
        <v>19</v>
      </c>
      <c r="E2376" s="17" t="s">
        <v>20</v>
      </c>
      <c r="F2376" s="17" t="s">
        <v>28</v>
      </c>
      <c r="G2376" s="17" t="s">
        <v>43</v>
      </c>
      <c r="H2376" s="17" t="s">
        <v>2592</v>
      </c>
      <c r="I2376" s="17" t="s">
        <v>39</v>
      </c>
      <c r="J2376" s="36">
        <v>2000</v>
      </c>
      <c r="K2376" s="36">
        <v>880.68</v>
      </c>
      <c r="L2376" s="36">
        <f t="shared" si="185"/>
        <v>-1119.3200000000002</v>
      </c>
      <c r="M2376" s="37">
        <f t="shared" si="186"/>
        <v>-0.55966000000000005</v>
      </c>
      <c r="N2376" s="17" t="str">
        <f t="shared" si="187"/>
        <v>Under Budget</v>
      </c>
      <c r="O2376" s="38">
        <f t="shared" si="188"/>
        <v>-880.68</v>
      </c>
      <c r="P2376" s="39">
        <f t="shared" si="189"/>
        <v>45809</v>
      </c>
    </row>
    <row r="2377" spans="1:16" ht="15.5" x14ac:dyDescent="0.35">
      <c r="A2377" s="17" t="s">
        <v>2425</v>
      </c>
      <c r="B2377" s="35">
        <v>45658</v>
      </c>
      <c r="C2377" s="17" t="s">
        <v>12</v>
      </c>
      <c r="D2377" s="17" t="s">
        <v>26</v>
      </c>
      <c r="E2377" s="17" t="s">
        <v>74</v>
      </c>
      <c r="F2377" s="17" t="s">
        <v>21</v>
      </c>
      <c r="G2377" s="17" t="s">
        <v>29</v>
      </c>
      <c r="H2377" s="17" t="s">
        <v>2597</v>
      </c>
      <c r="I2377" s="17" t="s">
        <v>39</v>
      </c>
      <c r="J2377" s="36">
        <v>5542.86</v>
      </c>
      <c r="K2377" s="36">
        <v>3417.71</v>
      </c>
      <c r="L2377" s="36">
        <f t="shared" si="185"/>
        <v>-2125.1499999999996</v>
      </c>
      <c r="M2377" s="37">
        <f t="shared" si="186"/>
        <v>-0.38340315288497268</v>
      </c>
      <c r="N2377" s="17" t="str">
        <f t="shared" si="187"/>
        <v>Under Budget</v>
      </c>
      <c r="O2377" s="38">
        <f t="shared" si="188"/>
        <v>-3417.71</v>
      </c>
      <c r="P2377" s="39">
        <f t="shared" si="189"/>
        <v>45658</v>
      </c>
    </row>
    <row r="2378" spans="1:16" ht="15.5" x14ac:dyDescent="0.35">
      <c r="A2378" s="17" t="s">
        <v>2426</v>
      </c>
      <c r="B2378" s="35">
        <v>45959</v>
      </c>
      <c r="C2378" s="17" t="s">
        <v>12</v>
      </c>
      <c r="D2378" s="17" t="s">
        <v>13</v>
      </c>
      <c r="E2378" s="17" t="s">
        <v>45</v>
      </c>
      <c r="F2378" s="17" t="s">
        <v>34</v>
      </c>
      <c r="G2378" s="17" t="s">
        <v>38</v>
      </c>
      <c r="H2378" s="17" t="s">
        <v>2597</v>
      </c>
      <c r="I2378" s="17" t="s">
        <v>48</v>
      </c>
      <c r="J2378" s="36">
        <v>7826.09</v>
      </c>
      <c r="K2378" s="36">
        <v>10903.75</v>
      </c>
      <c r="L2378" s="36">
        <f t="shared" si="185"/>
        <v>3077.66</v>
      </c>
      <c r="M2378" s="37">
        <f t="shared" si="186"/>
        <v>0.39325640262251005</v>
      </c>
      <c r="N2378" s="17" t="str">
        <f t="shared" si="187"/>
        <v>Over Budget</v>
      </c>
      <c r="O2378" s="38">
        <f t="shared" si="188"/>
        <v>-10903.75</v>
      </c>
      <c r="P2378" s="39">
        <f t="shared" si="189"/>
        <v>45931</v>
      </c>
    </row>
    <row r="2379" spans="1:16" ht="15.5" x14ac:dyDescent="0.35">
      <c r="A2379" s="17" t="s">
        <v>2427</v>
      </c>
      <c r="B2379" s="35">
        <v>45972</v>
      </c>
      <c r="C2379" s="17" t="s">
        <v>25</v>
      </c>
      <c r="D2379" s="17" t="s">
        <v>32</v>
      </c>
      <c r="E2379" s="17" t="s">
        <v>33</v>
      </c>
      <c r="F2379" s="17" t="s">
        <v>34</v>
      </c>
      <c r="G2379" s="17" t="s">
        <v>43</v>
      </c>
      <c r="H2379" s="17" t="s">
        <v>2592</v>
      </c>
      <c r="I2379" s="17" t="s">
        <v>48</v>
      </c>
      <c r="J2379" s="36">
        <v>13125</v>
      </c>
      <c r="K2379" s="36">
        <v>21507.21</v>
      </c>
      <c r="L2379" s="36">
        <f t="shared" si="185"/>
        <v>8382.2099999999991</v>
      </c>
      <c r="M2379" s="37">
        <f t="shared" si="186"/>
        <v>0.63864457142857134</v>
      </c>
      <c r="N2379" s="17" t="str">
        <f t="shared" si="187"/>
        <v>Over Budget</v>
      </c>
      <c r="O2379" s="38">
        <f t="shared" si="188"/>
        <v>21507.21</v>
      </c>
      <c r="P2379" s="39">
        <f t="shared" si="189"/>
        <v>45962</v>
      </c>
    </row>
    <row r="2380" spans="1:16" ht="15.5" x14ac:dyDescent="0.35">
      <c r="A2380" s="17" t="s">
        <v>2428</v>
      </c>
      <c r="B2380" s="35">
        <v>45931</v>
      </c>
      <c r="C2380" s="17" t="s">
        <v>12</v>
      </c>
      <c r="D2380" s="17" t="s">
        <v>36</v>
      </c>
      <c r="E2380" s="17" t="s">
        <v>45</v>
      </c>
      <c r="F2380" s="17" t="s">
        <v>21</v>
      </c>
      <c r="G2380" s="17" t="s">
        <v>43</v>
      </c>
      <c r="H2380" s="17" t="s">
        <v>2596</v>
      </c>
      <c r="I2380" s="17" t="s">
        <v>17</v>
      </c>
      <c r="J2380" s="36">
        <v>7826.09</v>
      </c>
      <c r="K2380" s="36">
        <v>1028.17</v>
      </c>
      <c r="L2380" s="36">
        <f t="shared" si="185"/>
        <v>-6797.92</v>
      </c>
      <c r="M2380" s="37">
        <f t="shared" si="186"/>
        <v>-0.8686227733133659</v>
      </c>
      <c r="N2380" s="17" t="str">
        <f t="shared" si="187"/>
        <v>Under Budget</v>
      </c>
      <c r="O2380" s="38">
        <f t="shared" si="188"/>
        <v>-1028.17</v>
      </c>
      <c r="P2380" s="39">
        <f t="shared" si="189"/>
        <v>45931</v>
      </c>
    </row>
    <row r="2381" spans="1:16" ht="15.5" x14ac:dyDescent="0.35">
      <c r="A2381" s="17" t="s">
        <v>2429</v>
      </c>
      <c r="B2381" s="35">
        <v>46203</v>
      </c>
      <c r="C2381" s="17" t="s">
        <v>12</v>
      </c>
      <c r="D2381" s="17" t="s">
        <v>13</v>
      </c>
      <c r="E2381" s="17" t="s">
        <v>74</v>
      </c>
      <c r="F2381" s="17" t="s">
        <v>52</v>
      </c>
      <c r="G2381" s="17" t="s">
        <v>22</v>
      </c>
      <c r="H2381" s="17" t="s">
        <v>2591</v>
      </c>
      <c r="I2381" s="17" t="s">
        <v>17</v>
      </c>
      <c r="J2381" s="36">
        <v>3076.92</v>
      </c>
      <c r="K2381" s="36">
        <v>1625.75</v>
      </c>
      <c r="L2381" s="36">
        <f t="shared" si="185"/>
        <v>-1451.17</v>
      </c>
      <c r="M2381" s="37">
        <f t="shared" si="186"/>
        <v>-0.47163072163072162</v>
      </c>
      <c r="N2381" s="17" t="str">
        <f t="shared" si="187"/>
        <v>Under Budget</v>
      </c>
      <c r="O2381" s="38">
        <f t="shared" si="188"/>
        <v>-1625.75</v>
      </c>
      <c r="P2381" s="39">
        <f t="shared" si="189"/>
        <v>46174</v>
      </c>
    </row>
    <row r="2382" spans="1:16" ht="15.5" x14ac:dyDescent="0.35">
      <c r="A2382" s="17" t="s">
        <v>2430</v>
      </c>
      <c r="B2382" s="35">
        <v>46123</v>
      </c>
      <c r="C2382" s="17" t="s">
        <v>25</v>
      </c>
      <c r="D2382" s="17" t="s">
        <v>32</v>
      </c>
      <c r="E2382" s="17" t="s">
        <v>109</v>
      </c>
      <c r="F2382" s="17" t="s">
        <v>21</v>
      </c>
      <c r="G2382" s="17" t="s">
        <v>22</v>
      </c>
      <c r="H2382" s="17" t="s">
        <v>2588</v>
      </c>
      <c r="I2382" s="17" t="s">
        <v>23</v>
      </c>
      <c r="J2382" s="36">
        <v>7142.86</v>
      </c>
      <c r="K2382" s="36">
        <v>5515.31</v>
      </c>
      <c r="L2382" s="36">
        <f t="shared" si="185"/>
        <v>-1627.5499999999993</v>
      </c>
      <c r="M2382" s="37">
        <f t="shared" si="186"/>
        <v>-0.22785690885723636</v>
      </c>
      <c r="N2382" s="17" t="str">
        <f t="shared" si="187"/>
        <v>Under Budget</v>
      </c>
      <c r="O2382" s="38">
        <f t="shared" si="188"/>
        <v>5515.31</v>
      </c>
      <c r="P2382" s="39">
        <f t="shared" si="189"/>
        <v>46113</v>
      </c>
    </row>
    <row r="2383" spans="1:16" ht="15.5" x14ac:dyDescent="0.35">
      <c r="A2383" s="17" t="s">
        <v>2431</v>
      </c>
      <c r="B2383" s="35">
        <v>45780</v>
      </c>
      <c r="C2383" s="17" t="s">
        <v>12</v>
      </c>
      <c r="D2383" s="17" t="s">
        <v>36</v>
      </c>
      <c r="E2383" s="17" t="s">
        <v>20</v>
      </c>
      <c r="F2383" s="17" t="s">
        <v>34</v>
      </c>
      <c r="G2383" s="17" t="s">
        <v>38</v>
      </c>
      <c r="H2383" s="17" t="s">
        <v>2589</v>
      </c>
      <c r="I2383" s="17" t="s">
        <v>39</v>
      </c>
      <c r="J2383" s="36">
        <v>2250</v>
      </c>
      <c r="K2383" s="36">
        <v>1118.32</v>
      </c>
      <c r="L2383" s="36">
        <f t="shared" si="185"/>
        <v>-1131.68</v>
      </c>
      <c r="M2383" s="37">
        <f t="shared" si="186"/>
        <v>-0.50296888888888891</v>
      </c>
      <c r="N2383" s="17" t="str">
        <f t="shared" si="187"/>
        <v>Under Budget</v>
      </c>
      <c r="O2383" s="38">
        <f t="shared" si="188"/>
        <v>-1118.32</v>
      </c>
      <c r="P2383" s="39">
        <f t="shared" si="189"/>
        <v>45778</v>
      </c>
    </row>
    <row r="2384" spans="1:16" ht="15.5" x14ac:dyDescent="0.35">
      <c r="A2384" s="17" t="s">
        <v>2432</v>
      </c>
      <c r="B2384" s="35">
        <v>45989</v>
      </c>
      <c r="C2384" s="17" t="s">
        <v>25</v>
      </c>
      <c r="D2384" s="17" t="s">
        <v>32</v>
      </c>
      <c r="E2384" s="17" t="s">
        <v>33</v>
      </c>
      <c r="F2384" s="17" t="s">
        <v>21</v>
      </c>
      <c r="G2384" s="17" t="s">
        <v>22</v>
      </c>
      <c r="H2384" s="17" t="s">
        <v>2588</v>
      </c>
      <c r="I2384" s="17" t="s">
        <v>30</v>
      </c>
      <c r="J2384" s="36">
        <v>13125</v>
      </c>
      <c r="K2384" s="36">
        <v>11355.07</v>
      </c>
      <c r="L2384" s="36">
        <f t="shared" si="185"/>
        <v>-1769.9300000000003</v>
      </c>
      <c r="M2384" s="37">
        <f t="shared" si="186"/>
        <v>-0.13485180952380954</v>
      </c>
      <c r="N2384" s="17" t="str">
        <f t="shared" si="187"/>
        <v>Under Budget</v>
      </c>
      <c r="O2384" s="38">
        <f t="shared" si="188"/>
        <v>11355.07</v>
      </c>
      <c r="P2384" s="39">
        <f t="shared" si="189"/>
        <v>45962</v>
      </c>
    </row>
    <row r="2385" spans="1:16" ht="15.5" x14ac:dyDescent="0.35">
      <c r="A2385" s="17" t="s">
        <v>2433</v>
      </c>
      <c r="B2385" s="35">
        <v>45783</v>
      </c>
      <c r="C2385" s="17" t="s">
        <v>12</v>
      </c>
      <c r="D2385" s="17" t="s">
        <v>19</v>
      </c>
      <c r="E2385" s="17" t="s">
        <v>47</v>
      </c>
      <c r="F2385" s="17" t="s">
        <v>34</v>
      </c>
      <c r="G2385" s="17" t="s">
        <v>22</v>
      </c>
      <c r="H2385" s="17" t="s">
        <v>2594</v>
      </c>
      <c r="I2385" s="17" t="s">
        <v>30</v>
      </c>
      <c r="J2385" s="36">
        <v>3888.89</v>
      </c>
      <c r="K2385" s="36">
        <v>4452.99</v>
      </c>
      <c r="L2385" s="36">
        <f t="shared" si="185"/>
        <v>564.09999999999991</v>
      </c>
      <c r="M2385" s="37">
        <f t="shared" si="186"/>
        <v>0.1450542442702159</v>
      </c>
      <c r="N2385" s="17" t="str">
        <f t="shared" si="187"/>
        <v>Over Budget</v>
      </c>
      <c r="O2385" s="38">
        <f t="shared" si="188"/>
        <v>-4452.99</v>
      </c>
      <c r="P2385" s="39">
        <f t="shared" si="189"/>
        <v>45778</v>
      </c>
    </row>
    <row r="2386" spans="1:16" ht="15.5" x14ac:dyDescent="0.35">
      <c r="A2386" s="17" t="s">
        <v>2434</v>
      </c>
      <c r="B2386" s="35">
        <v>45681</v>
      </c>
      <c r="C2386" s="17" t="s">
        <v>12</v>
      </c>
      <c r="D2386" s="17" t="s">
        <v>32</v>
      </c>
      <c r="E2386" s="17" t="s">
        <v>45</v>
      </c>
      <c r="F2386" s="17" t="s">
        <v>21</v>
      </c>
      <c r="G2386" s="17" t="s">
        <v>38</v>
      </c>
      <c r="H2386" s="17" t="s">
        <v>60</v>
      </c>
      <c r="I2386" s="17" t="s">
        <v>48</v>
      </c>
      <c r="J2386" s="36">
        <v>7591.3</v>
      </c>
      <c r="K2386" s="36">
        <v>8321.74</v>
      </c>
      <c r="L2386" s="36">
        <f t="shared" si="185"/>
        <v>730.4399999999996</v>
      </c>
      <c r="M2386" s="37">
        <f t="shared" si="186"/>
        <v>9.6220673665906975E-2</v>
      </c>
      <c r="N2386" s="17" t="str">
        <f t="shared" si="187"/>
        <v>Over Budget</v>
      </c>
      <c r="O2386" s="38">
        <f t="shared" si="188"/>
        <v>-8321.74</v>
      </c>
      <c r="P2386" s="39">
        <f t="shared" si="189"/>
        <v>45658</v>
      </c>
    </row>
    <row r="2387" spans="1:16" ht="15.5" x14ac:dyDescent="0.35">
      <c r="A2387" s="17" t="s">
        <v>2435</v>
      </c>
      <c r="B2387" s="35">
        <v>46068</v>
      </c>
      <c r="C2387" s="17" t="s">
        <v>25</v>
      </c>
      <c r="D2387" s="17" t="s">
        <v>32</v>
      </c>
      <c r="E2387" s="17" t="s">
        <v>27</v>
      </c>
      <c r="F2387" s="17" t="s">
        <v>28</v>
      </c>
      <c r="G2387" s="17" t="s">
        <v>22</v>
      </c>
      <c r="H2387" s="17" t="s">
        <v>2588</v>
      </c>
      <c r="I2387" s="17" t="s">
        <v>39</v>
      </c>
      <c r="J2387" s="36">
        <v>12933.33</v>
      </c>
      <c r="K2387" s="36">
        <v>6741.31</v>
      </c>
      <c r="L2387" s="36">
        <f t="shared" si="185"/>
        <v>-6192.0199999999995</v>
      </c>
      <c r="M2387" s="37">
        <f t="shared" si="186"/>
        <v>-0.47876455638261761</v>
      </c>
      <c r="N2387" s="17" t="str">
        <f t="shared" si="187"/>
        <v>Under Budget</v>
      </c>
      <c r="O2387" s="38">
        <f t="shared" si="188"/>
        <v>6741.31</v>
      </c>
      <c r="P2387" s="39">
        <f t="shared" si="189"/>
        <v>46054</v>
      </c>
    </row>
    <row r="2388" spans="1:16" ht="15.5" x14ac:dyDescent="0.35">
      <c r="A2388" s="17" t="s">
        <v>2436</v>
      </c>
      <c r="B2388" s="35">
        <v>45809</v>
      </c>
      <c r="C2388" s="17" t="s">
        <v>12</v>
      </c>
      <c r="D2388" s="17" t="s">
        <v>2585</v>
      </c>
      <c r="E2388" s="17" t="s">
        <v>14</v>
      </c>
      <c r="F2388" s="17" t="s">
        <v>21</v>
      </c>
      <c r="G2388" s="17" t="s">
        <v>38</v>
      </c>
      <c r="H2388" s="17" t="s">
        <v>2589</v>
      </c>
      <c r="I2388" s="17" t="s">
        <v>48</v>
      </c>
      <c r="J2388" s="36">
        <v>4571.43</v>
      </c>
      <c r="K2388" s="36">
        <v>530.77</v>
      </c>
      <c r="L2388" s="36">
        <f t="shared" si="185"/>
        <v>-4040.6600000000003</v>
      </c>
      <c r="M2388" s="37">
        <f t="shared" si="186"/>
        <v>-0.88389409878309411</v>
      </c>
      <c r="N2388" s="17" t="str">
        <f t="shared" si="187"/>
        <v>Under Budget</v>
      </c>
      <c r="O2388" s="38">
        <f t="shared" si="188"/>
        <v>-530.77</v>
      </c>
      <c r="P2388" s="39">
        <f t="shared" si="189"/>
        <v>45809</v>
      </c>
    </row>
    <row r="2389" spans="1:16" ht="15.5" x14ac:dyDescent="0.35">
      <c r="A2389" s="17" t="s">
        <v>2437</v>
      </c>
      <c r="B2389" s="35">
        <v>45953</v>
      </c>
      <c r="C2389" s="17" t="s">
        <v>12</v>
      </c>
      <c r="D2389" s="17" t="s">
        <v>26</v>
      </c>
      <c r="E2389" s="17" t="s">
        <v>45</v>
      </c>
      <c r="F2389" s="17" t="s">
        <v>28</v>
      </c>
      <c r="G2389" s="17" t="s">
        <v>43</v>
      </c>
      <c r="H2389" s="17" t="s">
        <v>2595</v>
      </c>
      <c r="I2389" s="17" t="s">
        <v>39</v>
      </c>
      <c r="J2389" s="36">
        <v>7826.09</v>
      </c>
      <c r="K2389" s="36">
        <v>1672.65</v>
      </c>
      <c r="L2389" s="36">
        <f t="shared" si="185"/>
        <v>-6153.4400000000005</v>
      </c>
      <c r="M2389" s="37">
        <f t="shared" si="186"/>
        <v>-0.78627258311621773</v>
      </c>
      <c r="N2389" s="17" t="str">
        <f t="shared" si="187"/>
        <v>Under Budget</v>
      </c>
      <c r="O2389" s="38">
        <f t="shared" si="188"/>
        <v>-1672.65</v>
      </c>
      <c r="P2389" s="39">
        <f t="shared" si="189"/>
        <v>45931</v>
      </c>
    </row>
    <row r="2390" spans="1:16" ht="15.5" x14ac:dyDescent="0.35">
      <c r="A2390" s="17" t="s">
        <v>2438</v>
      </c>
      <c r="B2390" s="35">
        <v>46061</v>
      </c>
      <c r="C2390" s="17" t="s">
        <v>25</v>
      </c>
      <c r="D2390" s="17" t="s">
        <v>36</v>
      </c>
      <c r="E2390" s="17" t="s">
        <v>109</v>
      </c>
      <c r="F2390" s="17" t="s">
        <v>52</v>
      </c>
      <c r="G2390" s="17" t="s">
        <v>38</v>
      </c>
      <c r="H2390" s="17" t="s">
        <v>2597</v>
      </c>
      <c r="I2390" s="17" t="s">
        <v>48</v>
      </c>
      <c r="J2390" s="36">
        <v>8083.33</v>
      </c>
      <c r="K2390" s="36">
        <v>15084.71</v>
      </c>
      <c r="L2390" s="36">
        <f t="shared" si="185"/>
        <v>7001.3799999999992</v>
      </c>
      <c r="M2390" s="37">
        <f t="shared" si="186"/>
        <v>0.86615046026823095</v>
      </c>
      <c r="N2390" s="17" t="str">
        <f t="shared" si="187"/>
        <v>Over Budget</v>
      </c>
      <c r="O2390" s="38">
        <f t="shared" si="188"/>
        <v>15084.71</v>
      </c>
      <c r="P2390" s="39">
        <f t="shared" si="189"/>
        <v>46054</v>
      </c>
    </row>
    <row r="2391" spans="1:16" ht="15.5" x14ac:dyDescent="0.35">
      <c r="A2391" s="17" t="s">
        <v>2439</v>
      </c>
      <c r="B2391" s="35">
        <v>45741</v>
      </c>
      <c r="C2391" s="17" t="s">
        <v>12</v>
      </c>
      <c r="D2391" s="17" t="s">
        <v>36</v>
      </c>
      <c r="E2391" s="17" t="s">
        <v>45</v>
      </c>
      <c r="F2391" s="17" t="s">
        <v>28</v>
      </c>
      <c r="G2391" s="17" t="s">
        <v>43</v>
      </c>
      <c r="H2391" s="17" t="s">
        <v>2592</v>
      </c>
      <c r="I2391" s="17" t="s">
        <v>23</v>
      </c>
      <c r="J2391" s="36">
        <v>6000</v>
      </c>
      <c r="K2391" s="36">
        <v>12456.33</v>
      </c>
      <c r="L2391" s="36">
        <f t="shared" si="185"/>
        <v>6456.33</v>
      </c>
      <c r="M2391" s="37">
        <f t="shared" si="186"/>
        <v>1.076055</v>
      </c>
      <c r="N2391" s="17" t="str">
        <f t="shared" si="187"/>
        <v>Over Budget</v>
      </c>
      <c r="O2391" s="38">
        <f t="shared" si="188"/>
        <v>-12456.33</v>
      </c>
      <c r="P2391" s="39">
        <f t="shared" si="189"/>
        <v>45717</v>
      </c>
    </row>
    <row r="2392" spans="1:16" ht="15.5" x14ac:dyDescent="0.35">
      <c r="A2392" s="17" t="s">
        <v>2440</v>
      </c>
      <c r="B2392" s="35">
        <v>46115</v>
      </c>
      <c r="C2392" s="17" t="s">
        <v>25</v>
      </c>
      <c r="D2392" s="17" t="s">
        <v>32</v>
      </c>
      <c r="E2392" s="17" t="s">
        <v>169</v>
      </c>
      <c r="F2392" s="17" t="s">
        <v>21</v>
      </c>
      <c r="G2392" s="17" t="s">
        <v>38</v>
      </c>
      <c r="H2392" s="17" t="s">
        <v>2589</v>
      </c>
      <c r="I2392" s="17" t="s">
        <v>23</v>
      </c>
      <c r="J2392" s="36">
        <v>3333.33</v>
      </c>
      <c r="K2392" s="36">
        <v>723.54</v>
      </c>
      <c r="L2392" s="36">
        <f t="shared" si="185"/>
        <v>-2609.79</v>
      </c>
      <c r="M2392" s="37">
        <f t="shared" si="186"/>
        <v>-0.78293778293778293</v>
      </c>
      <c r="N2392" s="17" t="str">
        <f t="shared" si="187"/>
        <v>Under Budget</v>
      </c>
      <c r="O2392" s="38">
        <f t="shared" si="188"/>
        <v>723.54</v>
      </c>
      <c r="P2392" s="39">
        <f t="shared" si="189"/>
        <v>46113</v>
      </c>
    </row>
    <row r="2393" spans="1:16" ht="15.5" x14ac:dyDescent="0.35">
      <c r="A2393" s="17" t="s">
        <v>2441</v>
      </c>
      <c r="B2393" s="35">
        <v>46003</v>
      </c>
      <c r="C2393" s="17" t="s">
        <v>12</v>
      </c>
      <c r="D2393" s="17" t="s">
        <v>19</v>
      </c>
      <c r="E2393" s="17" t="s">
        <v>20</v>
      </c>
      <c r="F2393" s="17" t="s">
        <v>34</v>
      </c>
      <c r="G2393" s="17" t="s">
        <v>38</v>
      </c>
      <c r="H2393" s="17" t="s">
        <v>2598</v>
      </c>
      <c r="I2393" s="17" t="s">
        <v>30</v>
      </c>
      <c r="J2393" s="36">
        <v>2100</v>
      </c>
      <c r="K2393" s="36">
        <v>1358</v>
      </c>
      <c r="L2393" s="36">
        <f t="shared" si="185"/>
        <v>-742</v>
      </c>
      <c r="M2393" s="37">
        <f t="shared" si="186"/>
        <v>-0.35333333333333333</v>
      </c>
      <c r="N2393" s="17" t="str">
        <f t="shared" si="187"/>
        <v>Under Budget</v>
      </c>
      <c r="O2393" s="38">
        <f t="shared" si="188"/>
        <v>-1358</v>
      </c>
      <c r="P2393" s="39">
        <f t="shared" si="189"/>
        <v>45992</v>
      </c>
    </row>
    <row r="2394" spans="1:16" ht="15.5" x14ac:dyDescent="0.35">
      <c r="A2394" s="17" t="s">
        <v>2442</v>
      </c>
      <c r="B2394" s="35">
        <v>45920</v>
      </c>
      <c r="C2394" s="17" t="s">
        <v>12</v>
      </c>
      <c r="D2394" s="17" t="s">
        <v>13</v>
      </c>
      <c r="E2394" s="17" t="s">
        <v>45</v>
      </c>
      <c r="F2394" s="17" t="s">
        <v>15</v>
      </c>
      <c r="G2394" s="17" t="s">
        <v>38</v>
      </c>
      <c r="H2394" s="17" t="s">
        <v>2596</v>
      </c>
      <c r="I2394" s="17" t="s">
        <v>17</v>
      </c>
      <c r="J2394" s="36">
        <v>7500</v>
      </c>
      <c r="K2394" s="36">
        <v>12907.74</v>
      </c>
      <c r="L2394" s="36">
        <f t="shared" si="185"/>
        <v>5407.74</v>
      </c>
      <c r="M2394" s="37">
        <f t="shared" si="186"/>
        <v>0.72103200000000001</v>
      </c>
      <c r="N2394" s="17" t="str">
        <f t="shared" si="187"/>
        <v>Over Budget</v>
      </c>
      <c r="O2394" s="38">
        <f t="shared" si="188"/>
        <v>-12907.74</v>
      </c>
      <c r="P2394" s="39">
        <f t="shared" si="189"/>
        <v>45901</v>
      </c>
    </row>
    <row r="2395" spans="1:16" ht="15.5" x14ac:dyDescent="0.35">
      <c r="A2395" s="17" t="s">
        <v>2443</v>
      </c>
      <c r="B2395" s="35">
        <v>46195</v>
      </c>
      <c r="C2395" s="17" t="s">
        <v>12</v>
      </c>
      <c r="D2395" s="17" t="s">
        <v>19</v>
      </c>
      <c r="E2395" s="17" t="s">
        <v>41</v>
      </c>
      <c r="F2395" s="17" t="s">
        <v>52</v>
      </c>
      <c r="G2395" s="17" t="s">
        <v>38</v>
      </c>
      <c r="H2395" s="17" t="s">
        <v>2591</v>
      </c>
      <c r="I2395" s="17" t="s">
        <v>30</v>
      </c>
      <c r="J2395" s="36">
        <v>5416.67</v>
      </c>
      <c r="K2395" s="36">
        <v>5915.97</v>
      </c>
      <c r="L2395" s="36">
        <f t="shared" si="185"/>
        <v>499.30000000000018</v>
      </c>
      <c r="M2395" s="37">
        <f t="shared" si="186"/>
        <v>9.2178404813289372E-2</v>
      </c>
      <c r="N2395" s="17" t="str">
        <f t="shared" si="187"/>
        <v>Over Budget</v>
      </c>
      <c r="O2395" s="38">
        <f t="shared" si="188"/>
        <v>-5915.97</v>
      </c>
      <c r="P2395" s="39">
        <f t="shared" si="189"/>
        <v>46174</v>
      </c>
    </row>
    <row r="2396" spans="1:16" ht="15.5" x14ac:dyDescent="0.35">
      <c r="A2396" s="17" t="s">
        <v>2444</v>
      </c>
      <c r="B2396" s="35">
        <v>46012</v>
      </c>
      <c r="C2396" s="17" t="s">
        <v>12</v>
      </c>
      <c r="D2396" s="17" t="s">
        <v>19</v>
      </c>
      <c r="E2396" s="17" t="s">
        <v>74</v>
      </c>
      <c r="F2396" s="17" t="s">
        <v>21</v>
      </c>
      <c r="G2396" s="17" t="s">
        <v>38</v>
      </c>
      <c r="H2396" s="17" t="s">
        <v>2587</v>
      </c>
      <c r="I2396" s="17" t="s">
        <v>48</v>
      </c>
      <c r="J2396" s="36">
        <v>8400</v>
      </c>
      <c r="K2396" s="36">
        <v>4076.42</v>
      </c>
      <c r="L2396" s="36">
        <f t="shared" si="185"/>
        <v>-4323.58</v>
      </c>
      <c r="M2396" s="37">
        <f t="shared" si="186"/>
        <v>-0.51471190476190476</v>
      </c>
      <c r="N2396" s="17" t="str">
        <f t="shared" si="187"/>
        <v>Under Budget</v>
      </c>
      <c r="O2396" s="38">
        <f t="shared" si="188"/>
        <v>-4076.42</v>
      </c>
      <c r="P2396" s="39">
        <f t="shared" si="189"/>
        <v>45992</v>
      </c>
    </row>
    <row r="2397" spans="1:16" ht="15.5" x14ac:dyDescent="0.35">
      <c r="A2397" s="17" t="s">
        <v>2445</v>
      </c>
      <c r="B2397" s="35">
        <v>45818</v>
      </c>
      <c r="C2397" s="17" t="s">
        <v>12</v>
      </c>
      <c r="D2397" s="17" t="s">
        <v>36</v>
      </c>
      <c r="E2397" s="17" t="s">
        <v>65</v>
      </c>
      <c r="F2397" s="17" t="s">
        <v>34</v>
      </c>
      <c r="G2397" s="17" t="s">
        <v>82</v>
      </c>
      <c r="H2397" s="17" t="s">
        <v>2595</v>
      </c>
      <c r="I2397" s="17" t="s">
        <v>48</v>
      </c>
      <c r="J2397" s="36">
        <v>5500</v>
      </c>
      <c r="K2397" s="36">
        <v>6373.59</v>
      </c>
      <c r="L2397" s="36">
        <f t="shared" si="185"/>
        <v>873.59000000000015</v>
      </c>
      <c r="M2397" s="37">
        <f t="shared" si="186"/>
        <v>0.15883454545454548</v>
      </c>
      <c r="N2397" s="17" t="str">
        <f t="shared" si="187"/>
        <v>Over Budget</v>
      </c>
      <c r="O2397" s="38">
        <f t="shared" si="188"/>
        <v>-6373.59</v>
      </c>
      <c r="P2397" s="39">
        <f t="shared" si="189"/>
        <v>45809</v>
      </c>
    </row>
    <row r="2398" spans="1:16" ht="15.5" x14ac:dyDescent="0.35">
      <c r="A2398" s="17" t="s">
        <v>2446</v>
      </c>
      <c r="B2398" s="35">
        <v>45753</v>
      </c>
      <c r="C2398" s="17" t="s">
        <v>12</v>
      </c>
      <c r="D2398" s="17" t="s">
        <v>13</v>
      </c>
      <c r="E2398" s="17" t="s">
        <v>51</v>
      </c>
      <c r="F2398" s="17" t="s">
        <v>28</v>
      </c>
      <c r="G2398" s="17" t="s">
        <v>82</v>
      </c>
      <c r="H2398" s="17" t="s">
        <v>2596</v>
      </c>
      <c r="I2398" s="17" t="s">
        <v>23</v>
      </c>
      <c r="J2398" s="36">
        <v>3750</v>
      </c>
      <c r="K2398" s="36">
        <v>2495.62</v>
      </c>
      <c r="L2398" s="36">
        <f t="shared" si="185"/>
        <v>-1254.3800000000001</v>
      </c>
      <c r="M2398" s="37">
        <f t="shared" si="186"/>
        <v>-0.33450133333333337</v>
      </c>
      <c r="N2398" s="17" t="str">
        <f t="shared" si="187"/>
        <v>Under Budget</v>
      </c>
      <c r="O2398" s="38">
        <f t="shared" si="188"/>
        <v>-2495.62</v>
      </c>
      <c r="P2398" s="39">
        <f t="shared" si="189"/>
        <v>45748</v>
      </c>
    </row>
    <row r="2399" spans="1:16" ht="15.5" x14ac:dyDescent="0.35">
      <c r="A2399" s="17" t="s">
        <v>2447</v>
      </c>
      <c r="B2399" s="35">
        <v>45703</v>
      </c>
      <c r="C2399" s="17" t="s">
        <v>25</v>
      </c>
      <c r="D2399" s="17" t="s">
        <v>32</v>
      </c>
      <c r="E2399" s="17" t="s">
        <v>27</v>
      </c>
      <c r="F2399" s="17" t="s">
        <v>34</v>
      </c>
      <c r="G2399" s="17" t="s">
        <v>38</v>
      </c>
      <c r="H2399" s="17" t="s">
        <v>2591</v>
      </c>
      <c r="I2399" s="17" t="s">
        <v>48</v>
      </c>
      <c r="J2399" s="36">
        <v>4850</v>
      </c>
      <c r="K2399" s="36">
        <v>4793.12</v>
      </c>
      <c r="L2399" s="36">
        <f t="shared" si="185"/>
        <v>-56.880000000000109</v>
      </c>
      <c r="M2399" s="37">
        <f t="shared" si="186"/>
        <v>-1.1727835051546414E-2</v>
      </c>
      <c r="N2399" s="17" t="str">
        <f t="shared" si="187"/>
        <v>Under Budget</v>
      </c>
      <c r="O2399" s="38">
        <f t="shared" si="188"/>
        <v>4793.12</v>
      </c>
      <c r="P2399" s="39">
        <f t="shared" si="189"/>
        <v>45689</v>
      </c>
    </row>
    <row r="2400" spans="1:16" ht="15.5" x14ac:dyDescent="0.35">
      <c r="A2400" s="17" t="s">
        <v>2448</v>
      </c>
      <c r="B2400" s="35">
        <v>45849</v>
      </c>
      <c r="C2400" s="17" t="s">
        <v>12</v>
      </c>
      <c r="D2400" s="17" t="s">
        <v>19</v>
      </c>
      <c r="E2400" s="17" t="s">
        <v>74</v>
      </c>
      <c r="F2400" s="17" t="s">
        <v>34</v>
      </c>
      <c r="G2400" s="17" t="s">
        <v>29</v>
      </c>
      <c r="H2400" s="17" t="s">
        <v>80</v>
      </c>
      <c r="I2400" s="17" t="s">
        <v>48</v>
      </c>
      <c r="J2400" s="36">
        <v>3333.33</v>
      </c>
      <c r="K2400" s="36">
        <v>3914.21</v>
      </c>
      <c r="L2400" s="36">
        <f t="shared" si="185"/>
        <v>580.88000000000011</v>
      </c>
      <c r="M2400" s="37">
        <f t="shared" si="186"/>
        <v>0.17426417426417429</v>
      </c>
      <c r="N2400" s="17" t="str">
        <f t="shared" si="187"/>
        <v>Over Budget</v>
      </c>
      <c r="O2400" s="38">
        <f t="shared" si="188"/>
        <v>-3914.21</v>
      </c>
      <c r="P2400" s="39">
        <f t="shared" si="189"/>
        <v>45839</v>
      </c>
    </row>
    <row r="2401" spans="1:16" ht="15.5" x14ac:dyDescent="0.35">
      <c r="A2401" s="17" t="s">
        <v>2449</v>
      </c>
      <c r="B2401" s="35">
        <v>46133</v>
      </c>
      <c r="C2401" s="17" t="s">
        <v>12</v>
      </c>
      <c r="D2401" s="17" t="s">
        <v>2584</v>
      </c>
      <c r="E2401" s="17" t="s">
        <v>74</v>
      </c>
      <c r="F2401" s="17" t="s">
        <v>34</v>
      </c>
      <c r="G2401" s="17" t="s">
        <v>16</v>
      </c>
      <c r="H2401" s="17" t="s">
        <v>2590</v>
      </c>
      <c r="I2401" s="17" t="s">
        <v>48</v>
      </c>
      <c r="J2401" s="36">
        <v>6666.67</v>
      </c>
      <c r="K2401" s="36">
        <v>952.85</v>
      </c>
      <c r="L2401" s="36">
        <f t="shared" si="185"/>
        <v>-5713.82</v>
      </c>
      <c r="M2401" s="37">
        <f t="shared" si="186"/>
        <v>-0.85707257146371418</v>
      </c>
      <c r="N2401" s="17" t="str">
        <f t="shared" si="187"/>
        <v>Under Budget</v>
      </c>
      <c r="O2401" s="38">
        <f t="shared" si="188"/>
        <v>-952.85</v>
      </c>
      <c r="P2401" s="39">
        <f t="shared" si="189"/>
        <v>46113</v>
      </c>
    </row>
    <row r="2402" spans="1:16" ht="15.5" x14ac:dyDescent="0.35">
      <c r="A2402" s="17" t="s">
        <v>2450</v>
      </c>
      <c r="B2402" s="35">
        <v>45991</v>
      </c>
      <c r="C2402" s="17" t="s">
        <v>12</v>
      </c>
      <c r="D2402" s="17" t="s">
        <v>2585</v>
      </c>
      <c r="E2402" s="17" t="s">
        <v>65</v>
      </c>
      <c r="F2402" s="17" t="s">
        <v>21</v>
      </c>
      <c r="G2402" s="17" t="s">
        <v>38</v>
      </c>
      <c r="H2402" s="17" t="s">
        <v>2586</v>
      </c>
      <c r="I2402" s="17" t="s">
        <v>30</v>
      </c>
      <c r="J2402" s="36">
        <v>11550</v>
      </c>
      <c r="K2402" s="36">
        <v>3683.84</v>
      </c>
      <c r="L2402" s="36">
        <f t="shared" si="185"/>
        <v>-7866.16</v>
      </c>
      <c r="M2402" s="37">
        <f t="shared" si="186"/>
        <v>-0.6810528138528138</v>
      </c>
      <c r="N2402" s="17" t="str">
        <f t="shared" si="187"/>
        <v>Under Budget</v>
      </c>
      <c r="O2402" s="38">
        <f t="shared" si="188"/>
        <v>-3683.84</v>
      </c>
      <c r="P2402" s="39">
        <f t="shared" si="189"/>
        <v>45962</v>
      </c>
    </row>
    <row r="2403" spans="1:16" ht="15.5" x14ac:dyDescent="0.35">
      <c r="A2403" s="17" t="s">
        <v>2451</v>
      </c>
      <c r="B2403" s="35">
        <v>46071</v>
      </c>
      <c r="C2403" s="17" t="s">
        <v>12</v>
      </c>
      <c r="D2403" s="17" t="s">
        <v>26</v>
      </c>
      <c r="E2403" s="17" t="s">
        <v>41</v>
      </c>
      <c r="F2403" s="17" t="s">
        <v>34</v>
      </c>
      <c r="G2403" s="17" t="s">
        <v>22</v>
      </c>
      <c r="H2403" s="17" t="s">
        <v>2589</v>
      </c>
      <c r="I2403" s="17" t="s">
        <v>30</v>
      </c>
      <c r="J2403" s="36">
        <v>6305</v>
      </c>
      <c r="K2403" s="36">
        <v>11798.59</v>
      </c>
      <c r="L2403" s="36">
        <f t="shared" si="185"/>
        <v>5493.59</v>
      </c>
      <c r="M2403" s="37">
        <f t="shared" si="186"/>
        <v>0.8713068992862808</v>
      </c>
      <c r="N2403" s="17" t="str">
        <f t="shared" si="187"/>
        <v>Over Budget</v>
      </c>
      <c r="O2403" s="38">
        <f t="shared" si="188"/>
        <v>-11798.59</v>
      </c>
      <c r="P2403" s="39">
        <f t="shared" si="189"/>
        <v>46054</v>
      </c>
    </row>
    <row r="2404" spans="1:16" ht="15.5" x14ac:dyDescent="0.35">
      <c r="A2404" s="17" t="s">
        <v>2452</v>
      </c>
      <c r="B2404" s="35">
        <v>45865</v>
      </c>
      <c r="C2404" s="17" t="s">
        <v>12</v>
      </c>
      <c r="D2404" s="17" t="s">
        <v>26</v>
      </c>
      <c r="E2404" s="17" t="s">
        <v>74</v>
      </c>
      <c r="F2404" s="17" t="s">
        <v>52</v>
      </c>
      <c r="G2404" s="17" t="s">
        <v>38</v>
      </c>
      <c r="H2404" s="17" t="s">
        <v>80</v>
      </c>
      <c r="I2404" s="17" t="s">
        <v>39</v>
      </c>
      <c r="J2404" s="36">
        <v>3333.33</v>
      </c>
      <c r="K2404" s="36">
        <v>1509.17</v>
      </c>
      <c r="L2404" s="36">
        <f t="shared" si="185"/>
        <v>-1824.1599999999999</v>
      </c>
      <c r="M2404" s="37">
        <f t="shared" si="186"/>
        <v>-0.54724854724854721</v>
      </c>
      <c r="N2404" s="17" t="str">
        <f t="shared" si="187"/>
        <v>Under Budget</v>
      </c>
      <c r="O2404" s="38">
        <f t="shared" si="188"/>
        <v>-1509.17</v>
      </c>
      <c r="P2404" s="39">
        <f t="shared" si="189"/>
        <v>45839</v>
      </c>
    </row>
    <row r="2405" spans="1:16" ht="15.5" x14ac:dyDescent="0.35">
      <c r="A2405" s="17" t="s">
        <v>2453</v>
      </c>
      <c r="B2405" s="35">
        <v>45808</v>
      </c>
      <c r="C2405" s="17" t="s">
        <v>12</v>
      </c>
      <c r="D2405" s="17" t="s">
        <v>26</v>
      </c>
      <c r="E2405" s="17" t="s">
        <v>45</v>
      </c>
      <c r="F2405" s="17" t="s">
        <v>52</v>
      </c>
      <c r="G2405" s="17" t="s">
        <v>43</v>
      </c>
      <c r="H2405" s="17" t="s">
        <v>2589</v>
      </c>
      <c r="I2405" s="17" t="s">
        <v>17</v>
      </c>
      <c r="J2405" s="36">
        <v>7200</v>
      </c>
      <c r="K2405" s="36">
        <v>13665.68</v>
      </c>
      <c r="L2405" s="36">
        <f t="shared" si="185"/>
        <v>6465.68</v>
      </c>
      <c r="M2405" s="37">
        <f t="shared" si="186"/>
        <v>0.8980111111111112</v>
      </c>
      <c r="N2405" s="17" t="str">
        <f t="shared" si="187"/>
        <v>Over Budget</v>
      </c>
      <c r="O2405" s="38">
        <f t="shared" si="188"/>
        <v>-13665.68</v>
      </c>
      <c r="P2405" s="39">
        <f t="shared" si="189"/>
        <v>45778</v>
      </c>
    </row>
    <row r="2406" spans="1:16" ht="15.5" x14ac:dyDescent="0.35">
      <c r="A2406" s="17" t="s">
        <v>2454</v>
      </c>
      <c r="B2406" s="35">
        <v>46138</v>
      </c>
      <c r="C2406" s="17" t="s">
        <v>12</v>
      </c>
      <c r="D2406" s="17" t="s">
        <v>32</v>
      </c>
      <c r="E2406" s="17" t="s">
        <v>74</v>
      </c>
      <c r="F2406" s="17" t="s">
        <v>52</v>
      </c>
      <c r="G2406" s="17" t="s">
        <v>38</v>
      </c>
      <c r="H2406" s="17" t="s">
        <v>2588</v>
      </c>
      <c r="I2406" s="17" t="s">
        <v>39</v>
      </c>
      <c r="J2406" s="36">
        <v>6666.67</v>
      </c>
      <c r="K2406" s="36">
        <v>4122.6400000000003</v>
      </c>
      <c r="L2406" s="36">
        <f t="shared" si="185"/>
        <v>-2544.0299999999997</v>
      </c>
      <c r="M2406" s="37">
        <f t="shared" si="186"/>
        <v>-0.38160430919784538</v>
      </c>
      <c r="N2406" s="17" t="str">
        <f t="shared" si="187"/>
        <v>Under Budget</v>
      </c>
      <c r="O2406" s="38">
        <f t="shared" si="188"/>
        <v>-4122.6400000000003</v>
      </c>
      <c r="P2406" s="39">
        <f t="shared" si="189"/>
        <v>46113</v>
      </c>
    </row>
    <row r="2407" spans="1:16" ht="15.5" x14ac:dyDescent="0.35">
      <c r="A2407" s="17" t="s">
        <v>2455</v>
      </c>
      <c r="B2407" s="35">
        <v>46146</v>
      </c>
      <c r="C2407" s="17" t="s">
        <v>12</v>
      </c>
      <c r="D2407" s="17" t="s">
        <v>19</v>
      </c>
      <c r="E2407" s="17" t="s">
        <v>41</v>
      </c>
      <c r="F2407" s="17" t="s">
        <v>52</v>
      </c>
      <c r="G2407" s="17" t="s">
        <v>38</v>
      </c>
      <c r="H2407" s="17" t="s">
        <v>2591</v>
      </c>
      <c r="I2407" s="17" t="s">
        <v>48</v>
      </c>
      <c r="J2407" s="36">
        <v>6500</v>
      </c>
      <c r="K2407" s="36">
        <v>8191.18</v>
      </c>
      <c r="L2407" s="36">
        <f t="shared" si="185"/>
        <v>1691.1800000000003</v>
      </c>
      <c r="M2407" s="37">
        <f t="shared" si="186"/>
        <v>0.26018153846153852</v>
      </c>
      <c r="N2407" s="17" t="str">
        <f t="shared" si="187"/>
        <v>Over Budget</v>
      </c>
      <c r="O2407" s="38">
        <f t="shared" si="188"/>
        <v>-8191.18</v>
      </c>
      <c r="P2407" s="39">
        <f t="shared" si="189"/>
        <v>46143</v>
      </c>
    </row>
    <row r="2408" spans="1:16" ht="15.5" x14ac:dyDescent="0.35">
      <c r="A2408" s="17" t="s">
        <v>2456</v>
      </c>
      <c r="B2408" s="35">
        <v>46148</v>
      </c>
      <c r="C2408" s="17" t="s">
        <v>25</v>
      </c>
      <c r="D2408" s="17" t="s">
        <v>32</v>
      </c>
      <c r="E2408" s="17" t="s">
        <v>33</v>
      </c>
      <c r="F2408" s="17" t="s">
        <v>28</v>
      </c>
      <c r="G2408" s="17" t="s">
        <v>38</v>
      </c>
      <c r="H2408" s="17" t="s">
        <v>2591</v>
      </c>
      <c r="I2408" s="17" t="s">
        <v>23</v>
      </c>
      <c r="J2408" s="36">
        <v>10869.57</v>
      </c>
      <c r="K2408" s="36">
        <v>14350.49</v>
      </c>
      <c r="L2408" s="36">
        <f t="shared" si="185"/>
        <v>3480.92</v>
      </c>
      <c r="M2408" s="37">
        <f t="shared" si="186"/>
        <v>0.32024449909242042</v>
      </c>
      <c r="N2408" s="17" t="str">
        <f t="shared" si="187"/>
        <v>Over Budget</v>
      </c>
      <c r="O2408" s="38">
        <f t="shared" si="188"/>
        <v>14350.49</v>
      </c>
      <c r="P2408" s="39">
        <f t="shared" si="189"/>
        <v>46143</v>
      </c>
    </row>
    <row r="2409" spans="1:16" ht="15.5" x14ac:dyDescent="0.35">
      <c r="A2409" s="17" t="s">
        <v>2457</v>
      </c>
      <c r="B2409" s="35">
        <v>45933</v>
      </c>
      <c r="C2409" s="17" t="s">
        <v>12</v>
      </c>
      <c r="D2409" s="17" t="s">
        <v>26</v>
      </c>
      <c r="E2409" s="17" t="s">
        <v>74</v>
      </c>
      <c r="F2409" s="17" t="s">
        <v>34</v>
      </c>
      <c r="G2409" s="17" t="s">
        <v>43</v>
      </c>
      <c r="H2409" s="17" t="s">
        <v>2589</v>
      </c>
      <c r="I2409" s="17" t="s">
        <v>48</v>
      </c>
      <c r="J2409" s="36">
        <v>3333.33</v>
      </c>
      <c r="K2409" s="36">
        <v>3146.69</v>
      </c>
      <c r="L2409" s="36">
        <f t="shared" si="185"/>
        <v>-186.63999999999987</v>
      </c>
      <c r="M2409" s="37">
        <f t="shared" si="186"/>
        <v>-5.5992055992055957E-2</v>
      </c>
      <c r="N2409" s="17" t="str">
        <f t="shared" si="187"/>
        <v>Under Budget</v>
      </c>
      <c r="O2409" s="38">
        <f t="shared" si="188"/>
        <v>-3146.69</v>
      </c>
      <c r="P2409" s="39">
        <f t="shared" si="189"/>
        <v>45931</v>
      </c>
    </row>
    <row r="2410" spans="1:16" ht="15.5" x14ac:dyDescent="0.35">
      <c r="A2410" s="17" t="s">
        <v>2458</v>
      </c>
      <c r="B2410" s="35">
        <v>45797</v>
      </c>
      <c r="C2410" s="17" t="s">
        <v>12</v>
      </c>
      <c r="D2410" s="17" t="s">
        <v>2584</v>
      </c>
      <c r="E2410" s="17" t="s">
        <v>74</v>
      </c>
      <c r="F2410" s="17" t="s">
        <v>52</v>
      </c>
      <c r="G2410" s="17" t="s">
        <v>38</v>
      </c>
      <c r="H2410" s="17" t="s">
        <v>2587</v>
      </c>
      <c r="I2410" s="17" t="s">
        <v>23</v>
      </c>
      <c r="J2410" s="36">
        <v>5000</v>
      </c>
      <c r="K2410" s="36">
        <v>3546.36</v>
      </c>
      <c r="L2410" s="36">
        <f t="shared" si="185"/>
        <v>-1453.6399999999999</v>
      </c>
      <c r="M2410" s="37">
        <f t="shared" si="186"/>
        <v>-0.29072799999999999</v>
      </c>
      <c r="N2410" s="17" t="str">
        <f t="shared" si="187"/>
        <v>Under Budget</v>
      </c>
      <c r="O2410" s="38">
        <f t="shared" si="188"/>
        <v>-3546.36</v>
      </c>
      <c r="P2410" s="39">
        <f t="shared" si="189"/>
        <v>45778</v>
      </c>
    </row>
    <row r="2411" spans="1:16" ht="15.5" x14ac:dyDescent="0.35">
      <c r="A2411" s="17" t="s">
        <v>2459</v>
      </c>
      <c r="B2411" s="35">
        <v>45830</v>
      </c>
      <c r="C2411" s="17" t="s">
        <v>25</v>
      </c>
      <c r="D2411" s="17" t="s">
        <v>32</v>
      </c>
      <c r="E2411" s="17" t="s">
        <v>33</v>
      </c>
      <c r="F2411" s="17" t="s">
        <v>28</v>
      </c>
      <c r="G2411" s="17" t="s">
        <v>22</v>
      </c>
      <c r="H2411" s="17" t="s">
        <v>2586</v>
      </c>
      <c r="I2411" s="17" t="s">
        <v>39</v>
      </c>
      <c r="J2411" s="36">
        <v>9615.3799999999992</v>
      </c>
      <c r="K2411" s="36">
        <v>963.28</v>
      </c>
      <c r="L2411" s="36">
        <f t="shared" si="185"/>
        <v>-8652.0999999999985</v>
      </c>
      <c r="M2411" s="37">
        <f t="shared" si="186"/>
        <v>-0.89981883191303924</v>
      </c>
      <c r="N2411" s="17" t="str">
        <f t="shared" si="187"/>
        <v>Under Budget</v>
      </c>
      <c r="O2411" s="38">
        <f t="shared" si="188"/>
        <v>963.28</v>
      </c>
      <c r="P2411" s="39">
        <f t="shared" si="189"/>
        <v>45809</v>
      </c>
    </row>
    <row r="2412" spans="1:16" ht="15.5" x14ac:dyDescent="0.35">
      <c r="A2412" s="17" t="s">
        <v>2460</v>
      </c>
      <c r="B2412" s="35">
        <v>46010</v>
      </c>
      <c r="C2412" s="17" t="s">
        <v>12</v>
      </c>
      <c r="D2412" s="17" t="s">
        <v>26</v>
      </c>
      <c r="E2412" s="17" t="s">
        <v>41</v>
      </c>
      <c r="F2412" s="17" t="s">
        <v>21</v>
      </c>
      <c r="G2412" s="17" t="s">
        <v>43</v>
      </c>
      <c r="H2412" s="17" t="s">
        <v>2590</v>
      </c>
      <c r="I2412" s="17" t="s">
        <v>48</v>
      </c>
      <c r="J2412" s="36">
        <v>5250</v>
      </c>
      <c r="K2412" s="36">
        <v>4758.32</v>
      </c>
      <c r="L2412" s="36">
        <f t="shared" si="185"/>
        <v>-491.68000000000029</v>
      </c>
      <c r="M2412" s="37">
        <f t="shared" si="186"/>
        <v>-9.3653333333333394E-2</v>
      </c>
      <c r="N2412" s="17" t="str">
        <f t="shared" si="187"/>
        <v>Under Budget</v>
      </c>
      <c r="O2412" s="38">
        <f t="shared" si="188"/>
        <v>-4758.32</v>
      </c>
      <c r="P2412" s="39">
        <f t="shared" si="189"/>
        <v>45992</v>
      </c>
    </row>
    <row r="2413" spans="1:16" ht="15.5" x14ac:dyDescent="0.35">
      <c r="A2413" s="17" t="s">
        <v>2461</v>
      </c>
      <c r="B2413" s="35">
        <v>46110</v>
      </c>
      <c r="C2413" s="17" t="s">
        <v>25</v>
      </c>
      <c r="D2413" s="17" t="s">
        <v>13</v>
      </c>
      <c r="E2413" s="17" t="s">
        <v>33</v>
      </c>
      <c r="F2413" s="17" t="s">
        <v>52</v>
      </c>
      <c r="G2413" s="17" t="s">
        <v>38</v>
      </c>
      <c r="H2413" s="17" t="s">
        <v>2589</v>
      </c>
      <c r="I2413" s="17" t="s">
        <v>23</v>
      </c>
      <c r="J2413" s="36">
        <v>11363.64</v>
      </c>
      <c r="K2413" s="36">
        <v>14997.28</v>
      </c>
      <c r="L2413" s="36">
        <f t="shared" si="185"/>
        <v>3633.6400000000012</v>
      </c>
      <c r="M2413" s="37">
        <f t="shared" si="186"/>
        <v>0.31976021767673046</v>
      </c>
      <c r="N2413" s="17" t="str">
        <f t="shared" si="187"/>
        <v>Over Budget</v>
      </c>
      <c r="O2413" s="38">
        <f t="shared" si="188"/>
        <v>14997.28</v>
      </c>
      <c r="P2413" s="39">
        <f t="shared" si="189"/>
        <v>46082</v>
      </c>
    </row>
    <row r="2414" spans="1:16" ht="15.5" x14ac:dyDescent="0.35">
      <c r="A2414" s="17" t="s">
        <v>2462</v>
      </c>
      <c r="B2414" s="35">
        <v>46060</v>
      </c>
      <c r="C2414" s="17" t="s">
        <v>12</v>
      </c>
      <c r="D2414" s="17" t="s">
        <v>19</v>
      </c>
      <c r="E2414" s="17" t="s">
        <v>20</v>
      </c>
      <c r="F2414" s="17" t="s">
        <v>15</v>
      </c>
      <c r="G2414" s="17" t="s">
        <v>82</v>
      </c>
      <c r="H2414" s="17" t="s">
        <v>2598</v>
      </c>
      <c r="I2414" s="17" t="s">
        <v>30</v>
      </c>
      <c r="J2414" s="36">
        <v>2182.5</v>
      </c>
      <c r="K2414" s="36">
        <v>1308.97</v>
      </c>
      <c r="L2414" s="36">
        <f t="shared" si="185"/>
        <v>-873.53</v>
      </c>
      <c r="M2414" s="37">
        <f t="shared" si="186"/>
        <v>-0.40024284077892325</v>
      </c>
      <c r="N2414" s="17" t="str">
        <f t="shared" si="187"/>
        <v>Under Budget</v>
      </c>
      <c r="O2414" s="38">
        <f t="shared" si="188"/>
        <v>-1308.97</v>
      </c>
      <c r="P2414" s="39">
        <f t="shared" si="189"/>
        <v>46054</v>
      </c>
    </row>
    <row r="2415" spans="1:16" ht="15.5" x14ac:dyDescent="0.35">
      <c r="A2415" s="17" t="s">
        <v>2463</v>
      </c>
      <c r="B2415" s="35">
        <v>46037</v>
      </c>
      <c r="C2415" s="17" t="s">
        <v>25</v>
      </c>
      <c r="D2415" s="17" t="s">
        <v>32</v>
      </c>
      <c r="E2415" s="17" t="s">
        <v>33</v>
      </c>
      <c r="F2415" s="17" t="s">
        <v>34</v>
      </c>
      <c r="G2415" s="17" t="s">
        <v>38</v>
      </c>
      <c r="H2415" s="17" t="s">
        <v>60</v>
      </c>
      <c r="I2415" s="17" t="s">
        <v>2583</v>
      </c>
      <c r="J2415" s="36">
        <v>11547.62</v>
      </c>
      <c r="K2415" s="36">
        <v>15850.98</v>
      </c>
      <c r="L2415" s="36">
        <f t="shared" si="185"/>
        <v>4303.3599999999988</v>
      </c>
      <c r="M2415" s="37">
        <f t="shared" si="186"/>
        <v>0.3726620723577671</v>
      </c>
      <c r="N2415" s="17" t="str">
        <f t="shared" si="187"/>
        <v>Over Budget</v>
      </c>
      <c r="O2415" s="38">
        <f t="shared" si="188"/>
        <v>15850.98</v>
      </c>
      <c r="P2415" s="39">
        <f t="shared" si="189"/>
        <v>46023</v>
      </c>
    </row>
    <row r="2416" spans="1:16" ht="15.5" x14ac:dyDescent="0.35">
      <c r="A2416" s="17" t="s">
        <v>2464</v>
      </c>
      <c r="B2416" s="35">
        <v>45734</v>
      </c>
      <c r="C2416" s="17" t="s">
        <v>12</v>
      </c>
      <c r="D2416" s="17" t="s">
        <v>36</v>
      </c>
      <c r="E2416" s="17" t="s">
        <v>37</v>
      </c>
      <c r="F2416" s="17" t="s">
        <v>52</v>
      </c>
      <c r="G2416" s="17" t="s">
        <v>43</v>
      </c>
      <c r="H2416" s="17" t="s">
        <v>2586</v>
      </c>
      <c r="I2416" s="17" t="s">
        <v>48</v>
      </c>
      <c r="J2416" s="36">
        <v>4666.67</v>
      </c>
      <c r="K2416" s="36">
        <v>1809.13</v>
      </c>
      <c r="L2416" s="36">
        <f t="shared" si="185"/>
        <v>-2857.54</v>
      </c>
      <c r="M2416" s="37">
        <f t="shared" si="186"/>
        <v>-0.61232956262174099</v>
      </c>
      <c r="N2416" s="17" t="str">
        <f t="shared" si="187"/>
        <v>Under Budget</v>
      </c>
      <c r="O2416" s="38">
        <f t="shared" si="188"/>
        <v>-1809.13</v>
      </c>
      <c r="P2416" s="39">
        <f t="shared" si="189"/>
        <v>45717</v>
      </c>
    </row>
    <row r="2417" spans="1:16" ht="15.5" x14ac:dyDescent="0.35">
      <c r="A2417" s="17" t="s">
        <v>2465</v>
      </c>
      <c r="B2417" s="35">
        <v>46035</v>
      </c>
      <c r="C2417" s="17" t="s">
        <v>12</v>
      </c>
      <c r="D2417" s="17" t="s">
        <v>26</v>
      </c>
      <c r="E2417" s="17" t="s">
        <v>47</v>
      </c>
      <c r="F2417" s="17" t="s">
        <v>52</v>
      </c>
      <c r="G2417" s="17" t="s">
        <v>82</v>
      </c>
      <c r="H2417" s="17" t="s">
        <v>2598</v>
      </c>
      <c r="I2417" s="17" t="s">
        <v>23</v>
      </c>
      <c r="J2417" s="36">
        <v>3395</v>
      </c>
      <c r="K2417" s="36">
        <v>4821.66</v>
      </c>
      <c r="L2417" s="36">
        <f t="shared" si="185"/>
        <v>1426.6599999999999</v>
      </c>
      <c r="M2417" s="37">
        <f t="shared" si="186"/>
        <v>0.42022385861561112</v>
      </c>
      <c r="N2417" s="17" t="str">
        <f t="shared" si="187"/>
        <v>Over Budget</v>
      </c>
      <c r="O2417" s="38">
        <f t="shared" si="188"/>
        <v>-4821.66</v>
      </c>
      <c r="P2417" s="39">
        <f t="shared" si="189"/>
        <v>46023</v>
      </c>
    </row>
    <row r="2418" spans="1:16" ht="15.5" x14ac:dyDescent="0.35">
      <c r="A2418" s="17" t="s">
        <v>2466</v>
      </c>
      <c r="B2418" s="35">
        <v>45773</v>
      </c>
      <c r="C2418" s="17" t="s">
        <v>12</v>
      </c>
      <c r="D2418" s="17" t="s">
        <v>2585</v>
      </c>
      <c r="E2418" s="17" t="s">
        <v>41</v>
      </c>
      <c r="F2418" s="17" t="s">
        <v>28</v>
      </c>
      <c r="G2418" s="17" t="s">
        <v>16</v>
      </c>
      <c r="H2418" s="17" t="s">
        <v>2598</v>
      </c>
      <c r="I2418" s="17" t="s">
        <v>23</v>
      </c>
      <c r="J2418" s="36">
        <v>5416.67</v>
      </c>
      <c r="K2418" s="36">
        <v>9397.8799999999992</v>
      </c>
      <c r="L2418" s="36">
        <f t="shared" si="185"/>
        <v>3981.2099999999991</v>
      </c>
      <c r="M2418" s="37">
        <f t="shared" si="186"/>
        <v>0.73499216308174564</v>
      </c>
      <c r="N2418" s="17" t="str">
        <f t="shared" si="187"/>
        <v>Over Budget</v>
      </c>
      <c r="O2418" s="38">
        <f t="shared" si="188"/>
        <v>-9397.8799999999992</v>
      </c>
      <c r="P2418" s="39">
        <f t="shared" si="189"/>
        <v>45748</v>
      </c>
    </row>
    <row r="2419" spans="1:16" ht="15.5" x14ac:dyDescent="0.35">
      <c r="A2419" s="17" t="s">
        <v>2467</v>
      </c>
      <c r="B2419" s="35">
        <v>45880</v>
      </c>
      <c r="C2419" s="17" t="s">
        <v>12</v>
      </c>
      <c r="D2419" s="17" t="s">
        <v>13</v>
      </c>
      <c r="E2419" s="17" t="s">
        <v>14</v>
      </c>
      <c r="F2419" s="17" t="s">
        <v>34</v>
      </c>
      <c r="G2419" s="17" t="s">
        <v>38</v>
      </c>
      <c r="H2419" s="17" t="s">
        <v>2586</v>
      </c>
      <c r="I2419" s="17" t="s">
        <v>30</v>
      </c>
      <c r="J2419" s="36">
        <v>2285.71</v>
      </c>
      <c r="K2419" s="36">
        <v>4611.93</v>
      </c>
      <c r="L2419" s="36">
        <f t="shared" si="185"/>
        <v>2326.2200000000003</v>
      </c>
      <c r="M2419" s="37">
        <f t="shared" si="186"/>
        <v>1.0177231582309219</v>
      </c>
      <c r="N2419" s="17" t="str">
        <f t="shared" si="187"/>
        <v>Over Budget</v>
      </c>
      <c r="O2419" s="38">
        <f t="shared" si="188"/>
        <v>-4611.93</v>
      </c>
      <c r="P2419" s="39">
        <f t="shared" si="189"/>
        <v>45870</v>
      </c>
    </row>
    <row r="2420" spans="1:16" ht="15.5" x14ac:dyDescent="0.35">
      <c r="A2420" s="17" t="s">
        <v>2468</v>
      </c>
      <c r="B2420" s="35">
        <v>46001</v>
      </c>
      <c r="C2420" s="17" t="s">
        <v>12</v>
      </c>
      <c r="D2420" s="17" t="s">
        <v>32</v>
      </c>
      <c r="E2420" s="17" t="s">
        <v>51</v>
      </c>
      <c r="F2420" s="17" t="s">
        <v>21</v>
      </c>
      <c r="G2420" s="17" t="s">
        <v>38</v>
      </c>
      <c r="H2420" s="17" t="s">
        <v>2592</v>
      </c>
      <c r="I2420" s="17" t="s">
        <v>23</v>
      </c>
      <c r="J2420" s="36">
        <v>4500</v>
      </c>
      <c r="K2420" s="36">
        <v>6598.39</v>
      </c>
      <c r="L2420" s="36">
        <f t="shared" si="185"/>
        <v>2098.3900000000003</v>
      </c>
      <c r="M2420" s="37">
        <f t="shared" si="186"/>
        <v>0.46630888888888894</v>
      </c>
      <c r="N2420" s="17" t="str">
        <f t="shared" si="187"/>
        <v>Over Budget</v>
      </c>
      <c r="O2420" s="38">
        <f t="shared" si="188"/>
        <v>-6598.39</v>
      </c>
      <c r="P2420" s="39">
        <f t="shared" si="189"/>
        <v>45992</v>
      </c>
    </row>
    <row r="2421" spans="1:16" ht="15.5" x14ac:dyDescent="0.35">
      <c r="A2421" s="17" t="s">
        <v>2469</v>
      </c>
      <c r="B2421" s="35">
        <v>46146</v>
      </c>
      <c r="C2421" s="17" t="s">
        <v>25</v>
      </c>
      <c r="D2421" s="17" t="s">
        <v>32</v>
      </c>
      <c r="E2421" s="17" t="s">
        <v>169</v>
      </c>
      <c r="F2421" s="17" t="s">
        <v>52</v>
      </c>
      <c r="G2421" s="17" t="s">
        <v>16</v>
      </c>
      <c r="H2421" s="17" t="s">
        <v>2591</v>
      </c>
      <c r="I2421" s="17" t="s">
        <v>39</v>
      </c>
      <c r="J2421" s="36">
        <v>5000</v>
      </c>
      <c r="K2421" s="36">
        <v>1225.98</v>
      </c>
      <c r="L2421" s="36">
        <f t="shared" si="185"/>
        <v>-3774.02</v>
      </c>
      <c r="M2421" s="37">
        <f t="shared" si="186"/>
        <v>-0.75480400000000003</v>
      </c>
      <c r="N2421" s="17" t="str">
        <f t="shared" si="187"/>
        <v>Under Budget</v>
      </c>
      <c r="O2421" s="38">
        <f t="shared" si="188"/>
        <v>1225.98</v>
      </c>
      <c r="P2421" s="39">
        <f t="shared" si="189"/>
        <v>46143</v>
      </c>
    </row>
    <row r="2422" spans="1:16" ht="15.5" x14ac:dyDescent="0.35">
      <c r="A2422" s="17" t="s">
        <v>2470</v>
      </c>
      <c r="B2422" s="35">
        <v>46024</v>
      </c>
      <c r="C2422" s="17" t="s">
        <v>12</v>
      </c>
      <c r="D2422" s="17" t="s">
        <v>26</v>
      </c>
      <c r="E2422" s="17" t="s">
        <v>77</v>
      </c>
      <c r="F2422" s="17" t="s">
        <v>15</v>
      </c>
      <c r="G2422" s="17" t="s">
        <v>38</v>
      </c>
      <c r="H2422" s="17" t="s">
        <v>2596</v>
      </c>
      <c r="I2422" s="17" t="s">
        <v>30</v>
      </c>
      <c r="J2422" s="36">
        <v>3556.67</v>
      </c>
      <c r="K2422" s="36">
        <v>552.07000000000005</v>
      </c>
      <c r="L2422" s="36">
        <f t="shared" si="185"/>
        <v>-3004.6</v>
      </c>
      <c r="M2422" s="37">
        <f t="shared" si="186"/>
        <v>-0.84477896459328528</v>
      </c>
      <c r="N2422" s="17" t="str">
        <f t="shared" si="187"/>
        <v>Under Budget</v>
      </c>
      <c r="O2422" s="38">
        <f t="shared" si="188"/>
        <v>-552.07000000000005</v>
      </c>
      <c r="P2422" s="39">
        <f t="shared" si="189"/>
        <v>46023</v>
      </c>
    </row>
    <row r="2423" spans="1:16" ht="15.5" x14ac:dyDescent="0.35">
      <c r="A2423" s="17" t="s">
        <v>2471</v>
      </c>
      <c r="B2423" s="35">
        <v>46108</v>
      </c>
      <c r="C2423" s="17" t="s">
        <v>12</v>
      </c>
      <c r="D2423" s="17" t="s">
        <v>19</v>
      </c>
      <c r="E2423" s="17" t="s">
        <v>77</v>
      </c>
      <c r="F2423" s="17" t="s">
        <v>34</v>
      </c>
      <c r="G2423" s="17" t="s">
        <v>22</v>
      </c>
      <c r="H2423" s="17" t="s">
        <v>80</v>
      </c>
      <c r="I2423" s="17" t="s">
        <v>48</v>
      </c>
      <c r="J2423" s="36">
        <v>1833.33</v>
      </c>
      <c r="K2423" s="36">
        <v>3072.86</v>
      </c>
      <c r="L2423" s="36">
        <f t="shared" si="185"/>
        <v>1239.5300000000002</v>
      </c>
      <c r="M2423" s="37">
        <f t="shared" si="186"/>
        <v>0.67610850201545836</v>
      </c>
      <c r="N2423" s="17" t="str">
        <f t="shared" si="187"/>
        <v>Over Budget</v>
      </c>
      <c r="O2423" s="38">
        <f t="shared" si="188"/>
        <v>-3072.86</v>
      </c>
      <c r="P2423" s="39">
        <f t="shared" si="189"/>
        <v>46082</v>
      </c>
    </row>
    <row r="2424" spans="1:16" ht="15.5" x14ac:dyDescent="0.35">
      <c r="A2424" s="17" t="s">
        <v>2472</v>
      </c>
      <c r="B2424" s="35">
        <v>45690</v>
      </c>
      <c r="C2424" s="17" t="s">
        <v>12</v>
      </c>
      <c r="D2424" s="17" t="s">
        <v>19</v>
      </c>
      <c r="E2424" s="17" t="s">
        <v>77</v>
      </c>
      <c r="F2424" s="17" t="s">
        <v>21</v>
      </c>
      <c r="G2424" s="17" t="s">
        <v>38</v>
      </c>
      <c r="H2424" s="17" t="s">
        <v>2594</v>
      </c>
      <c r="I2424" s="17" t="s">
        <v>17</v>
      </c>
      <c r="J2424" s="36">
        <v>5335</v>
      </c>
      <c r="K2424" s="36">
        <v>341.36</v>
      </c>
      <c r="L2424" s="36">
        <f t="shared" si="185"/>
        <v>-4993.6400000000003</v>
      </c>
      <c r="M2424" s="37">
        <f t="shared" si="186"/>
        <v>-0.93601499531396448</v>
      </c>
      <c r="N2424" s="17" t="str">
        <f t="shared" si="187"/>
        <v>Under Budget</v>
      </c>
      <c r="O2424" s="38">
        <f t="shared" si="188"/>
        <v>-341.36</v>
      </c>
      <c r="P2424" s="39">
        <f t="shared" si="189"/>
        <v>45689</v>
      </c>
    </row>
    <row r="2425" spans="1:16" ht="15.5" x14ac:dyDescent="0.35">
      <c r="A2425" s="17" t="s">
        <v>2473</v>
      </c>
      <c r="B2425" s="35">
        <v>45749</v>
      </c>
      <c r="C2425" s="17" t="s">
        <v>12</v>
      </c>
      <c r="D2425" s="17" t="s">
        <v>2584</v>
      </c>
      <c r="E2425" s="17" t="s">
        <v>77</v>
      </c>
      <c r="F2425" s="17" t="s">
        <v>28</v>
      </c>
      <c r="G2425" s="17" t="s">
        <v>38</v>
      </c>
      <c r="H2425" s="17" t="s">
        <v>2597</v>
      </c>
      <c r="I2425" s="17" t="s">
        <v>23</v>
      </c>
      <c r="J2425" s="36">
        <v>2750</v>
      </c>
      <c r="K2425" s="36">
        <v>1353.52</v>
      </c>
      <c r="L2425" s="36">
        <f t="shared" si="185"/>
        <v>-1396.48</v>
      </c>
      <c r="M2425" s="37">
        <f t="shared" si="186"/>
        <v>-0.50781090909090909</v>
      </c>
      <c r="N2425" s="17" t="str">
        <f t="shared" si="187"/>
        <v>Under Budget</v>
      </c>
      <c r="O2425" s="38">
        <f t="shared" si="188"/>
        <v>-1353.52</v>
      </c>
      <c r="P2425" s="39">
        <f t="shared" si="189"/>
        <v>45748</v>
      </c>
    </row>
    <row r="2426" spans="1:16" ht="15.5" x14ac:dyDescent="0.35">
      <c r="A2426" s="17" t="s">
        <v>2474</v>
      </c>
      <c r="B2426" s="35">
        <v>45880</v>
      </c>
      <c r="C2426" s="17" t="s">
        <v>12</v>
      </c>
      <c r="D2426" s="17" t="s">
        <v>13</v>
      </c>
      <c r="E2426" s="17" t="s">
        <v>20</v>
      </c>
      <c r="F2426" s="17" t="s">
        <v>52</v>
      </c>
      <c r="G2426" s="17" t="s">
        <v>82</v>
      </c>
      <c r="H2426" s="17" t="s">
        <v>2590</v>
      </c>
      <c r="I2426" s="17" t="s">
        <v>48</v>
      </c>
      <c r="J2426" s="36">
        <v>3000</v>
      </c>
      <c r="K2426" s="36">
        <v>784.68</v>
      </c>
      <c r="L2426" s="36">
        <f t="shared" si="185"/>
        <v>-2215.3200000000002</v>
      </c>
      <c r="M2426" s="37">
        <f t="shared" si="186"/>
        <v>-0.7384400000000001</v>
      </c>
      <c r="N2426" s="17" t="str">
        <f t="shared" si="187"/>
        <v>Under Budget</v>
      </c>
      <c r="O2426" s="38">
        <f t="shared" si="188"/>
        <v>-784.68</v>
      </c>
      <c r="P2426" s="39">
        <f t="shared" si="189"/>
        <v>45870</v>
      </c>
    </row>
    <row r="2427" spans="1:16" ht="15.5" x14ac:dyDescent="0.35">
      <c r="A2427" s="17" t="s">
        <v>2475</v>
      </c>
      <c r="B2427" s="35">
        <v>46038</v>
      </c>
      <c r="C2427" s="17" t="s">
        <v>12</v>
      </c>
      <c r="D2427" s="17" t="s">
        <v>2585</v>
      </c>
      <c r="E2427" s="17" t="s">
        <v>51</v>
      </c>
      <c r="F2427" s="17" t="s">
        <v>21</v>
      </c>
      <c r="G2427" s="17" t="s">
        <v>16</v>
      </c>
      <c r="H2427" s="17" t="s">
        <v>2592</v>
      </c>
      <c r="I2427" s="17" t="s">
        <v>23</v>
      </c>
      <c r="J2427" s="36">
        <v>3637.5</v>
      </c>
      <c r="K2427" s="36">
        <v>4587.67</v>
      </c>
      <c r="L2427" s="36">
        <f t="shared" si="185"/>
        <v>950.17000000000007</v>
      </c>
      <c r="M2427" s="37">
        <f t="shared" si="186"/>
        <v>0.26121512027491411</v>
      </c>
      <c r="N2427" s="17" t="str">
        <f t="shared" si="187"/>
        <v>Over Budget</v>
      </c>
      <c r="O2427" s="38">
        <f t="shared" si="188"/>
        <v>-4587.67</v>
      </c>
      <c r="P2427" s="39">
        <f t="shared" si="189"/>
        <v>46023</v>
      </c>
    </row>
    <row r="2428" spans="1:16" ht="15.5" x14ac:dyDescent="0.35">
      <c r="A2428" s="17" t="s">
        <v>2476</v>
      </c>
      <c r="B2428" s="35">
        <v>45674</v>
      </c>
      <c r="C2428" s="17" t="s">
        <v>12</v>
      </c>
      <c r="D2428" s="17" t="s">
        <v>36</v>
      </c>
      <c r="E2428" s="17" t="s">
        <v>51</v>
      </c>
      <c r="F2428" s="17" t="s">
        <v>34</v>
      </c>
      <c r="G2428" s="17" t="s">
        <v>38</v>
      </c>
      <c r="H2428" s="17" t="s">
        <v>2592</v>
      </c>
      <c r="I2428" s="17" t="s">
        <v>39</v>
      </c>
      <c r="J2428" s="36">
        <v>3637.5</v>
      </c>
      <c r="K2428" s="36">
        <v>3767.7</v>
      </c>
      <c r="L2428" s="36">
        <f t="shared" si="185"/>
        <v>130.19999999999982</v>
      </c>
      <c r="M2428" s="37">
        <f t="shared" si="186"/>
        <v>3.5793814432989637E-2</v>
      </c>
      <c r="N2428" s="17" t="str">
        <f t="shared" si="187"/>
        <v>Over Budget</v>
      </c>
      <c r="O2428" s="38">
        <f t="shared" si="188"/>
        <v>-3767.7</v>
      </c>
      <c r="P2428" s="39">
        <f t="shared" si="189"/>
        <v>45658</v>
      </c>
    </row>
    <row r="2429" spans="1:16" ht="15.5" x14ac:dyDescent="0.35">
      <c r="A2429" s="17" t="s">
        <v>2477</v>
      </c>
      <c r="B2429" s="35">
        <v>45679</v>
      </c>
      <c r="C2429" s="17" t="s">
        <v>25</v>
      </c>
      <c r="D2429" s="17" t="s">
        <v>13</v>
      </c>
      <c r="E2429" s="17" t="s">
        <v>33</v>
      </c>
      <c r="F2429" s="17" t="s">
        <v>21</v>
      </c>
      <c r="G2429" s="17" t="s">
        <v>82</v>
      </c>
      <c r="H2429" s="17" t="s">
        <v>2595</v>
      </c>
      <c r="I2429" s="17" t="s">
        <v>30</v>
      </c>
      <c r="J2429" s="36">
        <v>11022.73</v>
      </c>
      <c r="K2429" s="36">
        <v>21708.52</v>
      </c>
      <c r="L2429" s="36">
        <f t="shared" si="185"/>
        <v>10685.79</v>
      </c>
      <c r="M2429" s="37">
        <f t="shared" si="186"/>
        <v>0.96943225498583396</v>
      </c>
      <c r="N2429" s="17" t="str">
        <f t="shared" si="187"/>
        <v>Over Budget</v>
      </c>
      <c r="O2429" s="38">
        <f t="shared" si="188"/>
        <v>21708.52</v>
      </c>
      <c r="P2429" s="39">
        <f t="shared" si="189"/>
        <v>45658</v>
      </c>
    </row>
    <row r="2430" spans="1:16" ht="15.5" x14ac:dyDescent="0.35">
      <c r="A2430" s="17" t="s">
        <v>2478</v>
      </c>
      <c r="B2430" s="35">
        <v>45690</v>
      </c>
      <c r="C2430" s="17" t="s">
        <v>25</v>
      </c>
      <c r="D2430" s="17" t="s">
        <v>26</v>
      </c>
      <c r="E2430" s="17" t="s">
        <v>27</v>
      </c>
      <c r="F2430" s="17" t="s">
        <v>15</v>
      </c>
      <c r="G2430" s="17" t="s">
        <v>38</v>
      </c>
      <c r="H2430" s="17" t="s">
        <v>2595</v>
      </c>
      <c r="I2430" s="17" t="s">
        <v>30</v>
      </c>
      <c r="J2430" s="36">
        <v>4850</v>
      </c>
      <c r="K2430" s="36">
        <v>3106.09</v>
      </c>
      <c r="L2430" s="36">
        <f t="shared" si="185"/>
        <v>-1743.9099999999999</v>
      </c>
      <c r="M2430" s="37">
        <f t="shared" si="186"/>
        <v>-0.35956907216494843</v>
      </c>
      <c r="N2430" s="17" t="str">
        <f t="shared" si="187"/>
        <v>Under Budget</v>
      </c>
      <c r="O2430" s="38">
        <f t="shared" si="188"/>
        <v>3106.09</v>
      </c>
      <c r="P2430" s="39">
        <f t="shared" si="189"/>
        <v>45689</v>
      </c>
    </row>
    <row r="2431" spans="1:16" ht="15.5" x14ac:dyDescent="0.35">
      <c r="A2431" s="17" t="s">
        <v>2479</v>
      </c>
      <c r="B2431" s="35">
        <v>45947</v>
      </c>
      <c r="C2431" s="17" t="s">
        <v>25</v>
      </c>
      <c r="D2431" s="17" t="s">
        <v>2585</v>
      </c>
      <c r="E2431" s="17" t="s">
        <v>27</v>
      </c>
      <c r="F2431" s="17" t="s">
        <v>34</v>
      </c>
      <c r="G2431" s="17" t="s">
        <v>38</v>
      </c>
      <c r="H2431" s="17" t="s">
        <v>2588</v>
      </c>
      <c r="I2431" s="17" t="s">
        <v>23</v>
      </c>
      <c r="J2431" s="36">
        <v>4705.88</v>
      </c>
      <c r="K2431" s="36">
        <v>5175.6499999999996</v>
      </c>
      <c r="L2431" s="36">
        <f t="shared" si="185"/>
        <v>469.76999999999953</v>
      </c>
      <c r="M2431" s="37">
        <f t="shared" si="186"/>
        <v>9.9826174913087359E-2</v>
      </c>
      <c r="N2431" s="17" t="str">
        <f t="shared" si="187"/>
        <v>Over Budget</v>
      </c>
      <c r="O2431" s="38">
        <f t="shared" si="188"/>
        <v>5175.6499999999996</v>
      </c>
      <c r="P2431" s="39">
        <f t="shared" si="189"/>
        <v>45931</v>
      </c>
    </row>
    <row r="2432" spans="1:16" ht="15.5" x14ac:dyDescent="0.35">
      <c r="A2432" s="17" t="s">
        <v>2480</v>
      </c>
      <c r="B2432" s="35">
        <v>46154</v>
      </c>
      <c r="C2432" s="17" t="s">
        <v>25</v>
      </c>
      <c r="D2432" s="17" t="s">
        <v>36</v>
      </c>
      <c r="E2432" s="17" t="s">
        <v>33</v>
      </c>
      <c r="F2432" s="17" t="s">
        <v>34</v>
      </c>
      <c r="G2432" s="17" t="s">
        <v>38</v>
      </c>
      <c r="H2432" s="17" t="s">
        <v>2597</v>
      </c>
      <c r="I2432" s="17" t="s">
        <v>23</v>
      </c>
      <c r="J2432" s="36">
        <v>10869.57</v>
      </c>
      <c r="K2432" s="36">
        <v>3617.89</v>
      </c>
      <c r="L2432" s="36">
        <f t="shared" si="185"/>
        <v>-7251.68</v>
      </c>
      <c r="M2432" s="37">
        <f t="shared" si="186"/>
        <v>-0.66715426645212283</v>
      </c>
      <c r="N2432" s="17" t="str">
        <f t="shared" si="187"/>
        <v>Under Budget</v>
      </c>
      <c r="O2432" s="38">
        <f t="shared" si="188"/>
        <v>3617.89</v>
      </c>
      <c r="P2432" s="39">
        <f t="shared" si="189"/>
        <v>46143</v>
      </c>
    </row>
    <row r="2433" spans="1:16" ht="15.5" x14ac:dyDescent="0.35">
      <c r="A2433" s="17" t="s">
        <v>2481</v>
      </c>
      <c r="B2433" s="35">
        <v>45790</v>
      </c>
      <c r="C2433" s="17" t="s">
        <v>12</v>
      </c>
      <c r="D2433" s="17" t="s">
        <v>32</v>
      </c>
      <c r="E2433" s="17" t="s">
        <v>51</v>
      </c>
      <c r="F2433" s="17" t="s">
        <v>52</v>
      </c>
      <c r="G2433" s="17" t="s">
        <v>22</v>
      </c>
      <c r="H2433" s="17" t="s">
        <v>60</v>
      </c>
      <c r="I2433" s="17" t="s">
        <v>30</v>
      </c>
      <c r="J2433" s="36">
        <v>2307.69</v>
      </c>
      <c r="K2433" s="36">
        <v>5964.74</v>
      </c>
      <c r="L2433" s="36">
        <f t="shared" si="185"/>
        <v>3657.0499999999997</v>
      </c>
      <c r="M2433" s="37">
        <f t="shared" si="186"/>
        <v>1.5847232513899179</v>
      </c>
      <c r="N2433" s="17" t="str">
        <f t="shared" si="187"/>
        <v>Over Budget</v>
      </c>
      <c r="O2433" s="38">
        <f t="shared" si="188"/>
        <v>-5964.74</v>
      </c>
      <c r="P2433" s="39">
        <f t="shared" si="189"/>
        <v>45778</v>
      </c>
    </row>
    <row r="2434" spans="1:16" ht="15.5" x14ac:dyDescent="0.35">
      <c r="A2434" s="17" t="s">
        <v>2482</v>
      </c>
      <c r="B2434" s="35">
        <v>45889</v>
      </c>
      <c r="C2434" s="17" t="s">
        <v>12</v>
      </c>
      <c r="D2434" s="17" t="s">
        <v>26</v>
      </c>
      <c r="E2434" s="17" t="s">
        <v>41</v>
      </c>
      <c r="F2434" s="17" t="s">
        <v>21</v>
      </c>
      <c r="G2434" s="17" t="s">
        <v>22</v>
      </c>
      <c r="H2434" s="17" t="s">
        <v>2594</v>
      </c>
      <c r="I2434" s="17" t="s">
        <v>23</v>
      </c>
      <c r="J2434" s="36">
        <v>10833.33</v>
      </c>
      <c r="K2434" s="36">
        <v>3401.71</v>
      </c>
      <c r="L2434" s="36">
        <f t="shared" si="185"/>
        <v>-7431.62</v>
      </c>
      <c r="M2434" s="37">
        <f t="shared" si="186"/>
        <v>-0.68599590338335492</v>
      </c>
      <c r="N2434" s="17" t="str">
        <f t="shared" si="187"/>
        <v>Under Budget</v>
      </c>
      <c r="O2434" s="38">
        <f t="shared" si="188"/>
        <v>-3401.71</v>
      </c>
      <c r="P2434" s="39">
        <f t="shared" si="189"/>
        <v>45870</v>
      </c>
    </row>
    <row r="2435" spans="1:16" ht="15.5" x14ac:dyDescent="0.35">
      <c r="A2435" s="17" t="s">
        <v>2483</v>
      </c>
      <c r="B2435" s="35">
        <v>45866</v>
      </c>
      <c r="C2435" s="17" t="s">
        <v>12</v>
      </c>
      <c r="D2435" s="17" t="s">
        <v>19</v>
      </c>
      <c r="E2435" s="17" t="s">
        <v>45</v>
      </c>
      <c r="F2435" s="17" t="s">
        <v>28</v>
      </c>
      <c r="G2435" s="17" t="s">
        <v>38</v>
      </c>
      <c r="H2435" s="17" t="s">
        <v>2587</v>
      </c>
      <c r="I2435" s="17" t="s">
        <v>17</v>
      </c>
      <c r="J2435" s="36">
        <v>6923.08</v>
      </c>
      <c r="K2435" s="36">
        <v>12515.94</v>
      </c>
      <c r="L2435" s="36">
        <f t="shared" ref="L2435:L2498" si="190">K2435-J2435</f>
        <v>5592.8600000000006</v>
      </c>
      <c r="M2435" s="37">
        <f t="shared" ref="M2435:M2498" si="191">IF(J2435=0,0,L2435/J2435)</f>
        <v>0.80785719650791277</v>
      </c>
      <c r="N2435" s="17" t="str">
        <f t="shared" ref="N2435:N2498" si="192">IF(J2435=0,"No Budget",IF(K2435&gt;J2435,"Over Budget",IF(K2435&lt;J2435,"Under Budget","On Budget")))</f>
        <v>Over Budget</v>
      </c>
      <c r="O2435" s="38">
        <f t="shared" ref="O2435:O2498" si="193">IF(C2435="Revenue",K2435,-K2435)</f>
        <v>-12515.94</v>
      </c>
      <c r="P2435" s="39">
        <f t="shared" ref="P2435:P2498" si="194">DATE(YEAR(B2435),MONTH(B2435),1)</f>
        <v>45839</v>
      </c>
    </row>
    <row r="2436" spans="1:16" ht="15.5" x14ac:dyDescent="0.35">
      <c r="A2436" s="17" t="s">
        <v>2484</v>
      </c>
      <c r="B2436" s="35">
        <v>46025</v>
      </c>
      <c r="C2436" s="17" t="s">
        <v>25</v>
      </c>
      <c r="D2436" s="17" t="s">
        <v>13</v>
      </c>
      <c r="E2436" s="17" t="s">
        <v>33</v>
      </c>
      <c r="F2436" s="17" t="s">
        <v>34</v>
      </c>
      <c r="G2436" s="17" t="s">
        <v>38</v>
      </c>
      <c r="H2436" s="17" t="s">
        <v>2590</v>
      </c>
      <c r="I2436" s="17" t="s">
        <v>48</v>
      </c>
      <c r="J2436" s="36">
        <v>11547.62</v>
      </c>
      <c r="K2436" s="36">
        <v>17525.88</v>
      </c>
      <c r="L2436" s="36">
        <f t="shared" si="190"/>
        <v>5978.26</v>
      </c>
      <c r="M2436" s="37">
        <f t="shared" si="191"/>
        <v>0.51770494699340641</v>
      </c>
      <c r="N2436" s="17" t="str">
        <f t="shared" si="192"/>
        <v>Over Budget</v>
      </c>
      <c r="O2436" s="38">
        <f t="shared" si="193"/>
        <v>17525.88</v>
      </c>
      <c r="P2436" s="39">
        <f t="shared" si="194"/>
        <v>46023</v>
      </c>
    </row>
    <row r="2437" spans="1:16" ht="15.5" x14ac:dyDescent="0.35">
      <c r="A2437" s="17" t="s">
        <v>2485</v>
      </c>
      <c r="B2437" s="35">
        <v>46004</v>
      </c>
      <c r="C2437" s="17" t="s">
        <v>25</v>
      </c>
      <c r="D2437" s="17" t="s">
        <v>13</v>
      </c>
      <c r="E2437" s="17" t="s">
        <v>169</v>
      </c>
      <c r="F2437" s="17" t="s">
        <v>15</v>
      </c>
      <c r="G2437" s="17" t="s">
        <v>43</v>
      </c>
      <c r="H2437" s="17" t="s">
        <v>2586</v>
      </c>
      <c r="I2437" s="17" t="s">
        <v>39</v>
      </c>
      <c r="J2437" s="36">
        <v>3500</v>
      </c>
      <c r="K2437" s="36">
        <v>1658.03</v>
      </c>
      <c r="L2437" s="36">
        <f t="shared" si="190"/>
        <v>-1841.97</v>
      </c>
      <c r="M2437" s="37">
        <f t="shared" si="191"/>
        <v>-0.52627714285714289</v>
      </c>
      <c r="N2437" s="17" t="str">
        <f t="shared" si="192"/>
        <v>Under Budget</v>
      </c>
      <c r="O2437" s="38">
        <f t="shared" si="193"/>
        <v>1658.03</v>
      </c>
      <c r="P2437" s="39">
        <f t="shared" si="194"/>
        <v>45992</v>
      </c>
    </row>
    <row r="2438" spans="1:16" ht="15.5" x14ac:dyDescent="0.35">
      <c r="A2438" s="17" t="s">
        <v>2486</v>
      </c>
      <c r="B2438" s="35">
        <v>45956</v>
      </c>
      <c r="C2438" s="17" t="s">
        <v>12</v>
      </c>
      <c r="D2438" s="17" t="s">
        <v>19</v>
      </c>
      <c r="E2438" s="17" t="s">
        <v>37</v>
      </c>
      <c r="F2438" s="17" t="s">
        <v>28</v>
      </c>
      <c r="G2438" s="17" t="s">
        <v>29</v>
      </c>
      <c r="H2438" s="17" t="s">
        <v>2593</v>
      </c>
      <c r="I2438" s="17" t="s">
        <v>48</v>
      </c>
      <c r="J2438" s="36">
        <v>3500</v>
      </c>
      <c r="K2438" s="36">
        <v>1104.3699999999999</v>
      </c>
      <c r="L2438" s="36">
        <f t="shared" si="190"/>
        <v>-2395.63</v>
      </c>
      <c r="M2438" s="37">
        <f t="shared" si="191"/>
        <v>-0.68446571428571434</v>
      </c>
      <c r="N2438" s="17" t="str">
        <f t="shared" si="192"/>
        <v>Under Budget</v>
      </c>
      <c r="O2438" s="38">
        <f t="shared" si="193"/>
        <v>-1104.3699999999999</v>
      </c>
      <c r="P2438" s="39">
        <f t="shared" si="194"/>
        <v>45931</v>
      </c>
    </row>
    <row r="2439" spans="1:16" ht="15.5" x14ac:dyDescent="0.35">
      <c r="A2439" s="17" t="s">
        <v>2487</v>
      </c>
      <c r="B2439" s="35">
        <v>45829</v>
      </c>
      <c r="C2439" s="17" t="s">
        <v>12</v>
      </c>
      <c r="D2439" s="17" t="s">
        <v>19</v>
      </c>
      <c r="E2439" s="17" t="s">
        <v>45</v>
      </c>
      <c r="F2439" s="17" t="s">
        <v>52</v>
      </c>
      <c r="G2439" s="17" t="s">
        <v>22</v>
      </c>
      <c r="H2439" s="17" t="s">
        <v>2597</v>
      </c>
      <c r="I2439" s="17" t="s">
        <v>30</v>
      </c>
      <c r="J2439" s="36">
        <v>6428.57</v>
      </c>
      <c r="K2439" s="36">
        <v>16562.77</v>
      </c>
      <c r="L2439" s="36">
        <f t="shared" si="190"/>
        <v>10134.200000000001</v>
      </c>
      <c r="M2439" s="37">
        <f t="shared" si="191"/>
        <v>1.5764314614292139</v>
      </c>
      <c r="N2439" s="17" t="str">
        <f t="shared" si="192"/>
        <v>Over Budget</v>
      </c>
      <c r="O2439" s="38">
        <f t="shared" si="193"/>
        <v>-16562.77</v>
      </c>
      <c r="P2439" s="39">
        <f t="shared" si="194"/>
        <v>45809</v>
      </c>
    </row>
    <row r="2440" spans="1:16" ht="15.5" x14ac:dyDescent="0.35">
      <c r="A2440" s="17" t="s">
        <v>2488</v>
      </c>
      <c r="B2440" s="35">
        <v>45717</v>
      </c>
      <c r="C2440" s="17" t="s">
        <v>12</v>
      </c>
      <c r="D2440" s="17" t="s">
        <v>2585</v>
      </c>
      <c r="E2440" s="17" t="s">
        <v>41</v>
      </c>
      <c r="F2440" s="17" t="s">
        <v>34</v>
      </c>
      <c r="G2440" s="17" t="s">
        <v>38</v>
      </c>
      <c r="H2440" s="17" t="s">
        <v>80</v>
      </c>
      <c r="I2440" s="17" t="s">
        <v>48</v>
      </c>
      <c r="J2440" s="36">
        <v>5000</v>
      </c>
      <c r="K2440" s="36">
        <v>4430.91</v>
      </c>
      <c r="L2440" s="36">
        <f t="shared" si="190"/>
        <v>-569.09000000000015</v>
      </c>
      <c r="M2440" s="37">
        <f t="shared" si="191"/>
        <v>-0.11381800000000003</v>
      </c>
      <c r="N2440" s="17" t="str">
        <f t="shared" si="192"/>
        <v>Under Budget</v>
      </c>
      <c r="O2440" s="38">
        <f t="shared" si="193"/>
        <v>-4430.91</v>
      </c>
      <c r="P2440" s="39">
        <f t="shared" si="194"/>
        <v>45717</v>
      </c>
    </row>
    <row r="2441" spans="1:16" ht="15.5" x14ac:dyDescent="0.35">
      <c r="A2441" s="17" t="s">
        <v>2489</v>
      </c>
      <c r="B2441" s="35">
        <v>46174</v>
      </c>
      <c r="C2441" s="17" t="s">
        <v>12</v>
      </c>
      <c r="D2441" s="17" t="s">
        <v>26</v>
      </c>
      <c r="E2441" s="17" t="s">
        <v>45</v>
      </c>
      <c r="F2441" s="17" t="s">
        <v>52</v>
      </c>
      <c r="G2441" s="17" t="s">
        <v>29</v>
      </c>
      <c r="H2441" s="17" t="s">
        <v>2590</v>
      </c>
      <c r="I2441" s="17" t="s">
        <v>48</v>
      </c>
      <c r="J2441" s="36">
        <v>8571.43</v>
      </c>
      <c r="K2441" s="36">
        <v>926.25</v>
      </c>
      <c r="L2441" s="36">
        <f t="shared" si="190"/>
        <v>-7645.18</v>
      </c>
      <c r="M2441" s="37">
        <f t="shared" si="191"/>
        <v>-0.89193751801041365</v>
      </c>
      <c r="N2441" s="17" t="str">
        <f t="shared" si="192"/>
        <v>Under Budget</v>
      </c>
      <c r="O2441" s="38">
        <f t="shared" si="193"/>
        <v>-926.25</v>
      </c>
      <c r="P2441" s="39">
        <f t="shared" si="194"/>
        <v>46174</v>
      </c>
    </row>
    <row r="2442" spans="1:16" ht="15.5" x14ac:dyDescent="0.35">
      <c r="A2442" s="17" t="s">
        <v>2490</v>
      </c>
      <c r="B2442" s="35">
        <v>46107</v>
      </c>
      <c r="C2442" s="17" t="s">
        <v>12</v>
      </c>
      <c r="D2442" s="17" t="s">
        <v>2584</v>
      </c>
      <c r="E2442" s="17" t="s">
        <v>45</v>
      </c>
      <c r="F2442" s="17" t="s">
        <v>21</v>
      </c>
      <c r="G2442" s="17" t="s">
        <v>38</v>
      </c>
      <c r="H2442" s="17" t="s">
        <v>2593</v>
      </c>
      <c r="I2442" s="17" t="s">
        <v>39</v>
      </c>
      <c r="J2442" s="36">
        <v>7200</v>
      </c>
      <c r="K2442" s="36">
        <v>14639.16</v>
      </c>
      <c r="L2442" s="36">
        <f t="shared" si="190"/>
        <v>7439.16</v>
      </c>
      <c r="M2442" s="37">
        <f t="shared" si="191"/>
        <v>1.0332166666666667</v>
      </c>
      <c r="N2442" s="17" t="str">
        <f t="shared" si="192"/>
        <v>Over Budget</v>
      </c>
      <c r="O2442" s="38">
        <f t="shared" si="193"/>
        <v>-14639.16</v>
      </c>
      <c r="P2442" s="39">
        <f t="shared" si="194"/>
        <v>46082</v>
      </c>
    </row>
    <row r="2443" spans="1:16" ht="15.5" x14ac:dyDescent="0.35">
      <c r="A2443" s="17" t="s">
        <v>2491</v>
      </c>
      <c r="B2443" s="35">
        <v>46098</v>
      </c>
      <c r="C2443" s="17" t="s">
        <v>12</v>
      </c>
      <c r="D2443" s="17" t="s">
        <v>19</v>
      </c>
      <c r="E2443" s="17" t="s">
        <v>65</v>
      </c>
      <c r="F2443" s="17" t="s">
        <v>21</v>
      </c>
      <c r="G2443" s="17" t="s">
        <v>29</v>
      </c>
      <c r="H2443" s="17" t="s">
        <v>2592</v>
      </c>
      <c r="I2443" s="17" t="s">
        <v>30</v>
      </c>
      <c r="J2443" s="36">
        <v>5000</v>
      </c>
      <c r="K2443" s="36">
        <v>5165.37</v>
      </c>
      <c r="L2443" s="36">
        <f t="shared" si="190"/>
        <v>165.36999999999989</v>
      </c>
      <c r="M2443" s="37">
        <f t="shared" si="191"/>
        <v>3.3073999999999978E-2</v>
      </c>
      <c r="N2443" s="17" t="str">
        <f t="shared" si="192"/>
        <v>Over Budget</v>
      </c>
      <c r="O2443" s="38">
        <f t="shared" si="193"/>
        <v>-5165.37</v>
      </c>
      <c r="P2443" s="39">
        <f t="shared" si="194"/>
        <v>46082</v>
      </c>
    </row>
    <row r="2444" spans="1:16" ht="15.5" x14ac:dyDescent="0.35">
      <c r="A2444" s="17" t="s">
        <v>2492</v>
      </c>
      <c r="B2444" s="35">
        <v>45848</v>
      </c>
      <c r="C2444" s="17" t="s">
        <v>25</v>
      </c>
      <c r="D2444" s="17" t="s">
        <v>36</v>
      </c>
      <c r="E2444" s="17" t="s">
        <v>33</v>
      </c>
      <c r="F2444" s="17" t="s">
        <v>21</v>
      </c>
      <c r="G2444" s="17" t="s">
        <v>43</v>
      </c>
      <c r="H2444" s="17" t="s">
        <v>2586</v>
      </c>
      <c r="I2444" s="17" t="s">
        <v>39</v>
      </c>
      <c r="J2444" s="36">
        <v>12500</v>
      </c>
      <c r="K2444" s="36">
        <v>1249.02</v>
      </c>
      <c r="L2444" s="36">
        <f t="shared" si="190"/>
        <v>-11250.98</v>
      </c>
      <c r="M2444" s="37">
        <f t="shared" si="191"/>
        <v>-0.90007839999999995</v>
      </c>
      <c r="N2444" s="17" t="str">
        <f t="shared" si="192"/>
        <v>Under Budget</v>
      </c>
      <c r="O2444" s="38">
        <f t="shared" si="193"/>
        <v>1249.02</v>
      </c>
      <c r="P2444" s="39">
        <f t="shared" si="194"/>
        <v>45839</v>
      </c>
    </row>
    <row r="2445" spans="1:16" ht="15.5" x14ac:dyDescent="0.35">
      <c r="A2445" s="17" t="s">
        <v>2493</v>
      </c>
      <c r="B2445" s="35">
        <v>45726</v>
      </c>
      <c r="C2445" s="17" t="s">
        <v>12</v>
      </c>
      <c r="D2445" s="17" t="s">
        <v>2584</v>
      </c>
      <c r="E2445" s="17" t="s">
        <v>77</v>
      </c>
      <c r="F2445" s="17" t="s">
        <v>52</v>
      </c>
      <c r="G2445" s="17" t="s">
        <v>16</v>
      </c>
      <c r="H2445" s="17" t="s">
        <v>2593</v>
      </c>
      <c r="I2445" s="17" t="s">
        <v>23</v>
      </c>
      <c r="J2445" s="36">
        <v>3142.86</v>
      </c>
      <c r="K2445" s="36">
        <v>2356.85</v>
      </c>
      <c r="L2445" s="36">
        <f t="shared" si="190"/>
        <v>-786.01000000000022</v>
      </c>
      <c r="M2445" s="37">
        <f t="shared" si="191"/>
        <v>-0.25009386355103319</v>
      </c>
      <c r="N2445" s="17" t="str">
        <f t="shared" si="192"/>
        <v>Under Budget</v>
      </c>
      <c r="O2445" s="38">
        <f t="shared" si="193"/>
        <v>-2356.85</v>
      </c>
      <c r="P2445" s="39">
        <f t="shared" si="194"/>
        <v>45717</v>
      </c>
    </row>
    <row r="2446" spans="1:16" ht="15.5" x14ac:dyDescent="0.35">
      <c r="A2446" s="17" t="s">
        <v>2494</v>
      </c>
      <c r="B2446" s="35">
        <v>45777</v>
      </c>
      <c r="C2446" s="17" t="s">
        <v>25</v>
      </c>
      <c r="D2446" s="17" t="s">
        <v>32</v>
      </c>
      <c r="E2446" s="17" t="s">
        <v>33</v>
      </c>
      <c r="F2446" s="17" t="s">
        <v>15</v>
      </c>
      <c r="G2446" s="17" t="s">
        <v>16</v>
      </c>
      <c r="H2446" s="17" t="s">
        <v>2588</v>
      </c>
      <c r="I2446" s="17" t="s">
        <v>23</v>
      </c>
      <c r="J2446" s="36">
        <v>11363.64</v>
      </c>
      <c r="K2446" s="36">
        <v>751.92</v>
      </c>
      <c r="L2446" s="36">
        <f t="shared" si="190"/>
        <v>-10611.72</v>
      </c>
      <c r="M2446" s="37">
        <f t="shared" si="191"/>
        <v>-0.93383106117406045</v>
      </c>
      <c r="N2446" s="17" t="str">
        <f t="shared" si="192"/>
        <v>Under Budget</v>
      </c>
      <c r="O2446" s="38">
        <f t="shared" si="193"/>
        <v>751.92</v>
      </c>
      <c r="P2446" s="39">
        <f t="shared" si="194"/>
        <v>45748</v>
      </c>
    </row>
    <row r="2447" spans="1:16" ht="15.5" x14ac:dyDescent="0.35">
      <c r="A2447" s="17" t="s">
        <v>2495</v>
      </c>
      <c r="B2447" s="35">
        <v>45813</v>
      </c>
      <c r="C2447" s="17" t="s">
        <v>12</v>
      </c>
      <c r="D2447" s="17" t="s">
        <v>2584</v>
      </c>
      <c r="E2447" s="17" t="s">
        <v>45</v>
      </c>
      <c r="F2447" s="17" t="s">
        <v>34</v>
      </c>
      <c r="G2447" s="17" t="s">
        <v>29</v>
      </c>
      <c r="H2447" s="17" t="s">
        <v>2597</v>
      </c>
      <c r="I2447" s="17" t="s">
        <v>23</v>
      </c>
      <c r="J2447" s="36">
        <v>6428.57</v>
      </c>
      <c r="K2447" s="36">
        <v>2645.51</v>
      </c>
      <c r="L2447" s="36">
        <f t="shared" si="190"/>
        <v>-3783.0599999999995</v>
      </c>
      <c r="M2447" s="37">
        <f t="shared" si="191"/>
        <v>-0.5884761307724734</v>
      </c>
      <c r="N2447" s="17" t="str">
        <f t="shared" si="192"/>
        <v>Under Budget</v>
      </c>
      <c r="O2447" s="38">
        <f t="shared" si="193"/>
        <v>-2645.51</v>
      </c>
      <c r="P2447" s="39">
        <f t="shared" si="194"/>
        <v>45809</v>
      </c>
    </row>
    <row r="2448" spans="1:16" ht="15.5" x14ac:dyDescent="0.35">
      <c r="A2448" s="17" t="s">
        <v>2496</v>
      </c>
      <c r="B2448" s="35">
        <v>45668</v>
      </c>
      <c r="C2448" s="17" t="s">
        <v>12</v>
      </c>
      <c r="D2448" s="17" t="s">
        <v>19</v>
      </c>
      <c r="E2448" s="17" t="s">
        <v>74</v>
      </c>
      <c r="F2448" s="17" t="s">
        <v>34</v>
      </c>
      <c r="G2448" s="17" t="s">
        <v>82</v>
      </c>
      <c r="H2448" s="17" t="s">
        <v>60</v>
      </c>
      <c r="I2448" s="17" t="s">
        <v>23</v>
      </c>
      <c r="J2448" s="36">
        <v>5542.86</v>
      </c>
      <c r="K2448" s="36">
        <v>5163.42</v>
      </c>
      <c r="L2448" s="36">
        <f t="shared" si="190"/>
        <v>-379.4399999999996</v>
      </c>
      <c r="M2448" s="37">
        <f t="shared" si="191"/>
        <v>-6.8455634816683014E-2</v>
      </c>
      <c r="N2448" s="17" t="str">
        <f t="shared" si="192"/>
        <v>Under Budget</v>
      </c>
      <c r="O2448" s="38">
        <f t="shared" si="193"/>
        <v>-5163.42</v>
      </c>
      <c r="P2448" s="39">
        <f t="shared" si="194"/>
        <v>45658</v>
      </c>
    </row>
    <row r="2449" spans="1:16" ht="15.5" x14ac:dyDescent="0.35">
      <c r="A2449" s="17" t="s">
        <v>2497</v>
      </c>
      <c r="B2449" s="35">
        <v>45767</v>
      </c>
      <c r="C2449" s="17" t="s">
        <v>12</v>
      </c>
      <c r="D2449" s="17" t="s">
        <v>26</v>
      </c>
      <c r="E2449" s="17" t="s">
        <v>45</v>
      </c>
      <c r="F2449" s="17" t="s">
        <v>28</v>
      </c>
      <c r="G2449" s="17" t="s">
        <v>38</v>
      </c>
      <c r="H2449" s="17" t="s">
        <v>2586</v>
      </c>
      <c r="I2449" s="17" t="s">
        <v>23</v>
      </c>
      <c r="J2449" s="36">
        <v>13846.15</v>
      </c>
      <c r="K2449" s="36">
        <v>4517.04</v>
      </c>
      <c r="L2449" s="36">
        <f t="shared" si="190"/>
        <v>-9329.11</v>
      </c>
      <c r="M2449" s="37">
        <f t="shared" si="191"/>
        <v>-0.67376924271367855</v>
      </c>
      <c r="N2449" s="17" t="str">
        <f t="shared" si="192"/>
        <v>Under Budget</v>
      </c>
      <c r="O2449" s="38">
        <f t="shared" si="193"/>
        <v>-4517.04</v>
      </c>
      <c r="P2449" s="39">
        <f t="shared" si="194"/>
        <v>45748</v>
      </c>
    </row>
    <row r="2450" spans="1:16" ht="15.5" x14ac:dyDescent="0.35">
      <c r="A2450" s="17" t="s">
        <v>2498</v>
      </c>
      <c r="B2450" s="35">
        <v>45930</v>
      </c>
      <c r="C2450" s="17" t="s">
        <v>12</v>
      </c>
      <c r="D2450" s="17" t="s">
        <v>26</v>
      </c>
      <c r="E2450" s="17" t="s">
        <v>45</v>
      </c>
      <c r="F2450" s="17" t="s">
        <v>28</v>
      </c>
      <c r="G2450" s="17" t="s">
        <v>38</v>
      </c>
      <c r="H2450" s="17" t="s">
        <v>2589</v>
      </c>
      <c r="I2450" s="17" t="s">
        <v>30</v>
      </c>
      <c r="J2450" s="36">
        <v>7500</v>
      </c>
      <c r="K2450" s="36">
        <v>6254.95</v>
      </c>
      <c r="L2450" s="36">
        <f t="shared" si="190"/>
        <v>-1245.0500000000002</v>
      </c>
      <c r="M2450" s="37">
        <f t="shared" si="191"/>
        <v>-0.16600666666666669</v>
      </c>
      <c r="N2450" s="17" t="str">
        <f t="shared" si="192"/>
        <v>Under Budget</v>
      </c>
      <c r="O2450" s="38">
        <f t="shared" si="193"/>
        <v>-6254.95</v>
      </c>
      <c r="P2450" s="39">
        <f t="shared" si="194"/>
        <v>45901</v>
      </c>
    </row>
    <row r="2451" spans="1:16" ht="15.5" x14ac:dyDescent="0.35">
      <c r="A2451" s="17" t="s">
        <v>2499</v>
      </c>
      <c r="B2451" s="35">
        <v>46171</v>
      </c>
      <c r="C2451" s="17" t="s">
        <v>25</v>
      </c>
      <c r="D2451" s="17" t="s">
        <v>13</v>
      </c>
      <c r="E2451" s="17" t="s">
        <v>109</v>
      </c>
      <c r="F2451" s="17" t="s">
        <v>52</v>
      </c>
      <c r="G2451" s="17" t="s">
        <v>22</v>
      </c>
      <c r="H2451" s="17" t="s">
        <v>2589</v>
      </c>
      <c r="I2451" s="17" t="s">
        <v>48</v>
      </c>
      <c r="J2451" s="36">
        <v>5882.35</v>
      </c>
      <c r="K2451" s="36">
        <v>8494.16</v>
      </c>
      <c r="L2451" s="36">
        <f t="shared" si="190"/>
        <v>2611.8099999999995</v>
      </c>
      <c r="M2451" s="37">
        <f t="shared" si="191"/>
        <v>0.44400792200396089</v>
      </c>
      <c r="N2451" s="17" t="str">
        <f t="shared" si="192"/>
        <v>Over Budget</v>
      </c>
      <c r="O2451" s="38">
        <f t="shared" si="193"/>
        <v>8494.16</v>
      </c>
      <c r="P2451" s="39">
        <f t="shared" si="194"/>
        <v>46143</v>
      </c>
    </row>
    <row r="2452" spans="1:16" ht="15.5" x14ac:dyDescent="0.35">
      <c r="A2452" s="17" t="s">
        <v>2500</v>
      </c>
      <c r="B2452" s="35">
        <v>46106</v>
      </c>
      <c r="C2452" s="17" t="s">
        <v>12</v>
      </c>
      <c r="D2452" s="17" t="s">
        <v>2585</v>
      </c>
      <c r="E2452" s="17" t="s">
        <v>74</v>
      </c>
      <c r="F2452" s="17" t="s">
        <v>34</v>
      </c>
      <c r="G2452" s="17" t="s">
        <v>29</v>
      </c>
      <c r="H2452" s="17" t="s">
        <v>2590</v>
      </c>
      <c r="I2452" s="17" t="s">
        <v>30</v>
      </c>
      <c r="J2452" s="36">
        <v>5000</v>
      </c>
      <c r="K2452" s="36">
        <v>547.82000000000005</v>
      </c>
      <c r="L2452" s="36">
        <f t="shared" si="190"/>
        <v>-4452.18</v>
      </c>
      <c r="M2452" s="37">
        <f t="shared" si="191"/>
        <v>-0.89043600000000001</v>
      </c>
      <c r="N2452" s="17" t="str">
        <f t="shared" si="192"/>
        <v>Under Budget</v>
      </c>
      <c r="O2452" s="38">
        <f t="shared" si="193"/>
        <v>-547.82000000000005</v>
      </c>
      <c r="P2452" s="39">
        <f t="shared" si="194"/>
        <v>46082</v>
      </c>
    </row>
    <row r="2453" spans="1:16" ht="15.5" x14ac:dyDescent="0.35">
      <c r="A2453" s="17" t="s">
        <v>2501</v>
      </c>
      <c r="B2453" s="35">
        <v>45967</v>
      </c>
      <c r="C2453" s="17" t="s">
        <v>25</v>
      </c>
      <c r="D2453" s="17" t="s">
        <v>13</v>
      </c>
      <c r="E2453" s="17" t="s">
        <v>33</v>
      </c>
      <c r="F2453" s="17" t="s">
        <v>28</v>
      </c>
      <c r="G2453" s="17" t="s">
        <v>38</v>
      </c>
      <c r="H2453" s="17" t="s">
        <v>2598</v>
      </c>
      <c r="I2453" s="17" t="s">
        <v>23</v>
      </c>
      <c r="J2453" s="36">
        <v>13125</v>
      </c>
      <c r="K2453" s="36">
        <v>12455.35</v>
      </c>
      <c r="L2453" s="36">
        <f t="shared" si="190"/>
        <v>-669.64999999999964</v>
      </c>
      <c r="M2453" s="37">
        <f t="shared" si="191"/>
        <v>-5.1020952380952354E-2</v>
      </c>
      <c r="N2453" s="17" t="str">
        <f t="shared" si="192"/>
        <v>Under Budget</v>
      </c>
      <c r="O2453" s="38">
        <f t="shared" si="193"/>
        <v>12455.35</v>
      </c>
      <c r="P2453" s="39">
        <f t="shared" si="194"/>
        <v>45962</v>
      </c>
    </row>
    <row r="2454" spans="1:16" ht="15.5" x14ac:dyDescent="0.35">
      <c r="A2454" s="17" t="s">
        <v>2502</v>
      </c>
      <c r="B2454" s="35">
        <v>45998</v>
      </c>
      <c r="C2454" s="17" t="s">
        <v>12</v>
      </c>
      <c r="D2454" s="17" t="s">
        <v>13</v>
      </c>
      <c r="E2454" s="17" t="s">
        <v>45</v>
      </c>
      <c r="F2454" s="17" t="s">
        <v>21</v>
      </c>
      <c r="G2454" s="17" t="s">
        <v>16</v>
      </c>
      <c r="H2454" s="17" t="s">
        <v>80</v>
      </c>
      <c r="I2454" s="17" t="s">
        <v>23</v>
      </c>
      <c r="J2454" s="36">
        <v>7875</v>
      </c>
      <c r="K2454" s="36">
        <v>11729.82</v>
      </c>
      <c r="L2454" s="36">
        <f t="shared" si="190"/>
        <v>3854.8199999999997</v>
      </c>
      <c r="M2454" s="37">
        <f t="shared" si="191"/>
        <v>0.48950095238095237</v>
      </c>
      <c r="N2454" s="17" t="str">
        <f t="shared" si="192"/>
        <v>Over Budget</v>
      </c>
      <c r="O2454" s="38">
        <f t="shared" si="193"/>
        <v>-11729.82</v>
      </c>
      <c r="P2454" s="39">
        <f t="shared" si="194"/>
        <v>45992</v>
      </c>
    </row>
    <row r="2455" spans="1:16" ht="15.5" x14ac:dyDescent="0.35">
      <c r="A2455" s="17" t="s">
        <v>2503</v>
      </c>
      <c r="B2455" s="35">
        <v>45924</v>
      </c>
      <c r="C2455" s="17" t="s">
        <v>25</v>
      </c>
      <c r="D2455" s="17" t="s">
        <v>19</v>
      </c>
      <c r="E2455" s="17" t="s">
        <v>109</v>
      </c>
      <c r="F2455" s="17" t="s">
        <v>21</v>
      </c>
      <c r="G2455" s="17" t="s">
        <v>43</v>
      </c>
      <c r="H2455" s="17" t="s">
        <v>2597</v>
      </c>
      <c r="I2455" s="17" t="s">
        <v>30</v>
      </c>
      <c r="J2455" s="36">
        <v>7142.86</v>
      </c>
      <c r="K2455" s="36">
        <v>6294.34</v>
      </c>
      <c r="L2455" s="36">
        <f t="shared" si="190"/>
        <v>-848.51999999999953</v>
      </c>
      <c r="M2455" s="37">
        <f t="shared" si="191"/>
        <v>-0.11879275248289894</v>
      </c>
      <c r="N2455" s="17" t="str">
        <f t="shared" si="192"/>
        <v>Under Budget</v>
      </c>
      <c r="O2455" s="38">
        <f t="shared" si="193"/>
        <v>6294.34</v>
      </c>
      <c r="P2455" s="39">
        <f t="shared" si="194"/>
        <v>45901</v>
      </c>
    </row>
    <row r="2456" spans="1:16" ht="15.5" x14ac:dyDescent="0.35">
      <c r="A2456" s="17" t="s">
        <v>2504</v>
      </c>
      <c r="B2456" s="35">
        <v>45757</v>
      </c>
      <c r="C2456" s="17" t="s">
        <v>25</v>
      </c>
      <c r="D2456" s="17" t="s">
        <v>13</v>
      </c>
      <c r="E2456" s="17" t="s">
        <v>27</v>
      </c>
      <c r="F2456" s="17" t="s">
        <v>15</v>
      </c>
      <c r="G2456" s="17" t="s">
        <v>38</v>
      </c>
      <c r="H2456" s="17" t="s">
        <v>2595</v>
      </c>
      <c r="I2456" s="17" t="s">
        <v>39</v>
      </c>
      <c r="J2456" s="36">
        <v>10000</v>
      </c>
      <c r="K2456" s="36">
        <v>5687.67</v>
      </c>
      <c r="L2456" s="36">
        <f t="shared" si="190"/>
        <v>-4312.33</v>
      </c>
      <c r="M2456" s="37">
        <f t="shared" si="191"/>
        <v>-0.43123299999999998</v>
      </c>
      <c r="N2456" s="17" t="str">
        <f t="shared" si="192"/>
        <v>Under Budget</v>
      </c>
      <c r="O2456" s="38">
        <f t="shared" si="193"/>
        <v>5687.67</v>
      </c>
      <c r="P2456" s="39">
        <f t="shared" si="194"/>
        <v>45748</v>
      </c>
    </row>
    <row r="2457" spans="1:16" ht="15.5" x14ac:dyDescent="0.35">
      <c r="A2457" s="17" t="s">
        <v>2505</v>
      </c>
      <c r="B2457" s="35">
        <v>45821</v>
      </c>
      <c r="C2457" s="17" t="s">
        <v>12</v>
      </c>
      <c r="D2457" s="17" t="s">
        <v>36</v>
      </c>
      <c r="E2457" s="17" t="s">
        <v>45</v>
      </c>
      <c r="F2457" s="17" t="s">
        <v>34</v>
      </c>
      <c r="G2457" s="17" t="s">
        <v>82</v>
      </c>
      <c r="H2457" s="17" t="s">
        <v>2598</v>
      </c>
      <c r="I2457" s="17" t="s">
        <v>48</v>
      </c>
      <c r="J2457" s="36">
        <v>6428.57</v>
      </c>
      <c r="K2457" s="36">
        <v>1418.4</v>
      </c>
      <c r="L2457" s="36">
        <f t="shared" si="190"/>
        <v>-5010.17</v>
      </c>
      <c r="M2457" s="37">
        <f t="shared" si="191"/>
        <v>-0.779359950968878</v>
      </c>
      <c r="N2457" s="17" t="str">
        <f t="shared" si="192"/>
        <v>Under Budget</v>
      </c>
      <c r="O2457" s="38">
        <f t="shared" si="193"/>
        <v>-1418.4</v>
      </c>
      <c r="P2457" s="39">
        <f t="shared" si="194"/>
        <v>45809</v>
      </c>
    </row>
    <row r="2458" spans="1:16" ht="15.5" x14ac:dyDescent="0.35">
      <c r="A2458" s="17" t="s">
        <v>2506</v>
      </c>
      <c r="B2458" s="35">
        <v>45763</v>
      </c>
      <c r="C2458" s="17" t="s">
        <v>25</v>
      </c>
      <c r="D2458" s="17" t="s">
        <v>32</v>
      </c>
      <c r="E2458" s="17" t="s">
        <v>33</v>
      </c>
      <c r="F2458" s="17" t="s">
        <v>15</v>
      </c>
      <c r="G2458" s="17" t="s">
        <v>22</v>
      </c>
      <c r="H2458" s="17" t="s">
        <v>2590</v>
      </c>
      <c r="I2458" s="17" t="s">
        <v>39</v>
      </c>
      <c r="J2458" s="36">
        <v>11363.64</v>
      </c>
      <c r="K2458" s="36">
        <v>14525.32</v>
      </c>
      <c r="L2458" s="36">
        <f t="shared" si="190"/>
        <v>3161.6800000000003</v>
      </c>
      <c r="M2458" s="37">
        <f t="shared" si="191"/>
        <v>0.27822775096711971</v>
      </c>
      <c r="N2458" s="17" t="str">
        <f t="shared" si="192"/>
        <v>Over Budget</v>
      </c>
      <c r="O2458" s="38">
        <f t="shared" si="193"/>
        <v>14525.32</v>
      </c>
      <c r="P2458" s="39">
        <f t="shared" si="194"/>
        <v>45748</v>
      </c>
    </row>
    <row r="2459" spans="1:16" ht="15.5" x14ac:dyDescent="0.35">
      <c r="A2459" s="17" t="s">
        <v>2507</v>
      </c>
      <c r="B2459" s="35">
        <v>46124</v>
      </c>
      <c r="C2459" s="17" t="s">
        <v>25</v>
      </c>
      <c r="D2459" s="17" t="s">
        <v>32</v>
      </c>
      <c r="E2459" s="17" t="s">
        <v>33</v>
      </c>
      <c r="F2459" s="17" t="s">
        <v>15</v>
      </c>
      <c r="G2459" s="17" t="s">
        <v>22</v>
      </c>
      <c r="H2459" s="17" t="s">
        <v>2591</v>
      </c>
      <c r="I2459" s="17" t="s">
        <v>48</v>
      </c>
      <c r="J2459" s="36">
        <v>8333.33</v>
      </c>
      <c r="K2459" s="36">
        <v>11242.37</v>
      </c>
      <c r="L2459" s="36">
        <f t="shared" si="190"/>
        <v>2909.0400000000009</v>
      </c>
      <c r="M2459" s="37">
        <f t="shared" si="191"/>
        <v>0.34908493963397597</v>
      </c>
      <c r="N2459" s="17" t="str">
        <f t="shared" si="192"/>
        <v>Over Budget</v>
      </c>
      <c r="O2459" s="38">
        <f t="shared" si="193"/>
        <v>11242.37</v>
      </c>
      <c r="P2459" s="39">
        <f t="shared" si="194"/>
        <v>46113</v>
      </c>
    </row>
    <row r="2460" spans="1:16" ht="15.5" x14ac:dyDescent="0.35">
      <c r="A2460" s="17" t="s">
        <v>2508</v>
      </c>
      <c r="B2460" s="35">
        <v>45916</v>
      </c>
      <c r="C2460" s="17" t="s">
        <v>25</v>
      </c>
      <c r="D2460" s="17" t="s">
        <v>32</v>
      </c>
      <c r="E2460" s="17" t="s">
        <v>169</v>
      </c>
      <c r="F2460" s="17" t="s">
        <v>52</v>
      </c>
      <c r="G2460" s="17" t="s">
        <v>38</v>
      </c>
      <c r="H2460" s="17" t="s">
        <v>2598</v>
      </c>
      <c r="I2460" s="17" t="s">
        <v>48</v>
      </c>
      <c r="J2460" s="36">
        <v>3333.33</v>
      </c>
      <c r="K2460" s="36">
        <v>3683.79</v>
      </c>
      <c r="L2460" s="36">
        <f t="shared" si="190"/>
        <v>350.46000000000004</v>
      </c>
      <c r="M2460" s="37">
        <f t="shared" si="191"/>
        <v>0.10513810513810515</v>
      </c>
      <c r="N2460" s="17" t="str">
        <f t="shared" si="192"/>
        <v>Over Budget</v>
      </c>
      <c r="O2460" s="38">
        <f t="shared" si="193"/>
        <v>3683.79</v>
      </c>
      <c r="P2460" s="39">
        <f t="shared" si="194"/>
        <v>45901</v>
      </c>
    </row>
    <row r="2461" spans="1:16" ht="15.5" x14ac:dyDescent="0.35">
      <c r="A2461" s="17" t="s">
        <v>2509</v>
      </c>
      <c r="B2461" s="35">
        <v>45916</v>
      </c>
      <c r="C2461" s="17" t="s">
        <v>25</v>
      </c>
      <c r="D2461" s="17" t="s">
        <v>32</v>
      </c>
      <c r="E2461" s="17" t="s">
        <v>109</v>
      </c>
      <c r="F2461" s="17" t="s">
        <v>34</v>
      </c>
      <c r="G2461" s="17" t="s">
        <v>43</v>
      </c>
      <c r="H2461" s="17" t="s">
        <v>80</v>
      </c>
      <c r="I2461" s="17" t="s">
        <v>23</v>
      </c>
      <c r="J2461" s="36">
        <v>7142.86</v>
      </c>
      <c r="K2461" s="36">
        <v>11224.74</v>
      </c>
      <c r="L2461" s="36">
        <f t="shared" si="190"/>
        <v>4081.88</v>
      </c>
      <c r="M2461" s="37">
        <f t="shared" si="191"/>
        <v>0.5714629714148115</v>
      </c>
      <c r="N2461" s="17" t="str">
        <f t="shared" si="192"/>
        <v>Over Budget</v>
      </c>
      <c r="O2461" s="38">
        <f t="shared" si="193"/>
        <v>11224.74</v>
      </c>
      <c r="P2461" s="39">
        <f t="shared" si="194"/>
        <v>45901</v>
      </c>
    </row>
    <row r="2462" spans="1:16" ht="15.5" x14ac:dyDescent="0.35">
      <c r="A2462" s="17" t="s">
        <v>2510</v>
      </c>
      <c r="B2462" s="35">
        <v>45928</v>
      </c>
      <c r="C2462" s="17" t="s">
        <v>12</v>
      </c>
      <c r="D2462" s="17" t="s">
        <v>26</v>
      </c>
      <c r="E2462" s="17" t="s">
        <v>47</v>
      </c>
      <c r="F2462" s="17" t="s">
        <v>52</v>
      </c>
      <c r="G2462" s="17" t="s">
        <v>22</v>
      </c>
      <c r="H2462" s="17" t="s">
        <v>2593</v>
      </c>
      <c r="I2462" s="17" t="s">
        <v>48</v>
      </c>
      <c r="J2462" s="36">
        <v>3500</v>
      </c>
      <c r="K2462" s="36">
        <v>2125.31</v>
      </c>
      <c r="L2462" s="36">
        <f t="shared" si="190"/>
        <v>-1374.69</v>
      </c>
      <c r="M2462" s="37">
        <f t="shared" si="191"/>
        <v>-0.39276857142857147</v>
      </c>
      <c r="N2462" s="17" t="str">
        <f t="shared" si="192"/>
        <v>Under Budget</v>
      </c>
      <c r="O2462" s="38">
        <f t="shared" si="193"/>
        <v>-2125.31</v>
      </c>
      <c r="P2462" s="39">
        <f t="shared" si="194"/>
        <v>45901</v>
      </c>
    </row>
    <row r="2463" spans="1:16" ht="15.5" x14ac:dyDescent="0.35">
      <c r="A2463" s="17" t="s">
        <v>2511</v>
      </c>
      <c r="B2463" s="35">
        <v>46116</v>
      </c>
      <c r="C2463" s="17" t="s">
        <v>12</v>
      </c>
      <c r="D2463" s="17" t="s">
        <v>19</v>
      </c>
      <c r="E2463" s="17" t="s">
        <v>77</v>
      </c>
      <c r="F2463" s="17" t="s">
        <v>34</v>
      </c>
      <c r="G2463" s="17" t="s">
        <v>16</v>
      </c>
      <c r="H2463" s="17" t="s">
        <v>2587</v>
      </c>
      <c r="I2463" s="17" t="s">
        <v>23</v>
      </c>
      <c r="J2463" s="36">
        <v>2750</v>
      </c>
      <c r="K2463" s="36">
        <v>2872.1</v>
      </c>
      <c r="L2463" s="36">
        <f t="shared" si="190"/>
        <v>122.09999999999991</v>
      </c>
      <c r="M2463" s="37">
        <f t="shared" si="191"/>
        <v>4.4399999999999967E-2</v>
      </c>
      <c r="N2463" s="17" t="str">
        <f t="shared" si="192"/>
        <v>Over Budget</v>
      </c>
      <c r="O2463" s="38">
        <f t="shared" si="193"/>
        <v>-2872.1</v>
      </c>
      <c r="P2463" s="39">
        <f t="shared" si="194"/>
        <v>46113</v>
      </c>
    </row>
    <row r="2464" spans="1:16" ht="15.5" x14ac:dyDescent="0.35">
      <c r="A2464" s="17" t="s">
        <v>2512</v>
      </c>
      <c r="B2464" s="35">
        <v>45924</v>
      </c>
      <c r="C2464" s="17" t="s">
        <v>25</v>
      </c>
      <c r="D2464" s="17" t="s">
        <v>26</v>
      </c>
      <c r="E2464" s="17" t="s">
        <v>33</v>
      </c>
      <c r="F2464" s="17" t="s">
        <v>34</v>
      </c>
      <c r="G2464" s="17" t="s">
        <v>43</v>
      </c>
      <c r="H2464" s="17" t="s">
        <v>2591</v>
      </c>
      <c r="I2464" s="17" t="s">
        <v>23</v>
      </c>
      <c r="J2464" s="36">
        <v>11904.76</v>
      </c>
      <c r="K2464" s="36">
        <v>5136.72</v>
      </c>
      <c r="L2464" s="36">
        <f t="shared" si="190"/>
        <v>-6768.04</v>
      </c>
      <c r="M2464" s="37">
        <f t="shared" si="191"/>
        <v>-0.56851545096247214</v>
      </c>
      <c r="N2464" s="17" t="str">
        <f t="shared" si="192"/>
        <v>Under Budget</v>
      </c>
      <c r="O2464" s="38">
        <f t="shared" si="193"/>
        <v>5136.72</v>
      </c>
      <c r="P2464" s="39">
        <f t="shared" si="194"/>
        <v>45901</v>
      </c>
    </row>
    <row r="2465" spans="1:16" ht="15.5" x14ac:dyDescent="0.35">
      <c r="A2465" s="17" t="s">
        <v>2513</v>
      </c>
      <c r="B2465" s="35">
        <v>46101</v>
      </c>
      <c r="C2465" s="17" t="s">
        <v>12</v>
      </c>
      <c r="D2465" s="17" t="s">
        <v>19</v>
      </c>
      <c r="E2465" s="17" t="s">
        <v>41</v>
      </c>
      <c r="F2465" s="17" t="s">
        <v>21</v>
      </c>
      <c r="G2465" s="17" t="s">
        <v>38</v>
      </c>
      <c r="H2465" s="17" t="s">
        <v>2594</v>
      </c>
      <c r="I2465" s="17" t="s">
        <v>23</v>
      </c>
      <c r="J2465" s="36">
        <v>6500</v>
      </c>
      <c r="K2465" s="36">
        <v>5639.21</v>
      </c>
      <c r="L2465" s="36">
        <f t="shared" si="190"/>
        <v>-860.79</v>
      </c>
      <c r="M2465" s="37">
        <f t="shared" si="191"/>
        <v>-0.13242923076923077</v>
      </c>
      <c r="N2465" s="17" t="str">
        <f t="shared" si="192"/>
        <v>Under Budget</v>
      </c>
      <c r="O2465" s="38">
        <f t="shared" si="193"/>
        <v>-5639.21</v>
      </c>
      <c r="P2465" s="39">
        <f t="shared" si="194"/>
        <v>46082</v>
      </c>
    </row>
    <row r="2466" spans="1:16" ht="15.5" x14ac:dyDescent="0.35">
      <c r="A2466" s="17" t="s">
        <v>2514</v>
      </c>
      <c r="B2466" s="35">
        <v>45749</v>
      </c>
      <c r="C2466" s="17" t="s">
        <v>25</v>
      </c>
      <c r="D2466" s="17" t="s">
        <v>32</v>
      </c>
      <c r="E2466" s="17" t="s">
        <v>33</v>
      </c>
      <c r="F2466" s="17" t="s">
        <v>15</v>
      </c>
      <c r="G2466" s="17" t="s">
        <v>29</v>
      </c>
      <c r="H2466" s="17" t="s">
        <v>2592</v>
      </c>
      <c r="I2466" s="17" t="s">
        <v>48</v>
      </c>
      <c r="J2466" s="36">
        <v>11363.64</v>
      </c>
      <c r="K2466" s="36">
        <v>20766.68</v>
      </c>
      <c r="L2466" s="36">
        <f t="shared" si="190"/>
        <v>9403.0400000000009</v>
      </c>
      <c r="M2466" s="37">
        <f t="shared" si="191"/>
        <v>0.82746725521047848</v>
      </c>
      <c r="N2466" s="17" t="str">
        <f t="shared" si="192"/>
        <v>Over Budget</v>
      </c>
      <c r="O2466" s="38">
        <f t="shared" si="193"/>
        <v>20766.68</v>
      </c>
      <c r="P2466" s="39">
        <f t="shared" si="194"/>
        <v>45748</v>
      </c>
    </row>
    <row r="2467" spans="1:16" ht="15.5" x14ac:dyDescent="0.35">
      <c r="A2467" s="17" t="s">
        <v>2515</v>
      </c>
      <c r="B2467" s="35">
        <v>46192</v>
      </c>
      <c r="C2467" s="17" t="s">
        <v>12</v>
      </c>
      <c r="D2467" s="17" t="s">
        <v>26</v>
      </c>
      <c r="E2467" s="17" t="s">
        <v>65</v>
      </c>
      <c r="F2467" s="17" t="s">
        <v>34</v>
      </c>
      <c r="G2467" s="17" t="s">
        <v>43</v>
      </c>
      <c r="H2467" s="17" t="s">
        <v>2590</v>
      </c>
      <c r="I2467" s="17" t="s">
        <v>48</v>
      </c>
      <c r="J2467" s="36">
        <v>3666.67</v>
      </c>
      <c r="K2467" s="36">
        <v>2364.29</v>
      </c>
      <c r="L2467" s="36">
        <f t="shared" si="190"/>
        <v>-1302.3800000000001</v>
      </c>
      <c r="M2467" s="37">
        <f t="shared" si="191"/>
        <v>-0.35519422255070682</v>
      </c>
      <c r="N2467" s="17" t="str">
        <f t="shared" si="192"/>
        <v>Under Budget</v>
      </c>
      <c r="O2467" s="38">
        <f t="shared" si="193"/>
        <v>-2364.29</v>
      </c>
      <c r="P2467" s="39">
        <f t="shared" si="194"/>
        <v>46174</v>
      </c>
    </row>
    <row r="2468" spans="1:16" ht="15.5" x14ac:dyDescent="0.35">
      <c r="A2468" s="17" t="s">
        <v>2516</v>
      </c>
      <c r="B2468" s="35">
        <v>46194</v>
      </c>
      <c r="C2468" s="17" t="s">
        <v>12</v>
      </c>
      <c r="D2468" s="17" t="s">
        <v>26</v>
      </c>
      <c r="E2468" s="17" t="s">
        <v>77</v>
      </c>
      <c r="F2468" s="17" t="s">
        <v>15</v>
      </c>
      <c r="G2468" s="17" t="s">
        <v>43</v>
      </c>
      <c r="H2468" s="17" t="s">
        <v>2597</v>
      </c>
      <c r="I2468" s="17" t="s">
        <v>39</v>
      </c>
      <c r="J2468" s="36">
        <v>3142.86</v>
      </c>
      <c r="K2468" s="36">
        <v>1395.66</v>
      </c>
      <c r="L2468" s="36">
        <f t="shared" si="190"/>
        <v>-1747.2</v>
      </c>
      <c r="M2468" s="37">
        <f t="shared" si="191"/>
        <v>-0.55592676733930246</v>
      </c>
      <c r="N2468" s="17" t="str">
        <f t="shared" si="192"/>
        <v>Under Budget</v>
      </c>
      <c r="O2468" s="38">
        <f t="shared" si="193"/>
        <v>-1395.66</v>
      </c>
      <c r="P2468" s="39">
        <f t="shared" si="194"/>
        <v>46174</v>
      </c>
    </row>
    <row r="2469" spans="1:16" ht="15.5" x14ac:dyDescent="0.35">
      <c r="A2469" s="17" t="s">
        <v>2517</v>
      </c>
      <c r="B2469" s="35">
        <v>46182</v>
      </c>
      <c r="C2469" s="17" t="s">
        <v>12</v>
      </c>
      <c r="D2469" s="17" t="s">
        <v>26</v>
      </c>
      <c r="E2469" s="17" t="s">
        <v>65</v>
      </c>
      <c r="F2469" s="17" t="s">
        <v>21</v>
      </c>
      <c r="G2469" s="17" t="s">
        <v>38</v>
      </c>
      <c r="H2469" s="17" t="s">
        <v>2592</v>
      </c>
      <c r="I2469" s="17" t="s">
        <v>2583</v>
      </c>
      <c r="J2469" s="36">
        <v>3666.67</v>
      </c>
      <c r="K2469" s="36">
        <v>3577.66</v>
      </c>
      <c r="L2469" s="36">
        <f t="shared" si="190"/>
        <v>-89.010000000000218</v>
      </c>
      <c r="M2469" s="37">
        <f t="shared" si="191"/>
        <v>-2.4275432476879626E-2</v>
      </c>
      <c r="N2469" s="17" t="str">
        <f t="shared" si="192"/>
        <v>Under Budget</v>
      </c>
      <c r="O2469" s="38">
        <f t="shared" si="193"/>
        <v>-3577.66</v>
      </c>
      <c r="P2469" s="39">
        <f t="shared" si="194"/>
        <v>46174</v>
      </c>
    </row>
    <row r="2470" spans="1:16" ht="15.5" x14ac:dyDescent="0.35">
      <c r="A2470" s="17" t="s">
        <v>2518</v>
      </c>
      <c r="B2470" s="35">
        <v>45959</v>
      </c>
      <c r="C2470" s="17" t="s">
        <v>12</v>
      </c>
      <c r="D2470" s="17" t="s">
        <v>26</v>
      </c>
      <c r="E2470" s="17" t="s">
        <v>77</v>
      </c>
      <c r="F2470" s="17" t="s">
        <v>21</v>
      </c>
      <c r="G2470" s="17" t="s">
        <v>38</v>
      </c>
      <c r="H2470" s="17" t="s">
        <v>2598</v>
      </c>
      <c r="I2470" s="17" t="s">
        <v>17</v>
      </c>
      <c r="J2470" s="36">
        <v>5500</v>
      </c>
      <c r="K2470" s="36">
        <v>1249.53</v>
      </c>
      <c r="L2470" s="36">
        <f t="shared" si="190"/>
        <v>-4250.47</v>
      </c>
      <c r="M2470" s="37">
        <f t="shared" si="191"/>
        <v>-0.77281272727272732</v>
      </c>
      <c r="N2470" s="17" t="str">
        <f t="shared" si="192"/>
        <v>Under Budget</v>
      </c>
      <c r="O2470" s="38">
        <f t="shared" si="193"/>
        <v>-1249.53</v>
      </c>
      <c r="P2470" s="39">
        <f t="shared" si="194"/>
        <v>45931</v>
      </c>
    </row>
    <row r="2471" spans="1:16" ht="15.5" x14ac:dyDescent="0.35">
      <c r="A2471" s="17" t="s">
        <v>2519</v>
      </c>
      <c r="B2471" s="35">
        <v>45670</v>
      </c>
      <c r="C2471" s="17" t="s">
        <v>12</v>
      </c>
      <c r="D2471" s="17" t="s">
        <v>2585</v>
      </c>
      <c r="E2471" s="17" t="s">
        <v>20</v>
      </c>
      <c r="F2471" s="17" t="s">
        <v>52</v>
      </c>
      <c r="G2471" s="17" t="s">
        <v>43</v>
      </c>
      <c r="H2471" s="17" t="s">
        <v>2598</v>
      </c>
      <c r="I2471" s="17" t="s">
        <v>39</v>
      </c>
      <c r="J2471" s="36">
        <v>1746</v>
      </c>
      <c r="K2471" s="36">
        <v>261.7</v>
      </c>
      <c r="L2471" s="36">
        <f t="shared" si="190"/>
        <v>-1484.3</v>
      </c>
      <c r="M2471" s="37">
        <f t="shared" si="191"/>
        <v>-0.85011454753722793</v>
      </c>
      <c r="N2471" s="17" t="str">
        <f t="shared" si="192"/>
        <v>Under Budget</v>
      </c>
      <c r="O2471" s="38">
        <f t="shared" si="193"/>
        <v>-261.7</v>
      </c>
      <c r="P2471" s="39">
        <f t="shared" si="194"/>
        <v>45658</v>
      </c>
    </row>
    <row r="2472" spans="1:16" ht="15.5" x14ac:dyDescent="0.35">
      <c r="A2472" s="17" t="s">
        <v>2520</v>
      </c>
      <c r="B2472" s="35">
        <v>45958</v>
      </c>
      <c r="C2472" s="17" t="s">
        <v>12</v>
      </c>
      <c r="D2472" s="17" t="s">
        <v>19</v>
      </c>
      <c r="E2472" s="17" t="s">
        <v>47</v>
      </c>
      <c r="F2472" s="17" t="s">
        <v>15</v>
      </c>
      <c r="G2472" s="17" t="s">
        <v>38</v>
      </c>
      <c r="H2472" s="17" t="s">
        <v>2586</v>
      </c>
      <c r="I2472" s="17" t="s">
        <v>48</v>
      </c>
      <c r="J2472" s="36">
        <v>3500</v>
      </c>
      <c r="K2472" s="36">
        <v>2180.98</v>
      </c>
      <c r="L2472" s="36">
        <f t="shared" si="190"/>
        <v>-1319.02</v>
      </c>
      <c r="M2472" s="37">
        <f t="shared" si="191"/>
        <v>-0.37686285714285711</v>
      </c>
      <c r="N2472" s="17" t="str">
        <f t="shared" si="192"/>
        <v>Under Budget</v>
      </c>
      <c r="O2472" s="38">
        <f t="shared" si="193"/>
        <v>-2180.98</v>
      </c>
      <c r="P2472" s="39">
        <f t="shared" si="194"/>
        <v>45931</v>
      </c>
    </row>
    <row r="2473" spans="1:16" ht="15.5" x14ac:dyDescent="0.35">
      <c r="A2473" s="17" t="s">
        <v>2521</v>
      </c>
      <c r="B2473" s="35">
        <v>45878</v>
      </c>
      <c r="C2473" s="17" t="s">
        <v>25</v>
      </c>
      <c r="D2473" s="17" t="s">
        <v>2583</v>
      </c>
      <c r="E2473" s="17" t="s">
        <v>33</v>
      </c>
      <c r="F2473" s="17" t="s">
        <v>34</v>
      </c>
      <c r="G2473" s="17" t="s">
        <v>38</v>
      </c>
      <c r="H2473" s="17" t="s">
        <v>2586</v>
      </c>
      <c r="I2473" s="17" t="s">
        <v>23</v>
      </c>
      <c r="J2473" s="36">
        <v>10416.67</v>
      </c>
      <c r="K2473" s="36">
        <v>12997.79</v>
      </c>
      <c r="L2473" s="36">
        <f t="shared" si="190"/>
        <v>2581.1200000000008</v>
      </c>
      <c r="M2473" s="37">
        <f t="shared" si="191"/>
        <v>0.24778744070801906</v>
      </c>
      <c r="N2473" s="17" t="str">
        <f t="shared" si="192"/>
        <v>Over Budget</v>
      </c>
      <c r="O2473" s="38">
        <f t="shared" si="193"/>
        <v>12997.79</v>
      </c>
      <c r="P2473" s="39">
        <f t="shared" si="194"/>
        <v>45870</v>
      </c>
    </row>
    <row r="2474" spans="1:16" ht="15.5" x14ac:dyDescent="0.35">
      <c r="A2474" s="17" t="s">
        <v>2522</v>
      </c>
      <c r="B2474" s="35">
        <v>46125</v>
      </c>
      <c r="C2474" s="17" t="s">
        <v>25</v>
      </c>
      <c r="D2474" s="17" t="s">
        <v>32</v>
      </c>
      <c r="E2474" s="17" t="s">
        <v>33</v>
      </c>
      <c r="F2474" s="17" t="s">
        <v>34</v>
      </c>
      <c r="G2474" s="17" t="s">
        <v>38</v>
      </c>
      <c r="H2474" s="17" t="s">
        <v>2589</v>
      </c>
      <c r="I2474" s="17" t="s">
        <v>23</v>
      </c>
      <c r="J2474" s="36">
        <v>8333.33</v>
      </c>
      <c r="K2474" s="36">
        <v>21237.47</v>
      </c>
      <c r="L2474" s="36">
        <f t="shared" si="190"/>
        <v>12904.140000000001</v>
      </c>
      <c r="M2474" s="37">
        <f t="shared" si="191"/>
        <v>1.548497419398968</v>
      </c>
      <c r="N2474" s="17" t="str">
        <f t="shared" si="192"/>
        <v>Over Budget</v>
      </c>
      <c r="O2474" s="38">
        <f t="shared" si="193"/>
        <v>21237.47</v>
      </c>
      <c r="P2474" s="39">
        <f t="shared" si="194"/>
        <v>46113</v>
      </c>
    </row>
    <row r="2475" spans="1:16" ht="15.5" x14ac:dyDescent="0.35">
      <c r="A2475" s="17" t="s">
        <v>2523</v>
      </c>
      <c r="B2475" s="35">
        <v>45884</v>
      </c>
      <c r="C2475" s="17" t="s">
        <v>25</v>
      </c>
      <c r="D2475" s="17" t="s">
        <v>19</v>
      </c>
      <c r="E2475" s="17" t="s">
        <v>33</v>
      </c>
      <c r="F2475" s="17" t="s">
        <v>34</v>
      </c>
      <c r="G2475" s="17" t="s">
        <v>38</v>
      </c>
      <c r="H2475" s="17" t="s">
        <v>2587</v>
      </c>
      <c r="I2475" s="17" t="s">
        <v>39</v>
      </c>
      <c r="J2475" s="36">
        <v>10416.67</v>
      </c>
      <c r="K2475" s="36">
        <v>18680.650000000001</v>
      </c>
      <c r="L2475" s="36">
        <f t="shared" si="190"/>
        <v>8263.9800000000014</v>
      </c>
      <c r="M2475" s="37">
        <f t="shared" si="191"/>
        <v>0.79334182613061577</v>
      </c>
      <c r="N2475" s="17" t="str">
        <f t="shared" si="192"/>
        <v>Over Budget</v>
      </c>
      <c r="O2475" s="38">
        <f t="shared" si="193"/>
        <v>18680.650000000001</v>
      </c>
      <c r="P2475" s="39">
        <f t="shared" si="194"/>
        <v>45870</v>
      </c>
    </row>
    <row r="2476" spans="1:16" ht="15.5" x14ac:dyDescent="0.35">
      <c r="A2476" s="17" t="s">
        <v>2524</v>
      </c>
      <c r="B2476" s="35">
        <v>45660</v>
      </c>
      <c r="C2476" s="17" t="s">
        <v>25</v>
      </c>
      <c r="D2476" s="17" t="s">
        <v>32</v>
      </c>
      <c r="E2476" s="17" t="s">
        <v>27</v>
      </c>
      <c r="F2476" s="17" t="s">
        <v>52</v>
      </c>
      <c r="G2476" s="17" t="s">
        <v>43</v>
      </c>
      <c r="H2476" s="17" t="s">
        <v>60</v>
      </c>
      <c r="I2476" s="17" t="s">
        <v>23</v>
      </c>
      <c r="J2476" s="36">
        <v>11085.71</v>
      </c>
      <c r="K2476" s="36">
        <v>5640.12</v>
      </c>
      <c r="L2476" s="36">
        <f t="shared" si="190"/>
        <v>-5445.5899999999992</v>
      </c>
      <c r="M2476" s="37">
        <f t="shared" si="191"/>
        <v>-0.49122609196884998</v>
      </c>
      <c r="N2476" s="17" t="str">
        <f t="shared" si="192"/>
        <v>Under Budget</v>
      </c>
      <c r="O2476" s="38">
        <f t="shared" si="193"/>
        <v>5640.12</v>
      </c>
      <c r="P2476" s="39">
        <f t="shared" si="194"/>
        <v>45658</v>
      </c>
    </row>
    <row r="2477" spans="1:16" ht="15.5" x14ac:dyDescent="0.35">
      <c r="A2477" s="17" t="s">
        <v>2525</v>
      </c>
      <c r="B2477" s="35">
        <v>45797</v>
      </c>
      <c r="C2477" s="17" t="s">
        <v>12</v>
      </c>
      <c r="D2477" s="17" t="s">
        <v>13</v>
      </c>
      <c r="E2477" s="17" t="s">
        <v>77</v>
      </c>
      <c r="F2477" s="17" t="s">
        <v>34</v>
      </c>
      <c r="G2477" s="17" t="s">
        <v>38</v>
      </c>
      <c r="H2477" s="17" t="s">
        <v>2588</v>
      </c>
      <c r="I2477" s="17" t="s">
        <v>39</v>
      </c>
      <c r="J2477" s="36">
        <v>5500</v>
      </c>
      <c r="K2477" s="36">
        <v>462.31</v>
      </c>
      <c r="L2477" s="36">
        <f t="shared" si="190"/>
        <v>-5037.6899999999996</v>
      </c>
      <c r="M2477" s="37">
        <f t="shared" si="191"/>
        <v>-0.91594363636363629</v>
      </c>
      <c r="N2477" s="17" t="str">
        <f t="shared" si="192"/>
        <v>Under Budget</v>
      </c>
      <c r="O2477" s="38">
        <f t="shared" si="193"/>
        <v>-462.31</v>
      </c>
      <c r="P2477" s="39">
        <f t="shared" si="194"/>
        <v>45778</v>
      </c>
    </row>
    <row r="2478" spans="1:16" ht="15.5" x14ac:dyDescent="0.35">
      <c r="A2478" s="17" t="s">
        <v>2526</v>
      </c>
      <c r="B2478" s="35">
        <v>45998</v>
      </c>
      <c r="C2478" s="17" t="s">
        <v>12</v>
      </c>
      <c r="D2478" s="17" t="s">
        <v>19</v>
      </c>
      <c r="E2478" s="17" t="s">
        <v>20</v>
      </c>
      <c r="F2478" s="17" t="s">
        <v>52</v>
      </c>
      <c r="G2478" s="17" t="s">
        <v>43</v>
      </c>
      <c r="H2478" s="17" t="s">
        <v>2587</v>
      </c>
      <c r="I2478" s="17" t="s">
        <v>23</v>
      </c>
      <c r="J2478" s="36">
        <v>2100</v>
      </c>
      <c r="K2478" s="36">
        <v>1153.92</v>
      </c>
      <c r="L2478" s="36">
        <f t="shared" si="190"/>
        <v>-946.07999999999993</v>
      </c>
      <c r="M2478" s="37">
        <f t="shared" si="191"/>
        <v>-0.4505142857142857</v>
      </c>
      <c r="N2478" s="17" t="str">
        <f t="shared" si="192"/>
        <v>Under Budget</v>
      </c>
      <c r="O2478" s="38">
        <f t="shared" si="193"/>
        <v>-1153.92</v>
      </c>
      <c r="P2478" s="39">
        <f t="shared" si="194"/>
        <v>45992</v>
      </c>
    </row>
    <row r="2479" spans="1:16" ht="15.5" x14ac:dyDescent="0.35">
      <c r="A2479" s="17" t="s">
        <v>2527</v>
      </c>
      <c r="B2479" s="35">
        <v>45981</v>
      </c>
      <c r="C2479" s="17" t="s">
        <v>12</v>
      </c>
      <c r="D2479" s="17" t="s">
        <v>19</v>
      </c>
      <c r="E2479" s="17" t="s">
        <v>51</v>
      </c>
      <c r="F2479" s="17" t="s">
        <v>52</v>
      </c>
      <c r="G2479" s="17" t="s">
        <v>38</v>
      </c>
      <c r="H2479" s="17" t="s">
        <v>2589</v>
      </c>
      <c r="I2479" s="17" t="s">
        <v>30</v>
      </c>
      <c r="J2479" s="36">
        <v>7875</v>
      </c>
      <c r="K2479" s="36">
        <v>7432.51</v>
      </c>
      <c r="L2479" s="36">
        <f t="shared" si="190"/>
        <v>-442.48999999999978</v>
      </c>
      <c r="M2479" s="37">
        <f t="shared" si="191"/>
        <v>-5.6189206349206322E-2</v>
      </c>
      <c r="N2479" s="17" t="str">
        <f t="shared" si="192"/>
        <v>Under Budget</v>
      </c>
      <c r="O2479" s="38">
        <f t="shared" si="193"/>
        <v>-7432.51</v>
      </c>
      <c r="P2479" s="39">
        <f t="shared" si="194"/>
        <v>45962</v>
      </c>
    </row>
    <row r="2480" spans="1:16" ht="15.5" x14ac:dyDescent="0.35">
      <c r="A2480" s="17" t="s">
        <v>2528</v>
      </c>
      <c r="B2480" s="35">
        <v>46188</v>
      </c>
      <c r="C2480" s="17" t="s">
        <v>12</v>
      </c>
      <c r="D2480" s="17" t="s">
        <v>2583</v>
      </c>
      <c r="E2480" s="17" t="s">
        <v>74</v>
      </c>
      <c r="F2480" s="17" t="s">
        <v>15</v>
      </c>
      <c r="G2480" s="17" t="s">
        <v>43</v>
      </c>
      <c r="H2480" s="17" t="s">
        <v>2589</v>
      </c>
      <c r="I2480" s="17" t="s">
        <v>30</v>
      </c>
      <c r="J2480" s="36">
        <v>3076.92</v>
      </c>
      <c r="K2480" s="36">
        <v>2342.91</v>
      </c>
      <c r="L2480" s="36">
        <f t="shared" si="190"/>
        <v>-734.01000000000022</v>
      </c>
      <c r="M2480" s="37">
        <f t="shared" si="191"/>
        <v>-0.23855348855348862</v>
      </c>
      <c r="N2480" s="17" t="str">
        <f t="shared" si="192"/>
        <v>Under Budget</v>
      </c>
      <c r="O2480" s="38">
        <f t="shared" si="193"/>
        <v>-2342.91</v>
      </c>
      <c r="P2480" s="39">
        <f t="shared" si="194"/>
        <v>46174</v>
      </c>
    </row>
    <row r="2481" spans="1:16" ht="15.5" x14ac:dyDescent="0.35">
      <c r="A2481" s="17" t="s">
        <v>2529</v>
      </c>
      <c r="B2481" s="35">
        <v>46203</v>
      </c>
      <c r="C2481" s="17" t="s">
        <v>25</v>
      </c>
      <c r="D2481" s="17" t="s">
        <v>2585</v>
      </c>
      <c r="E2481" s="17" t="s">
        <v>27</v>
      </c>
      <c r="F2481" s="17" t="s">
        <v>34</v>
      </c>
      <c r="G2481" s="17" t="s">
        <v>22</v>
      </c>
      <c r="H2481" s="17" t="s">
        <v>2592</v>
      </c>
      <c r="I2481" s="17" t="s">
        <v>48</v>
      </c>
      <c r="J2481" s="36">
        <v>7272.73</v>
      </c>
      <c r="K2481" s="36">
        <v>7475.59</v>
      </c>
      <c r="L2481" s="36">
        <f t="shared" si="190"/>
        <v>202.86000000000058</v>
      </c>
      <c r="M2481" s="37">
        <f t="shared" si="191"/>
        <v>2.7893239540035253E-2</v>
      </c>
      <c r="N2481" s="17" t="str">
        <f t="shared" si="192"/>
        <v>Over Budget</v>
      </c>
      <c r="O2481" s="38">
        <f t="shared" si="193"/>
        <v>7475.59</v>
      </c>
      <c r="P2481" s="39">
        <f t="shared" si="194"/>
        <v>46174</v>
      </c>
    </row>
    <row r="2482" spans="1:16" ht="15.5" x14ac:dyDescent="0.35">
      <c r="A2482" s="17" t="s">
        <v>2530</v>
      </c>
      <c r="B2482" s="35">
        <v>45785</v>
      </c>
      <c r="C2482" s="17" t="s">
        <v>12</v>
      </c>
      <c r="D2482" s="17" t="s">
        <v>2585</v>
      </c>
      <c r="E2482" s="17" t="s">
        <v>74</v>
      </c>
      <c r="F2482" s="17" t="s">
        <v>28</v>
      </c>
      <c r="G2482" s="17" t="s">
        <v>82</v>
      </c>
      <c r="H2482" s="17" t="s">
        <v>2589</v>
      </c>
      <c r="I2482" s="17" t="s">
        <v>39</v>
      </c>
      <c r="J2482" s="36">
        <v>5000</v>
      </c>
      <c r="K2482" s="36">
        <v>5737.25</v>
      </c>
      <c r="L2482" s="36">
        <f t="shared" si="190"/>
        <v>737.25</v>
      </c>
      <c r="M2482" s="37">
        <f t="shared" si="191"/>
        <v>0.14745</v>
      </c>
      <c r="N2482" s="17" t="str">
        <f t="shared" si="192"/>
        <v>Over Budget</v>
      </c>
      <c r="O2482" s="38">
        <f t="shared" si="193"/>
        <v>-5737.25</v>
      </c>
      <c r="P2482" s="39">
        <f t="shared" si="194"/>
        <v>45778</v>
      </c>
    </row>
    <row r="2483" spans="1:16" ht="15.5" x14ac:dyDescent="0.35">
      <c r="A2483" s="17" t="s">
        <v>2531</v>
      </c>
      <c r="B2483" s="35">
        <v>45821</v>
      </c>
      <c r="C2483" s="17" t="s">
        <v>12</v>
      </c>
      <c r="D2483" s="17" t="s">
        <v>19</v>
      </c>
      <c r="E2483" s="17" t="s">
        <v>77</v>
      </c>
      <c r="F2483" s="17" t="s">
        <v>21</v>
      </c>
      <c r="G2483" s="17" t="s">
        <v>38</v>
      </c>
      <c r="H2483" s="17" t="s">
        <v>2591</v>
      </c>
      <c r="I2483" s="17" t="s">
        <v>23</v>
      </c>
      <c r="J2483" s="36">
        <v>3666.67</v>
      </c>
      <c r="K2483" s="36">
        <v>1689.65</v>
      </c>
      <c r="L2483" s="36">
        <f t="shared" si="190"/>
        <v>-1977.02</v>
      </c>
      <c r="M2483" s="37">
        <f t="shared" si="191"/>
        <v>-0.53918678255747043</v>
      </c>
      <c r="N2483" s="17" t="str">
        <f t="shared" si="192"/>
        <v>Under Budget</v>
      </c>
      <c r="O2483" s="38">
        <f t="shared" si="193"/>
        <v>-1689.65</v>
      </c>
      <c r="P2483" s="39">
        <f t="shared" si="194"/>
        <v>45809</v>
      </c>
    </row>
    <row r="2484" spans="1:16" ht="15.5" x14ac:dyDescent="0.35">
      <c r="A2484" s="17" t="s">
        <v>2532</v>
      </c>
      <c r="B2484" s="35">
        <v>45980</v>
      </c>
      <c r="C2484" s="17" t="s">
        <v>12</v>
      </c>
      <c r="D2484" s="17" t="s">
        <v>26</v>
      </c>
      <c r="E2484" s="17" t="s">
        <v>14</v>
      </c>
      <c r="F2484" s="17" t="s">
        <v>34</v>
      </c>
      <c r="G2484" s="17" t="s">
        <v>82</v>
      </c>
      <c r="H2484" s="17" t="s">
        <v>2591</v>
      </c>
      <c r="I2484" s="17" t="s">
        <v>30</v>
      </c>
      <c r="J2484" s="36">
        <v>5600</v>
      </c>
      <c r="K2484" s="36">
        <v>534.08000000000004</v>
      </c>
      <c r="L2484" s="36">
        <f t="shared" si="190"/>
        <v>-5065.92</v>
      </c>
      <c r="M2484" s="37">
        <f t="shared" si="191"/>
        <v>-0.90462857142857145</v>
      </c>
      <c r="N2484" s="17" t="str">
        <f t="shared" si="192"/>
        <v>Under Budget</v>
      </c>
      <c r="O2484" s="38">
        <f t="shared" si="193"/>
        <v>-534.08000000000004</v>
      </c>
      <c r="P2484" s="39">
        <f t="shared" si="194"/>
        <v>45962</v>
      </c>
    </row>
    <row r="2485" spans="1:16" ht="15.5" x14ac:dyDescent="0.35">
      <c r="A2485" s="17" t="s">
        <v>2533</v>
      </c>
      <c r="B2485" s="35">
        <v>45960</v>
      </c>
      <c r="C2485" s="17" t="s">
        <v>12</v>
      </c>
      <c r="D2485" s="17" t="s">
        <v>26</v>
      </c>
      <c r="E2485" s="17" t="s">
        <v>14</v>
      </c>
      <c r="F2485" s="17" t="s">
        <v>34</v>
      </c>
      <c r="G2485" s="17" t="s">
        <v>38</v>
      </c>
      <c r="H2485" s="17" t="s">
        <v>2596</v>
      </c>
      <c r="I2485" s="17" t="s">
        <v>39</v>
      </c>
      <c r="J2485" s="36">
        <v>2666.67</v>
      </c>
      <c r="K2485" s="36">
        <v>6460.01</v>
      </c>
      <c r="L2485" s="36">
        <f t="shared" si="190"/>
        <v>3793.34</v>
      </c>
      <c r="M2485" s="37">
        <f t="shared" si="191"/>
        <v>1.4225007218740977</v>
      </c>
      <c r="N2485" s="17" t="str">
        <f t="shared" si="192"/>
        <v>Over Budget</v>
      </c>
      <c r="O2485" s="38">
        <f t="shared" si="193"/>
        <v>-6460.01</v>
      </c>
      <c r="P2485" s="39">
        <f t="shared" si="194"/>
        <v>45931</v>
      </c>
    </row>
    <row r="2486" spans="1:16" ht="15.5" x14ac:dyDescent="0.35">
      <c r="A2486" s="17" t="s">
        <v>2534</v>
      </c>
      <c r="B2486" s="35">
        <v>45753</v>
      </c>
      <c r="C2486" s="17" t="s">
        <v>25</v>
      </c>
      <c r="D2486" s="17" t="s">
        <v>2585</v>
      </c>
      <c r="E2486" s="17" t="s">
        <v>33</v>
      </c>
      <c r="F2486" s="17" t="s">
        <v>34</v>
      </c>
      <c r="G2486" s="17" t="s">
        <v>38</v>
      </c>
      <c r="H2486" s="17" t="s">
        <v>2586</v>
      </c>
      <c r="I2486" s="17" t="s">
        <v>39</v>
      </c>
      <c r="J2486" s="36">
        <v>11363.64</v>
      </c>
      <c r="K2486" s="36">
        <v>23830.74</v>
      </c>
      <c r="L2486" s="36">
        <f t="shared" si="190"/>
        <v>12467.100000000002</v>
      </c>
      <c r="M2486" s="37">
        <f t="shared" si="191"/>
        <v>1.0971044489265767</v>
      </c>
      <c r="N2486" s="17" t="str">
        <f t="shared" si="192"/>
        <v>Over Budget</v>
      </c>
      <c r="O2486" s="38">
        <f t="shared" si="193"/>
        <v>23830.74</v>
      </c>
      <c r="P2486" s="39">
        <f t="shared" si="194"/>
        <v>45748</v>
      </c>
    </row>
    <row r="2487" spans="1:16" ht="15.5" x14ac:dyDescent="0.35">
      <c r="A2487" s="17" t="s">
        <v>2535</v>
      </c>
      <c r="B2487" s="35">
        <v>46073</v>
      </c>
      <c r="C2487" s="17" t="s">
        <v>25</v>
      </c>
      <c r="D2487" s="17" t="s">
        <v>36</v>
      </c>
      <c r="E2487" s="17" t="s">
        <v>33</v>
      </c>
      <c r="F2487" s="17" t="s">
        <v>52</v>
      </c>
      <c r="G2487" s="17" t="s">
        <v>38</v>
      </c>
      <c r="H2487" s="17" t="s">
        <v>2587</v>
      </c>
      <c r="I2487" s="17" t="s">
        <v>39</v>
      </c>
      <c r="J2487" s="36">
        <v>12125</v>
      </c>
      <c r="K2487" s="36">
        <v>8305.31</v>
      </c>
      <c r="L2487" s="36">
        <f t="shared" si="190"/>
        <v>-3819.6900000000005</v>
      </c>
      <c r="M2487" s="37">
        <f t="shared" si="191"/>
        <v>-0.31502597938144333</v>
      </c>
      <c r="N2487" s="17" t="str">
        <f t="shared" si="192"/>
        <v>Under Budget</v>
      </c>
      <c r="O2487" s="38">
        <f t="shared" si="193"/>
        <v>8305.31</v>
      </c>
      <c r="P2487" s="39">
        <f t="shared" si="194"/>
        <v>46054</v>
      </c>
    </row>
    <row r="2488" spans="1:16" ht="15.5" x14ac:dyDescent="0.35">
      <c r="A2488" s="17" t="s">
        <v>2536</v>
      </c>
      <c r="B2488" s="35">
        <v>46068</v>
      </c>
      <c r="C2488" s="17" t="s">
        <v>25</v>
      </c>
      <c r="D2488" s="17" t="s">
        <v>2585</v>
      </c>
      <c r="E2488" s="17" t="s">
        <v>109</v>
      </c>
      <c r="F2488" s="17" t="s">
        <v>34</v>
      </c>
      <c r="G2488" s="17" t="s">
        <v>43</v>
      </c>
      <c r="H2488" s="17" t="s">
        <v>2589</v>
      </c>
      <c r="I2488" s="17" t="s">
        <v>30</v>
      </c>
      <c r="J2488" s="36">
        <v>8083.33</v>
      </c>
      <c r="K2488" s="36">
        <v>15027.47</v>
      </c>
      <c r="L2488" s="36">
        <f t="shared" si="190"/>
        <v>6944.1399999999994</v>
      </c>
      <c r="M2488" s="37">
        <f t="shared" si="191"/>
        <v>0.85906922023472998</v>
      </c>
      <c r="N2488" s="17" t="str">
        <f t="shared" si="192"/>
        <v>Over Budget</v>
      </c>
      <c r="O2488" s="38">
        <f t="shared" si="193"/>
        <v>15027.47</v>
      </c>
      <c r="P2488" s="39">
        <f t="shared" si="194"/>
        <v>46054</v>
      </c>
    </row>
    <row r="2489" spans="1:16" ht="15.5" x14ac:dyDescent="0.35">
      <c r="A2489" s="17" t="s">
        <v>2537</v>
      </c>
      <c r="B2489" s="35">
        <v>45732</v>
      </c>
      <c r="C2489" s="17" t="s">
        <v>12</v>
      </c>
      <c r="D2489" s="17" t="s">
        <v>26</v>
      </c>
      <c r="E2489" s="17" t="s">
        <v>45</v>
      </c>
      <c r="F2489" s="17" t="s">
        <v>28</v>
      </c>
      <c r="G2489" s="17" t="s">
        <v>29</v>
      </c>
      <c r="H2489" s="17" t="s">
        <v>2591</v>
      </c>
      <c r="I2489" s="17" t="s">
        <v>23</v>
      </c>
      <c r="J2489" s="36">
        <v>6000</v>
      </c>
      <c r="K2489" s="36">
        <v>6300.82</v>
      </c>
      <c r="L2489" s="36">
        <f t="shared" si="190"/>
        <v>300.81999999999971</v>
      </c>
      <c r="M2489" s="37">
        <f t="shared" si="191"/>
        <v>5.0136666666666621E-2</v>
      </c>
      <c r="N2489" s="17" t="str">
        <f t="shared" si="192"/>
        <v>Over Budget</v>
      </c>
      <c r="O2489" s="38">
        <f t="shared" si="193"/>
        <v>-6300.82</v>
      </c>
      <c r="P2489" s="39">
        <f t="shared" si="194"/>
        <v>45717</v>
      </c>
    </row>
    <row r="2490" spans="1:16" ht="15.5" x14ac:dyDescent="0.35">
      <c r="A2490" s="17" t="s">
        <v>2538</v>
      </c>
      <c r="B2490" s="35">
        <v>46075</v>
      </c>
      <c r="C2490" s="17" t="s">
        <v>12</v>
      </c>
      <c r="D2490" s="17" t="s">
        <v>26</v>
      </c>
      <c r="E2490" s="17" t="s">
        <v>77</v>
      </c>
      <c r="F2490" s="17" t="s">
        <v>28</v>
      </c>
      <c r="G2490" s="17" t="s">
        <v>38</v>
      </c>
      <c r="H2490" s="17" t="s">
        <v>2588</v>
      </c>
      <c r="I2490" s="17" t="s">
        <v>48</v>
      </c>
      <c r="J2490" s="36">
        <v>2667.5</v>
      </c>
      <c r="K2490" s="36">
        <v>3848.73</v>
      </c>
      <c r="L2490" s="36">
        <f t="shared" si="190"/>
        <v>1181.23</v>
      </c>
      <c r="M2490" s="37">
        <f t="shared" si="191"/>
        <v>0.44282286785379571</v>
      </c>
      <c r="N2490" s="17" t="str">
        <f t="shared" si="192"/>
        <v>Over Budget</v>
      </c>
      <c r="O2490" s="38">
        <f t="shared" si="193"/>
        <v>-3848.73</v>
      </c>
      <c r="P2490" s="39">
        <f t="shared" si="194"/>
        <v>46054</v>
      </c>
    </row>
    <row r="2491" spans="1:16" ht="15.5" x14ac:dyDescent="0.35">
      <c r="A2491" s="17" t="s">
        <v>2539</v>
      </c>
      <c r="B2491" s="35">
        <v>46022</v>
      </c>
      <c r="C2491" s="17" t="s">
        <v>12</v>
      </c>
      <c r="D2491" s="17" t="s">
        <v>19</v>
      </c>
      <c r="E2491" s="17" t="s">
        <v>45</v>
      </c>
      <c r="F2491" s="17" t="s">
        <v>15</v>
      </c>
      <c r="G2491" s="17" t="s">
        <v>38</v>
      </c>
      <c r="H2491" s="17" t="s">
        <v>2598</v>
      </c>
      <c r="I2491" s="17" t="s">
        <v>30</v>
      </c>
      <c r="J2491" s="36">
        <v>7875</v>
      </c>
      <c r="K2491" s="36">
        <v>1422.14</v>
      </c>
      <c r="L2491" s="36">
        <f t="shared" si="190"/>
        <v>-6452.86</v>
      </c>
      <c r="M2491" s="37">
        <f t="shared" si="191"/>
        <v>-0.81941079365079361</v>
      </c>
      <c r="N2491" s="17" t="str">
        <f t="shared" si="192"/>
        <v>Under Budget</v>
      </c>
      <c r="O2491" s="38">
        <f t="shared" si="193"/>
        <v>-1422.14</v>
      </c>
      <c r="P2491" s="39">
        <f t="shared" si="194"/>
        <v>45992</v>
      </c>
    </row>
    <row r="2492" spans="1:16" ht="15.5" x14ac:dyDescent="0.35">
      <c r="A2492" s="17" t="s">
        <v>2540</v>
      </c>
      <c r="B2492" s="35">
        <v>46038</v>
      </c>
      <c r="C2492" s="17" t="s">
        <v>12</v>
      </c>
      <c r="D2492" s="17" t="s">
        <v>2585</v>
      </c>
      <c r="E2492" s="17" t="s">
        <v>14</v>
      </c>
      <c r="F2492" s="17" t="s">
        <v>34</v>
      </c>
      <c r="G2492" s="17" t="s">
        <v>43</v>
      </c>
      <c r="H2492" s="17" t="s">
        <v>2587</v>
      </c>
      <c r="I2492" s="17" t="s">
        <v>39</v>
      </c>
      <c r="J2492" s="36">
        <v>3104</v>
      </c>
      <c r="K2492" s="36">
        <v>396.5</v>
      </c>
      <c r="L2492" s="36">
        <f t="shared" si="190"/>
        <v>-2707.5</v>
      </c>
      <c r="M2492" s="37">
        <f t="shared" si="191"/>
        <v>-0.87226159793814428</v>
      </c>
      <c r="N2492" s="17" t="str">
        <f t="shared" si="192"/>
        <v>Under Budget</v>
      </c>
      <c r="O2492" s="38">
        <f t="shared" si="193"/>
        <v>-396.5</v>
      </c>
      <c r="P2492" s="39">
        <f t="shared" si="194"/>
        <v>46023</v>
      </c>
    </row>
    <row r="2493" spans="1:16" ht="15.5" x14ac:dyDescent="0.35">
      <c r="A2493" s="17" t="s">
        <v>2541</v>
      </c>
      <c r="B2493" s="35">
        <v>46177</v>
      </c>
      <c r="C2493" s="17" t="s">
        <v>12</v>
      </c>
      <c r="D2493" s="17" t="s">
        <v>2585</v>
      </c>
      <c r="E2493" s="17" t="s">
        <v>74</v>
      </c>
      <c r="F2493" s="17" t="s">
        <v>52</v>
      </c>
      <c r="G2493" s="17" t="s">
        <v>43</v>
      </c>
      <c r="H2493" s="17" t="s">
        <v>2592</v>
      </c>
      <c r="I2493" s="17" t="s">
        <v>30</v>
      </c>
      <c r="J2493" s="36">
        <v>3076.92</v>
      </c>
      <c r="K2493" s="36">
        <v>687.03</v>
      </c>
      <c r="L2493" s="36">
        <f t="shared" si="190"/>
        <v>-2389.8900000000003</v>
      </c>
      <c r="M2493" s="37">
        <f t="shared" si="191"/>
        <v>-0.77671502671502679</v>
      </c>
      <c r="N2493" s="17" t="str">
        <f t="shared" si="192"/>
        <v>Under Budget</v>
      </c>
      <c r="O2493" s="38">
        <f t="shared" si="193"/>
        <v>-687.03</v>
      </c>
      <c r="P2493" s="39">
        <f t="shared" si="194"/>
        <v>46174</v>
      </c>
    </row>
    <row r="2494" spans="1:16" ht="15.5" x14ac:dyDescent="0.35">
      <c r="A2494" s="17" t="s">
        <v>2542</v>
      </c>
      <c r="B2494" s="35">
        <v>45755</v>
      </c>
      <c r="C2494" s="17" t="s">
        <v>25</v>
      </c>
      <c r="D2494" s="17" t="s">
        <v>32</v>
      </c>
      <c r="E2494" s="17" t="s">
        <v>33</v>
      </c>
      <c r="F2494" s="17" t="s">
        <v>34</v>
      </c>
      <c r="G2494" s="17" t="s">
        <v>38</v>
      </c>
      <c r="H2494" s="17" t="s">
        <v>2590</v>
      </c>
      <c r="I2494" s="17" t="s">
        <v>48</v>
      </c>
      <c r="J2494" s="36">
        <v>11363.64</v>
      </c>
      <c r="K2494" s="36">
        <v>24916.25</v>
      </c>
      <c r="L2494" s="36">
        <f t="shared" si="190"/>
        <v>13552.61</v>
      </c>
      <c r="M2494" s="37">
        <f t="shared" si="191"/>
        <v>1.1926292983586246</v>
      </c>
      <c r="N2494" s="17" t="str">
        <f t="shared" si="192"/>
        <v>Over Budget</v>
      </c>
      <c r="O2494" s="38">
        <f t="shared" si="193"/>
        <v>24916.25</v>
      </c>
      <c r="P2494" s="39">
        <f t="shared" si="194"/>
        <v>45748</v>
      </c>
    </row>
    <row r="2495" spans="1:16" ht="15.5" x14ac:dyDescent="0.35">
      <c r="A2495" s="17" t="s">
        <v>2543</v>
      </c>
      <c r="B2495" s="35">
        <v>45722</v>
      </c>
      <c r="C2495" s="17" t="s">
        <v>12</v>
      </c>
      <c r="D2495" s="17" t="s">
        <v>32</v>
      </c>
      <c r="E2495" s="17" t="s">
        <v>41</v>
      </c>
      <c r="F2495" s="17" t="s">
        <v>15</v>
      </c>
      <c r="G2495" s="17" t="s">
        <v>16</v>
      </c>
      <c r="H2495" s="17" t="s">
        <v>2597</v>
      </c>
      <c r="I2495" s="17" t="s">
        <v>39</v>
      </c>
      <c r="J2495" s="36">
        <v>5000</v>
      </c>
      <c r="K2495" s="36">
        <v>5687.44</v>
      </c>
      <c r="L2495" s="36">
        <f t="shared" si="190"/>
        <v>687.4399999999996</v>
      </c>
      <c r="M2495" s="37">
        <f t="shared" si="191"/>
        <v>0.13748799999999992</v>
      </c>
      <c r="N2495" s="17" t="str">
        <f t="shared" si="192"/>
        <v>Over Budget</v>
      </c>
      <c r="O2495" s="38">
        <f t="shared" si="193"/>
        <v>-5687.44</v>
      </c>
      <c r="P2495" s="39">
        <f t="shared" si="194"/>
        <v>45717</v>
      </c>
    </row>
    <row r="2496" spans="1:16" ht="15.5" x14ac:dyDescent="0.35">
      <c r="A2496" s="17" t="s">
        <v>2544</v>
      </c>
      <c r="B2496" s="35">
        <v>45721</v>
      </c>
      <c r="C2496" s="17" t="s">
        <v>12</v>
      </c>
      <c r="D2496" s="17" t="s">
        <v>19</v>
      </c>
      <c r="E2496" s="17" t="s">
        <v>41</v>
      </c>
      <c r="F2496" s="17" t="s">
        <v>52</v>
      </c>
      <c r="G2496" s="17" t="s">
        <v>38</v>
      </c>
      <c r="H2496" s="17" t="s">
        <v>2595</v>
      </c>
      <c r="I2496" s="17" t="s">
        <v>30</v>
      </c>
      <c r="J2496" s="36">
        <v>5000</v>
      </c>
      <c r="K2496" s="36">
        <v>3180.06</v>
      </c>
      <c r="L2496" s="36">
        <f t="shared" si="190"/>
        <v>-1819.94</v>
      </c>
      <c r="M2496" s="37">
        <f t="shared" si="191"/>
        <v>-0.36398800000000003</v>
      </c>
      <c r="N2496" s="17" t="str">
        <f t="shared" si="192"/>
        <v>Under Budget</v>
      </c>
      <c r="O2496" s="38">
        <f t="shared" si="193"/>
        <v>-3180.06</v>
      </c>
      <c r="P2496" s="39">
        <f t="shared" si="194"/>
        <v>45717</v>
      </c>
    </row>
    <row r="2497" spans="1:16" ht="15.5" x14ac:dyDescent="0.35">
      <c r="A2497" s="17" t="s">
        <v>2545</v>
      </c>
      <c r="B2497" s="35">
        <v>46018</v>
      </c>
      <c r="C2497" s="17" t="s">
        <v>25</v>
      </c>
      <c r="D2497" s="17" t="s">
        <v>19</v>
      </c>
      <c r="E2497" s="17" t="s">
        <v>169</v>
      </c>
      <c r="F2497" s="17" t="s">
        <v>34</v>
      </c>
      <c r="G2497" s="17" t="s">
        <v>43</v>
      </c>
      <c r="H2497" s="17" t="s">
        <v>2591</v>
      </c>
      <c r="I2497" s="17" t="s">
        <v>23</v>
      </c>
      <c r="J2497" s="36">
        <v>3500</v>
      </c>
      <c r="K2497" s="36">
        <v>1200.53</v>
      </c>
      <c r="L2497" s="36">
        <f t="shared" si="190"/>
        <v>-2299.4700000000003</v>
      </c>
      <c r="M2497" s="37">
        <f t="shared" si="191"/>
        <v>-0.65699142857142867</v>
      </c>
      <c r="N2497" s="17" t="str">
        <f t="shared" si="192"/>
        <v>Under Budget</v>
      </c>
      <c r="O2497" s="38">
        <f t="shared" si="193"/>
        <v>1200.53</v>
      </c>
      <c r="P2497" s="39">
        <f t="shared" si="194"/>
        <v>45992</v>
      </c>
    </row>
    <row r="2498" spans="1:16" ht="15.5" x14ac:dyDescent="0.35">
      <c r="A2498" s="17" t="s">
        <v>2546</v>
      </c>
      <c r="B2498" s="35">
        <v>46170</v>
      </c>
      <c r="C2498" s="17" t="s">
        <v>25</v>
      </c>
      <c r="D2498" s="17" t="s">
        <v>13</v>
      </c>
      <c r="E2498" s="17" t="s">
        <v>27</v>
      </c>
      <c r="F2498" s="17" t="s">
        <v>21</v>
      </c>
      <c r="G2498" s="17" t="s">
        <v>38</v>
      </c>
      <c r="H2498" s="17" t="s">
        <v>2591</v>
      </c>
      <c r="I2498" s="17" t="s">
        <v>48</v>
      </c>
      <c r="J2498" s="36">
        <v>6153.85</v>
      </c>
      <c r="K2498" s="36">
        <v>7251.82</v>
      </c>
      <c r="L2498" s="36">
        <f t="shared" si="190"/>
        <v>1097.9699999999993</v>
      </c>
      <c r="M2498" s="37">
        <f t="shared" si="191"/>
        <v>0.17842001348749145</v>
      </c>
      <c r="N2498" s="17" t="str">
        <f t="shared" si="192"/>
        <v>Over Budget</v>
      </c>
      <c r="O2498" s="38">
        <f t="shared" si="193"/>
        <v>7251.82</v>
      </c>
      <c r="P2498" s="39">
        <f t="shared" si="194"/>
        <v>46143</v>
      </c>
    </row>
    <row r="2499" spans="1:16" ht="15.5" x14ac:dyDescent="0.35">
      <c r="A2499" s="17" t="s">
        <v>2547</v>
      </c>
      <c r="B2499" s="35">
        <v>45744</v>
      </c>
      <c r="C2499" s="17" t="s">
        <v>25</v>
      </c>
      <c r="D2499" s="17" t="s">
        <v>32</v>
      </c>
      <c r="E2499" s="17" t="s">
        <v>109</v>
      </c>
      <c r="F2499" s="17" t="s">
        <v>34</v>
      </c>
      <c r="G2499" s="17" t="s">
        <v>43</v>
      </c>
      <c r="H2499" s="17" t="s">
        <v>2591</v>
      </c>
      <c r="I2499" s="17" t="s">
        <v>48</v>
      </c>
      <c r="J2499" s="36">
        <v>9090.91</v>
      </c>
      <c r="K2499" s="36">
        <v>3610.27</v>
      </c>
      <c r="L2499" s="36">
        <f t="shared" ref="L2499:L2501" si="195">K2499-J2499</f>
        <v>-5480.6399999999994</v>
      </c>
      <c r="M2499" s="37">
        <f t="shared" ref="M2499:M2501" si="196">IF(J2499=0,0,L2499/J2499)</f>
        <v>-0.602870339712966</v>
      </c>
      <c r="N2499" s="17" t="str">
        <f t="shared" ref="N2499:N2501" si="197">IF(J2499=0,"No Budget",IF(K2499&gt;J2499,"Over Budget",IF(K2499&lt;J2499,"Under Budget","On Budget")))</f>
        <v>Under Budget</v>
      </c>
      <c r="O2499" s="38">
        <f t="shared" ref="O2499:O2501" si="198">IF(C2499="Revenue",K2499,-K2499)</f>
        <v>3610.27</v>
      </c>
      <c r="P2499" s="39">
        <f t="shared" ref="P2499:P2501" si="199">DATE(YEAR(B2499),MONTH(B2499),1)</f>
        <v>45717</v>
      </c>
    </row>
    <row r="2500" spans="1:16" ht="15.5" x14ac:dyDescent="0.35">
      <c r="A2500" s="17" t="s">
        <v>2548</v>
      </c>
      <c r="B2500" s="35">
        <v>45967</v>
      </c>
      <c r="C2500" s="17" t="s">
        <v>12</v>
      </c>
      <c r="D2500" s="17" t="s">
        <v>2585</v>
      </c>
      <c r="E2500" s="17" t="s">
        <v>51</v>
      </c>
      <c r="F2500" s="17" t="s">
        <v>28</v>
      </c>
      <c r="G2500" s="17" t="s">
        <v>22</v>
      </c>
      <c r="H2500" s="17" t="s">
        <v>2592</v>
      </c>
      <c r="I2500" s="17" t="s">
        <v>23</v>
      </c>
      <c r="J2500" s="36">
        <v>7875</v>
      </c>
      <c r="K2500" s="36">
        <v>4809.55</v>
      </c>
      <c r="L2500" s="36">
        <f t="shared" si="195"/>
        <v>-3065.45</v>
      </c>
      <c r="M2500" s="37">
        <f t="shared" si="196"/>
        <v>-0.38926349206349203</v>
      </c>
      <c r="N2500" s="17" t="str">
        <f t="shared" si="197"/>
        <v>Under Budget</v>
      </c>
      <c r="O2500" s="38">
        <f t="shared" si="198"/>
        <v>-4809.55</v>
      </c>
      <c r="P2500" s="39">
        <f t="shared" si="199"/>
        <v>45962</v>
      </c>
    </row>
    <row r="2501" spans="1:16" ht="15.5" x14ac:dyDescent="0.35">
      <c r="A2501" s="17" t="s">
        <v>2549</v>
      </c>
      <c r="B2501" s="35">
        <v>46179</v>
      </c>
      <c r="C2501" s="17" t="s">
        <v>25</v>
      </c>
      <c r="D2501" s="17" t="s">
        <v>13</v>
      </c>
      <c r="E2501" s="17" t="s">
        <v>27</v>
      </c>
      <c r="F2501" s="17" t="s">
        <v>21</v>
      </c>
      <c r="G2501" s="17" t="s">
        <v>43</v>
      </c>
      <c r="H2501" s="17" t="s">
        <v>2591</v>
      </c>
      <c r="I2501" s="17" t="s">
        <v>23</v>
      </c>
      <c r="J2501" s="36">
        <v>7272.73</v>
      </c>
      <c r="K2501" s="36">
        <v>4270.84</v>
      </c>
      <c r="L2501" s="36">
        <f t="shared" si="195"/>
        <v>-3001.8899999999994</v>
      </c>
      <c r="M2501" s="37">
        <f t="shared" si="196"/>
        <v>-0.41275972021510487</v>
      </c>
      <c r="N2501" s="17" t="str">
        <f t="shared" si="197"/>
        <v>Under Budget</v>
      </c>
      <c r="O2501" s="38">
        <f t="shared" si="198"/>
        <v>4270.84</v>
      </c>
      <c r="P2501" s="39">
        <f t="shared" si="199"/>
        <v>46174</v>
      </c>
    </row>
  </sheetData>
  <autoFilter ref="A1:P2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D027-6778-4297-A4CC-A3455691A3E6}">
  <dimension ref="A1"/>
  <sheetViews>
    <sheetView showGridLines="0" tabSelected="1" view="pageBreakPreview" zoomScale="50" zoomScaleNormal="20" zoomScaleSheetLayoutView="50" zoomScalePageLayoutView="50" workbookViewId="0">
      <selection activeCell="AB124" sqref="AB124"/>
    </sheetView>
  </sheetViews>
  <sheetFormatPr defaultRowHeight="14.5" x14ac:dyDescent="0.35"/>
  <cols>
    <col min="1" max="16384" width="8.726562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214E-24E4-4450-BD8D-9BC7E487F325}">
  <dimension ref="B2:P45"/>
  <sheetViews>
    <sheetView showGridLines="0" zoomScale="50" zoomScaleNormal="50" workbookViewId="0">
      <selection activeCell="E41" sqref="E41"/>
    </sheetView>
  </sheetViews>
  <sheetFormatPr defaultRowHeight="15.5" x14ac:dyDescent="0.35"/>
  <cols>
    <col min="1" max="1" width="8.7265625" style="17"/>
    <col min="2" max="2" width="26.81640625" style="17" bestFit="1" customWidth="1"/>
    <col min="3" max="3" width="25.7265625" style="17" bestFit="1" customWidth="1"/>
    <col min="4" max="4" width="22.6328125" style="17" bestFit="1" customWidth="1"/>
    <col min="5" max="5" width="27.1796875" style="17" bestFit="1" customWidth="1"/>
    <col min="6" max="6" width="8.36328125" style="17" customWidth="1"/>
    <col min="7" max="7" width="18.81640625" style="17" bestFit="1" customWidth="1"/>
    <col min="8" max="8" width="23.7265625" style="17" bestFit="1" customWidth="1"/>
    <col min="9" max="9" width="15.36328125" style="17" bestFit="1" customWidth="1"/>
    <col min="10" max="10" width="18.81640625" style="17" bestFit="1" customWidth="1"/>
    <col min="11" max="11" width="27.1796875" style="17" bestFit="1" customWidth="1"/>
    <col min="12" max="12" width="25.7265625" style="17" bestFit="1" customWidth="1"/>
    <col min="13" max="13" width="21.36328125" style="17" bestFit="1" customWidth="1"/>
    <col min="14" max="14" width="22.6328125" style="17" bestFit="1" customWidth="1"/>
    <col min="15" max="15" width="27.1796875" style="17" bestFit="1" customWidth="1"/>
    <col min="16" max="16" width="15.36328125" style="17" bestFit="1" customWidth="1"/>
    <col min="17" max="16384" width="8.7265625" style="17"/>
  </cols>
  <sheetData>
    <row r="2" spans="2:16" ht="18.5" x14ac:dyDescent="0.45">
      <c r="B2" s="6" t="s">
        <v>2611</v>
      </c>
      <c r="C2" s="6" t="s">
        <v>2607</v>
      </c>
      <c r="D2" s="6" t="s">
        <v>2612</v>
      </c>
      <c r="E2" s="6" t="s">
        <v>2627</v>
      </c>
      <c r="F2" s="18"/>
      <c r="H2" s="19" t="s">
        <v>2606</v>
      </c>
      <c r="L2" s="6"/>
      <c r="M2" s="15" t="s">
        <v>2606</v>
      </c>
      <c r="N2" s="6"/>
      <c r="O2" s="6"/>
      <c r="P2" s="6"/>
    </row>
    <row r="3" spans="2:16" ht="18.5" x14ac:dyDescent="0.45">
      <c r="B3" s="13">
        <v>17105049.210000068</v>
      </c>
      <c r="C3" s="13">
        <v>16270074.790000018</v>
      </c>
      <c r="D3" s="13">
        <v>128460.78999999995</v>
      </c>
      <c r="E3" s="14">
        <v>2500</v>
      </c>
      <c r="F3" s="22"/>
      <c r="H3" s="17" t="s">
        <v>12</v>
      </c>
      <c r="I3" s="17" t="s">
        <v>25</v>
      </c>
      <c r="J3" s="17" t="s">
        <v>2605</v>
      </c>
      <c r="L3" s="6"/>
      <c r="M3" s="6" t="s">
        <v>2608</v>
      </c>
      <c r="N3" s="6" t="s">
        <v>2609</v>
      </c>
      <c r="O3" s="6" t="s">
        <v>2610</v>
      </c>
      <c r="P3" s="6" t="s">
        <v>2605</v>
      </c>
    </row>
    <row r="4" spans="2:16" ht="18.5" x14ac:dyDescent="0.45">
      <c r="G4" s="17" t="s">
        <v>2607</v>
      </c>
      <c r="H4" s="21">
        <v>8070806.999999987</v>
      </c>
      <c r="I4" s="21">
        <v>8199267.7900000047</v>
      </c>
      <c r="J4" s="21">
        <v>16270074.789999992</v>
      </c>
      <c r="L4" s="6" t="s">
        <v>2607</v>
      </c>
      <c r="M4" s="14">
        <v>47976.799999999996</v>
      </c>
      <c r="N4" s="14">
        <v>11251287.720000012</v>
      </c>
      <c r="O4" s="14">
        <v>4970810.269999994</v>
      </c>
      <c r="P4" s="14">
        <v>16270074.790000007</v>
      </c>
    </row>
    <row r="5" spans="2:16" x14ac:dyDescent="0.35">
      <c r="B5" s="23">
        <f>GETPIVOTDATA("Sum of Budget Amount",$B$2)</f>
        <v>17105049.210000068</v>
      </c>
      <c r="C5" s="20">
        <f>GETPIVOTDATA("Sum of Actual Amount",$B$2)</f>
        <v>16270074.790000018</v>
      </c>
      <c r="D5" s="20">
        <f>GETPIVOTDATA("Sum of Net Amount",$B$2)</f>
        <v>128460.78999999995</v>
      </c>
      <c r="E5" s="24">
        <f>GETPIVOTDATA("Count of Transaction ID",$B$2)</f>
        <v>2500</v>
      </c>
      <c r="F5" s="20"/>
      <c r="H5" s="23">
        <f>GETPIVOTDATA("Actual Amount",$G$2,"Transaction Type","Expense")</f>
        <v>8070806.999999987</v>
      </c>
      <c r="I5" s="23">
        <f>GETPIVOTDATA("Actual Amount",$G$2,"Transaction Type","Revenue")</f>
        <v>8199267.7900000047</v>
      </c>
      <c r="N5" s="23">
        <f>GETPIVOTDATA("Actual Amount",$L$2,"Budget Status","Over Budget")</f>
        <v>11251287.720000012</v>
      </c>
      <c r="O5" s="23">
        <f>GETPIVOTDATA("Actual Amount",$L$2,"Budget Status","Under Budget")</f>
        <v>4970810.269999994</v>
      </c>
    </row>
    <row r="7" spans="2:16" ht="16" thickBot="1" x14ac:dyDescent="0.4"/>
    <row r="8" spans="2:16" ht="14.5" customHeight="1" x14ac:dyDescent="0.35">
      <c r="B8" s="25" t="s">
        <v>2613</v>
      </c>
      <c r="C8" s="26"/>
      <c r="D8" s="26"/>
      <c r="E8" s="27"/>
      <c r="G8" s="25" t="s">
        <v>2614</v>
      </c>
      <c r="H8" s="27"/>
      <c r="J8" s="25" t="s">
        <v>2615</v>
      </c>
      <c r="K8" s="26"/>
      <c r="L8" s="27"/>
      <c r="N8" s="25" t="s">
        <v>2617</v>
      </c>
      <c r="O8" s="27"/>
    </row>
    <row r="9" spans="2:16" ht="15" customHeight="1" thickBot="1" x14ac:dyDescent="0.4">
      <c r="B9" s="28"/>
      <c r="C9" s="29"/>
      <c r="D9" s="29"/>
      <c r="E9" s="30"/>
      <c r="G9" s="28"/>
      <c r="H9" s="30"/>
      <c r="J9" s="28"/>
      <c r="K9" s="29"/>
      <c r="L9" s="30"/>
      <c r="N9" s="28"/>
      <c r="O9" s="30"/>
    </row>
    <row r="10" spans="2:16" x14ac:dyDescent="0.35">
      <c r="B10" s="3" t="s">
        <v>2607</v>
      </c>
      <c r="C10" s="3" t="s">
        <v>2606</v>
      </c>
      <c r="D10"/>
      <c r="E10"/>
      <c r="G10" s="19" t="s">
        <v>2</v>
      </c>
      <c r="H10" s="17" t="s">
        <v>12</v>
      </c>
      <c r="J10" s="3" t="s">
        <v>2604</v>
      </c>
      <c r="K10" t="s">
        <v>2621</v>
      </c>
      <c r="L10" t="s">
        <v>2622</v>
      </c>
      <c r="N10" s="3" t="s">
        <v>2</v>
      </c>
      <c r="O10" t="s">
        <v>25</v>
      </c>
    </row>
    <row r="11" spans="2:16" x14ac:dyDescent="0.35">
      <c r="B11" s="3" t="s">
        <v>2604</v>
      </c>
      <c r="C11" t="s">
        <v>12</v>
      </c>
      <c r="D11" t="s">
        <v>25</v>
      </c>
      <c r="E11" t="s">
        <v>2605</v>
      </c>
      <c r="J11" s="4" t="s">
        <v>19</v>
      </c>
      <c r="K11" s="5">
        <v>3177655.3600000008</v>
      </c>
      <c r="L11" s="5">
        <v>2915637.3699999996</v>
      </c>
    </row>
    <row r="12" spans="2:16" x14ac:dyDescent="0.35">
      <c r="B12" s="12">
        <v>45658</v>
      </c>
      <c r="C12" s="5">
        <v>380927.93</v>
      </c>
      <c r="D12" s="5">
        <v>452540.90000000014</v>
      </c>
      <c r="E12" s="5">
        <v>833468.83000000007</v>
      </c>
      <c r="G12" s="19" t="s">
        <v>2604</v>
      </c>
      <c r="H12" s="17" t="s">
        <v>2607</v>
      </c>
      <c r="J12" s="4" t="s">
        <v>13</v>
      </c>
      <c r="K12" s="5">
        <v>1614121.8000000003</v>
      </c>
      <c r="L12" s="5">
        <v>1651336.6900000002</v>
      </c>
      <c r="N12" s="3" t="s">
        <v>2604</v>
      </c>
      <c r="O12" t="s">
        <v>2607</v>
      </c>
    </row>
    <row r="13" spans="2:16" x14ac:dyDescent="0.35">
      <c r="B13" s="12">
        <v>45689</v>
      </c>
      <c r="C13" s="5">
        <v>317275.14999999991</v>
      </c>
      <c r="D13" s="5">
        <v>381240.21</v>
      </c>
      <c r="E13" s="5">
        <v>698515.35999999987</v>
      </c>
      <c r="G13" s="31" t="s">
        <v>14</v>
      </c>
      <c r="H13" s="21">
        <v>477055.2200000002</v>
      </c>
      <c r="J13" s="4" t="s">
        <v>2584</v>
      </c>
      <c r="K13" s="5">
        <v>1343816.7799999998</v>
      </c>
      <c r="L13" s="5">
        <v>1287839.7399999995</v>
      </c>
      <c r="N13" s="4" t="s">
        <v>169</v>
      </c>
      <c r="O13" s="5">
        <v>158500.96000000002</v>
      </c>
    </row>
    <row r="14" spans="2:16" x14ac:dyDescent="0.35">
      <c r="B14" s="12">
        <v>45717</v>
      </c>
      <c r="C14" s="5">
        <v>556502.55000000005</v>
      </c>
      <c r="D14" s="5">
        <v>523874.29000000015</v>
      </c>
      <c r="E14" s="5">
        <v>1080376.8400000003</v>
      </c>
      <c r="G14" s="31" t="s">
        <v>74</v>
      </c>
      <c r="H14" s="21">
        <v>438157.08000000013</v>
      </c>
      <c r="J14" s="4" t="s">
        <v>2585</v>
      </c>
      <c r="K14" s="5">
        <v>1728839.429999999</v>
      </c>
      <c r="L14" s="5">
        <v>1639522.7900000012</v>
      </c>
      <c r="N14" s="4" t="s">
        <v>33</v>
      </c>
      <c r="O14" s="5">
        <v>5220984.9000000013</v>
      </c>
    </row>
    <row r="15" spans="2:16" x14ac:dyDescent="0.35">
      <c r="B15" s="12">
        <v>45748</v>
      </c>
      <c r="C15" s="5">
        <v>412382.9499999999</v>
      </c>
      <c r="D15" s="5">
        <v>423830.02999999997</v>
      </c>
      <c r="E15" s="5">
        <v>836212.97999999986</v>
      </c>
      <c r="G15" s="31" t="s">
        <v>65</v>
      </c>
      <c r="H15" s="21">
        <v>902483.52999999956</v>
      </c>
      <c r="J15" s="4" t="s">
        <v>36</v>
      </c>
      <c r="K15" s="5">
        <v>2025390.1300000011</v>
      </c>
      <c r="L15" s="5">
        <v>1906195.5099999981</v>
      </c>
      <c r="N15" s="4" t="s">
        <v>109</v>
      </c>
      <c r="O15" s="5">
        <v>2096558.0499999996</v>
      </c>
    </row>
    <row r="16" spans="2:16" x14ac:dyDescent="0.35">
      <c r="B16" s="12">
        <v>45778</v>
      </c>
      <c r="C16" s="5">
        <v>546445.01</v>
      </c>
      <c r="D16" s="5">
        <v>442479.99000000011</v>
      </c>
      <c r="E16" s="5">
        <v>988925.00000000012</v>
      </c>
      <c r="G16" s="31" t="s">
        <v>20</v>
      </c>
      <c r="H16" s="21">
        <v>126273.24999999997</v>
      </c>
      <c r="J16" s="4" t="s">
        <v>26</v>
      </c>
      <c r="K16" s="5">
        <v>2704810.879999999</v>
      </c>
      <c r="L16" s="5">
        <v>2406070.62</v>
      </c>
      <c r="N16" s="4" t="s">
        <v>27</v>
      </c>
      <c r="O16" s="5">
        <v>694391.20000000019</v>
      </c>
    </row>
    <row r="17" spans="2:15" x14ac:dyDescent="0.35">
      <c r="B17" s="12">
        <v>45809</v>
      </c>
      <c r="C17" s="5">
        <v>504257.99000000011</v>
      </c>
      <c r="D17" s="5">
        <v>554136.87000000011</v>
      </c>
      <c r="E17" s="5">
        <v>1058394.8600000003</v>
      </c>
      <c r="G17" s="31" t="s">
        <v>51</v>
      </c>
      <c r="H17" s="21">
        <v>528165.10000000009</v>
      </c>
      <c r="J17" s="4" t="s">
        <v>32</v>
      </c>
      <c r="K17" s="5">
        <v>4406754.8099999977</v>
      </c>
      <c r="L17" s="5">
        <v>4397099.8199999984</v>
      </c>
      <c r="N17" s="4" t="s">
        <v>2583</v>
      </c>
      <c r="O17" s="5">
        <v>28832.68</v>
      </c>
    </row>
    <row r="18" spans="2:15" x14ac:dyDescent="0.35">
      <c r="B18" s="12">
        <v>45839</v>
      </c>
      <c r="C18" s="5">
        <v>481565.85000000009</v>
      </c>
      <c r="D18" s="5">
        <v>456473.55999999994</v>
      </c>
      <c r="E18" s="5">
        <v>938039.41</v>
      </c>
      <c r="G18" s="31" t="s">
        <v>41</v>
      </c>
      <c r="H18" s="21">
        <v>1213123.8299999996</v>
      </c>
      <c r="J18" s="4" t="s">
        <v>2583</v>
      </c>
      <c r="K18" s="5">
        <v>103660.02</v>
      </c>
      <c r="L18" s="5">
        <v>66372.25</v>
      </c>
      <c r="N18" s="4" t="s">
        <v>2605</v>
      </c>
      <c r="O18" s="5">
        <v>8199267.790000001</v>
      </c>
    </row>
    <row r="19" spans="2:15" x14ac:dyDescent="0.35">
      <c r="B19" s="12">
        <v>45870</v>
      </c>
      <c r="C19" s="5">
        <v>482726.05999999994</v>
      </c>
      <c r="D19" s="5">
        <v>548921.02</v>
      </c>
      <c r="E19" s="5">
        <v>1031647.08</v>
      </c>
      <c r="G19" s="31" t="s">
        <v>45</v>
      </c>
      <c r="H19" s="21">
        <v>3622899.3500000006</v>
      </c>
      <c r="J19" s="4" t="s">
        <v>2605</v>
      </c>
      <c r="K19" s="5">
        <v>17105049.209999997</v>
      </c>
      <c r="L19" s="5">
        <v>16270074.789999997</v>
      </c>
    </row>
    <row r="20" spans="2:15" x14ac:dyDescent="0.35">
      <c r="B20" s="12">
        <v>45901</v>
      </c>
      <c r="C20" s="5">
        <v>457402.62</v>
      </c>
      <c r="D20" s="5">
        <v>407520.85000000003</v>
      </c>
      <c r="E20" s="5">
        <v>864923.47</v>
      </c>
      <c r="G20" s="31" t="s">
        <v>47</v>
      </c>
      <c r="H20" s="21">
        <v>332678.11000000016</v>
      </c>
    </row>
    <row r="21" spans="2:15" x14ac:dyDescent="0.35">
      <c r="B21" s="12">
        <v>45931</v>
      </c>
      <c r="C21" s="5">
        <v>465193.96999999991</v>
      </c>
      <c r="D21" s="5">
        <v>528056.56000000006</v>
      </c>
      <c r="E21" s="5">
        <v>993250.53</v>
      </c>
      <c r="G21" s="31" t="s">
        <v>37</v>
      </c>
      <c r="H21" s="21">
        <v>163874.05000000002</v>
      </c>
    </row>
    <row r="22" spans="2:15" x14ac:dyDescent="0.35">
      <c r="B22" s="12">
        <v>45962</v>
      </c>
      <c r="C22" s="5">
        <v>341734.93</v>
      </c>
      <c r="D22" s="5">
        <v>439282.51999999996</v>
      </c>
      <c r="E22" s="5">
        <v>781017.45</v>
      </c>
      <c r="G22" s="31" t="s">
        <v>2583</v>
      </c>
      <c r="H22" s="21">
        <v>25734.77</v>
      </c>
    </row>
    <row r="23" spans="2:15" x14ac:dyDescent="0.35">
      <c r="B23" s="12">
        <v>45992</v>
      </c>
      <c r="C23" s="5">
        <v>524745.13000000012</v>
      </c>
      <c r="D23" s="5">
        <v>324008.17</v>
      </c>
      <c r="E23" s="5">
        <v>848753.3</v>
      </c>
      <c r="G23" s="31" t="s">
        <v>77</v>
      </c>
      <c r="H23" s="21">
        <v>240362.71000000011</v>
      </c>
    </row>
    <row r="24" spans="2:15" x14ac:dyDescent="0.35">
      <c r="B24" s="12">
        <v>46023</v>
      </c>
      <c r="C24" s="5">
        <v>449674.44000000024</v>
      </c>
      <c r="D24" s="5">
        <v>429940.71</v>
      </c>
      <c r="E24" s="5">
        <v>879615.15000000026</v>
      </c>
      <c r="G24" s="31" t="s">
        <v>2605</v>
      </c>
      <c r="H24" s="21">
        <v>8070806.9999999991</v>
      </c>
    </row>
    <row r="25" spans="2:15" x14ac:dyDescent="0.35">
      <c r="B25" s="12">
        <v>46174</v>
      </c>
      <c r="C25" s="5">
        <v>454373.52999999985</v>
      </c>
      <c r="D25" s="5">
        <v>519930.91</v>
      </c>
      <c r="E25" s="5">
        <v>974304.43999999983</v>
      </c>
    </row>
    <row r="26" spans="2:15" ht="16" thickBot="1" x14ac:dyDescent="0.4">
      <c r="B26" s="12">
        <v>46082</v>
      </c>
      <c r="C26" s="5">
        <v>498461.23000000004</v>
      </c>
      <c r="D26" s="5">
        <v>348012.62</v>
      </c>
      <c r="E26" s="5">
        <v>846473.85000000009</v>
      </c>
    </row>
    <row r="27" spans="2:15" x14ac:dyDescent="0.35">
      <c r="B27" s="12">
        <v>46113</v>
      </c>
      <c r="C27" s="5">
        <v>372966.75999999989</v>
      </c>
      <c r="D27" s="5">
        <v>552049.65999999992</v>
      </c>
      <c r="E27" s="5">
        <v>925016.41999999981</v>
      </c>
      <c r="G27" s="25" t="s">
        <v>2616</v>
      </c>
      <c r="H27" s="27"/>
      <c r="J27" s="25" t="s">
        <v>2601</v>
      </c>
      <c r="K27" s="27"/>
      <c r="N27" s="25" t="s">
        <v>2628</v>
      </c>
      <c r="O27" s="27"/>
    </row>
    <row r="28" spans="2:15" ht="16" thickBot="1" x14ac:dyDescent="0.4">
      <c r="B28" s="12">
        <v>46143</v>
      </c>
      <c r="C28" s="5">
        <v>334593.06</v>
      </c>
      <c r="D28" s="5">
        <v>456510.73999999993</v>
      </c>
      <c r="E28" s="5">
        <v>791103.79999999993</v>
      </c>
      <c r="G28" s="28"/>
      <c r="H28" s="30"/>
      <c r="J28" s="28"/>
      <c r="K28" s="30"/>
      <c r="N28" s="28"/>
      <c r="O28" s="30"/>
    </row>
    <row r="29" spans="2:15" x14ac:dyDescent="0.35">
      <c r="B29" s="12">
        <v>46054</v>
      </c>
      <c r="C29" s="5">
        <v>489577.83999999997</v>
      </c>
      <c r="D29" s="5">
        <v>410458.18</v>
      </c>
      <c r="E29" s="5">
        <v>900036.02</v>
      </c>
      <c r="G29" s="3" t="s">
        <v>2604</v>
      </c>
      <c r="H29" t="s">
        <v>2612</v>
      </c>
      <c r="J29" s="3" t="s">
        <v>2604</v>
      </c>
      <c r="K29" t="s">
        <v>2607</v>
      </c>
      <c r="N29" s="3" t="s">
        <v>2604</v>
      </c>
      <c r="O29" t="s">
        <v>2607</v>
      </c>
    </row>
    <row r="30" spans="2:15" x14ac:dyDescent="0.35">
      <c r="B30" s="12" t="s">
        <v>2605</v>
      </c>
      <c r="C30" s="5">
        <v>8070807</v>
      </c>
      <c r="D30" s="5">
        <v>8199267.790000001</v>
      </c>
      <c r="E30" s="5">
        <v>16270074.790000001</v>
      </c>
      <c r="G30" s="4" t="s">
        <v>21</v>
      </c>
      <c r="H30" s="5">
        <v>-208742.39000000033</v>
      </c>
      <c r="J30" s="4" t="s">
        <v>2608</v>
      </c>
      <c r="K30" s="5">
        <v>47976.799999999996</v>
      </c>
      <c r="N30" s="4" t="s">
        <v>23</v>
      </c>
      <c r="O30" s="5">
        <v>4676303.3099999931</v>
      </c>
    </row>
    <row r="31" spans="2:15" x14ac:dyDescent="0.35">
      <c r="G31" s="4" t="s">
        <v>34</v>
      </c>
      <c r="H31" s="5">
        <v>389949.95</v>
      </c>
      <c r="J31" s="4" t="s">
        <v>2609</v>
      </c>
      <c r="K31" s="5">
        <v>11251287.720000012</v>
      </c>
      <c r="N31" s="4" t="s">
        <v>17</v>
      </c>
      <c r="O31" s="5">
        <v>1220285.8199999998</v>
      </c>
    </row>
    <row r="32" spans="2:15" x14ac:dyDescent="0.35">
      <c r="G32" s="4" t="s">
        <v>52</v>
      </c>
      <c r="H32" s="5">
        <v>-99270.020000000106</v>
      </c>
      <c r="J32" s="4" t="s">
        <v>2610</v>
      </c>
      <c r="K32" s="5">
        <v>4970810.269999994</v>
      </c>
      <c r="N32" s="4" t="s">
        <v>48</v>
      </c>
      <c r="O32" s="5">
        <v>3933305.1799999969</v>
      </c>
    </row>
    <row r="33" spans="2:15" x14ac:dyDescent="0.35">
      <c r="G33" s="4" t="s">
        <v>15</v>
      </c>
      <c r="H33" s="5">
        <v>122072.49999999996</v>
      </c>
      <c r="J33" s="4" t="s">
        <v>2605</v>
      </c>
      <c r="K33" s="5">
        <v>16270074.790000007</v>
      </c>
      <c r="N33" s="4" t="s">
        <v>39</v>
      </c>
      <c r="O33" s="5">
        <v>2903783.709999999</v>
      </c>
    </row>
    <row r="34" spans="2:15" ht="16" thickBot="1" x14ac:dyDescent="0.4">
      <c r="G34" s="4" t="s">
        <v>28</v>
      </c>
      <c r="H34" s="5">
        <v>-75549.249999999898</v>
      </c>
      <c r="N34" s="4" t="s">
        <v>30</v>
      </c>
      <c r="O34" s="5">
        <v>3386231.43</v>
      </c>
    </row>
    <row r="35" spans="2:15" x14ac:dyDescent="0.35">
      <c r="B35" s="25" t="s">
        <v>2629</v>
      </c>
      <c r="C35" s="27"/>
      <c r="G35" s="4" t="s">
        <v>2605</v>
      </c>
      <c r="H35" s="5">
        <v>128460.78999999962</v>
      </c>
      <c r="N35" s="4" t="s">
        <v>2583</v>
      </c>
      <c r="O35" s="5">
        <v>150165.34000000003</v>
      </c>
    </row>
    <row r="36" spans="2:15" ht="16" thickBot="1" x14ac:dyDescent="0.4">
      <c r="B36" s="28"/>
      <c r="C36" s="30"/>
      <c r="N36" s="4" t="s">
        <v>2605</v>
      </c>
      <c r="O36" s="5">
        <v>16270074.78999999</v>
      </c>
    </row>
    <row r="37" spans="2:15" x14ac:dyDescent="0.35">
      <c r="B37" s="3" t="s">
        <v>2</v>
      </c>
      <c r="C37" t="s">
        <v>25</v>
      </c>
    </row>
    <row r="39" spans="2:15" x14ac:dyDescent="0.35">
      <c r="B39" s="3" t="s">
        <v>2604</v>
      </c>
      <c r="C39" t="s">
        <v>2607</v>
      </c>
    </row>
    <row r="40" spans="2:15" x14ac:dyDescent="0.35">
      <c r="B40" s="4" t="s">
        <v>21</v>
      </c>
      <c r="C40" s="5">
        <v>1031045.3700000002</v>
      </c>
    </row>
    <row r="41" spans="2:15" x14ac:dyDescent="0.35">
      <c r="B41" s="4" t="s">
        <v>34</v>
      </c>
      <c r="C41" s="5">
        <v>2243719.62</v>
      </c>
    </row>
    <row r="42" spans="2:15" x14ac:dyDescent="0.35">
      <c r="B42" s="4" t="s">
        <v>52</v>
      </c>
      <c r="C42" s="5">
        <v>2257926.2299999991</v>
      </c>
    </row>
    <row r="43" spans="2:15" x14ac:dyDescent="0.35">
      <c r="B43" s="4" t="s">
        <v>15</v>
      </c>
      <c r="C43" s="5">
        <v>1241254.31</v>
      </c>
    </row>
    <row r="44" spans="2:15" x14ac:dyDescent="0.35">
      <c r="B44" s="4" t="s">
        <v>28</v>
      </c>
      <c r="C44" s="5">
        <v>1425322.2599999988</v>
      </c>
    </row>
    <row r="45" spans="2:15" x14ac:dyDescent="0.35">
      <c r="B45" s="4" t="s">
        <v>2605</v>
      </c>
      <c r="C45" s="5">
        <v>8199267.7899999982</v>
      </c>
    </row>
  </sheetData>
  <mergeCells count="8">
    <mergeCell ref="B35:C36"/>
    <mergeCell ref="N8:O9"/>
    <mergeCell ref="B8:E9"/>
    <mergeCell ref="G8:H9"/>
    <mergeCell ref="J8:L9"/>
    <mergeCell ref="G27:H28"/>
    <mergeCell ref="J27:K28"/>
    <mergeCell ref="N27:O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953E9-D263-40C4-88D7-7244B4D73039}">
  <dimension ref="A1:B9"/>
  <sheetViews>
    <sheetView workbookViewId="0">
      <selection activeCell="C14" sqref="C14"/>
    </sheetView>
  </sheetViews>
  <sheetFormatPr defaultRowHeight="14.5" x14ac:dyDescent="0.35"/>
  <cols>
    <col min="1" max="1" width="19.6328125" bestFit="1" customWidth="1"/>
    <col min="2" max="2" width="17.90625" customWidth="1"/>
    <col min="3" max="3" width="16.08984375" bestFit="1" customWidth="1"/>
    <col min="4" max="4" width="11.26953125" bestFit="1" customWidth="1"/>
    <col min="5" max="5" width="10.6328125" bestFit="1" customWidth="1"/>
    <col min="6" max="6" width="12.6328125" bestFit="1" customWidth="1"/>
    <col min="7" max="7" width="13.26953125" bestFit="1" customWidth="1"/>
    <col min="8" max="8" width="10.90625" bestFit="1" customWidth="1"/>
    <col min="9" max="9" width="18.453125" bestFit="1" customWidth="1"/>
    <col min="10" max="10" width="19.6328125" bestFit="1" customWidth="1"/>
  </cols>
  <sheetData>
    <row r="1" spans="1:2" ht="23.5" x14ac:dyDescent="0.35">
      <c r="A1" s="7" t="s">
        <v>2618</v>
      </c>
      <c r="B1" s="8" t="s">
        <v>2619</v>
      </c>
    </row>
    <row r="2" spans="1:2" x14ac:dyDescent="0.35">
      <c r="A2" s="9" t="s">
        <v>2620</v>
      </c>
      <c r="B2" s="9">
        <f>COUNTA('Clean Financial Data'!A2:A2501)</f>
        <v>2500</v>
      </c>
    </row>
    <row r="3" spans="1:2" x14ac:dyDescent="0.35">
      <c r="A3" s="9" t="s">
        <v>2621</v>
      </c>
      <c r="B3" s="11">
        <f>SUM('Clean Financial Data'!J2:J2501)</f>
        <v>17105049.210000068</v>
      </c>
    </row>
    <row r="4" spans="1:2" x14ac:dyDescent="0.35">
      <c r="A4" s="9" t="s">
        <v>2622</v>
      </c>
      <c r="B4" s="11">
        <f>SUM('Clean Financial Data'!K2:K2501)</f>
        <v>16270074.790000018</v>
      </c>
    </row>
    <row r="5" spans="1:2" x14ac:dyDescent="0.35">
      <c r="A5" s="9" t="s">
        <v>2623</v>
      </c>
      <c r="B5" s="11">
        <f>SUMIFS('Clean Financial Data'!K2:K2501,'Clean Financial Data'!C2:C2501,"Revenue")</f>
        <v>8199267.7900000047</v>
      </c>
    </row>
    <row r="6" spans="1:2" x14ac:dyDescent="0.35">
      <c r="A6" s="9" t="s">
        <v>2624</v>
      </c>
      <c r="B6" s="11">
        <f>SUMIFS('Clean Financial Data'!K2:K2501,'Clean Financial Data'!C2:C2501,"Expense")</f>
        <v>8070806.999999987</v>
      </c>
    </row>
    <row r="7" spans="1:2" x14ac:dyDescent="0.35">
      <c r="A7" s="9" t="s">
        <v>2602</v>
      </c>
      <c r="B7" s="10">
        <f>SUM('Clean Financial Data'!O2:O2501)</f>
        <v>128460.78999999995</v>
      </c>
    </row>
    <row r="8" spans="1:2" x14ac:dyDescent="0.35">
      <c r="A8" s="9" t="s">
        <v>2625</v>
      </c>
      <c r="B8" s="11">
        <f>SUMIFS('Clean Financial Data'!K2:K2501,'Clean Financial Data'!N2:N2501,"Over Budget")</f>
        <v>11251287.720000012</v>
      </c>
    </row>
    <row r="9" spans="1:2" x14ac:dyDescent="0.35">
      <c r="A9" s="9" t="s">
        <v>2626</v>
      </c>
      <c r="B9" s="11">
        <f>SUMIFS('Clean Financial Data'!K2:K2501,'Clean Financial Data'!N2:N2501,"Under Budget")</f>
        <v>4970810.269999994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12"/>
  <sheetViews>
    <sheetView showGridLines="0" zoomScaleNormal="100" workbookViewId="0">
      <pane ySplit="2" topLeftCell="A3" activePane="bottomLeft" state="frozen"/>
      <selection pane="bottomLeft" activeCell="D20" sqref="D20"/>
    </sheetView>
  </sheetViews>
  <sheetFormatPr defaultRowHeight="14.5" x14ac:dyDescent="0.35"/>
  <cols>
    <col min="2" max="3" width="32" customWidth="1"/>
    <col min="4" max="4" width="38.36328125" bestFit="1" customWidth="1"/>
    <col min="5" max="5" width="50" customWidth="1"/>
  </cols>
  <sheetData>
    <row r="2" spans="2:16" x14ac:dyDescent="0.35">
      <c r="B2" s="1" t="s">
        <v>2550</v>
      </c>
      <c r="C2" s="1" t="s">
        <v>2551</v>
      </c>
      <c r="D2" s="1" t="s">
        <v>2552</v>
      </c>
      <c r="E2" s="32" t="s">
        <v>2553</v>
      </c>
      <c r="F2" s="34"/>
      <c r="G2" s="34"/>
      <c r="H2" s="34"/>
      <c r="I2" s="34"/>
      <c r="J2" s="34"/>
      <c r="K2" s="34"/>
      <c r="L2" s="34"/>
      <c r="M2" s="33"/>
      <c r="N2" s="33"/>
      <c r="O2" s="33"/>
      <c r="P2" s="33"/>
    </row>
    <row r="3" spans="2:16" x14ac:dyDescent="0.35">
      <c r="B3" t="s">
        <v>2554</v>
      </c>
      <c r="C3">
        <v>30</v>
      </c>
      <c r="D3" t="s">
        <v>2555</v>
      </c>
      <c r="E3" t="s">
        <v>2556</v>
      </c>
      <c r="F3" s="34"/>
      <c r="G3" s="34"/>
      <c r="H3" s="34"/>
      <c r="I3" s="34"/>
      <c r="J3" s="34"/>
      <c r="K3" s="34"/>
      <c r="L3" s="34"/>
      <c r="M3" s="33"/>
      <c r="N3" s="33"/>
      <c r="O3" s="33"/>
      <c r="P3" s="33"/>
    </row>
    <row r="4" spans="2:16" x14ac:dyDescent="0.35">
      <c r="B4" t="s">
        <v>2557</v>
      </c>
      <c r="C4">
        <v>15</v>
      </c>
      <c r="D4" t="s">
        <v>2558</v>
      </c>
      <c r="E4" t="s">
        <v>2559</v>
      </c>
    </row>
    <row r="5" spans="2:16" x14ac:dyDescent="0.35">
      <c r="B5" t="s">
        <v>2560</v>
      </c>
      <c r="C5">
        <v>12</v>
      </c>
      <c r="D5" t="s">
        <v>2561</v>
      </c>
      <c r="E5" t="s">
        <v>2562</v>
      </c>
    </row>
    <row r="6" spans="2:16" x14ac:dyDescent="0.35">
      <c r="B6" t="s">
        <v>2563</v>
      </c>
      <c r="C6">
        <v>18</v>
      </c>
      <c r="D6" t="s">
        <v>2564</v>
      </c>
      <c r="E6" t="s">
        <v>2565</v>
      </c>
    </row>
    <row r="7" spans="2:16" x14ac:dyDescent="0.35">
      <c r="B7" t="s">
        <v>2566</v>
      </c>
      <c r="C7">
        <v>10</v>
      </c>
      <c r="D7" t="s">
        <v>2567</v>
      </c>
      <c r="E7" t="s">
        <v>2568</v>
      </c>
    </row>
    <row r="8" spans="2:16" x14ac:dyDescent="0.35">
      <c r="B8" t="s">
        <v>2569</v>
      </c>
      <c r="C8">
        <v>17</v>
      </c>
      <c r="D8" t="s">
        <v>2570</v>
      </c>
      <c r="E8" t="s">
        <v>2571</v>
      </c>
    </row>
    <row r="9" spans="2:16" x14ac:dyDescent="0.35">
      <c r="B9" t="s">
        <v>2572</v>
      </c>
      <c r="C9">
        <v>12</v>
      </c>
      <c r="D9" t="s">
        <v>2573</v>
      </c>
      <c r="E9" t="s">
        <v>2574</v>
      </c>
    </row>
    <row r="10" spans="2:16" x14ac:dyDescent="0.35">
      <c r="B10" t="s">
        <v>2575</v>
      </c>
      <c r="C10">
        <v>8</v>
      </c>
      <c r="D10" t="s">
        <v>2576</v>
      </c>
      <c r="E10" t="s">
        <v>2577</v>
      </c>
    </row>
    <row r="11" spans="2:16" x14ac:dyDescent="0.35">
      <c r="B11" t="s">
        <v>2578</v>
      </c>
      <c r="C11">
        <v>6</v>
      </c>
      <c r="D11" t="s">
        <v>2579</v>
      </c>
      <c r="E11" t="s">
        <v>2580</v>
      </c>
    </row>
    <row r="12" spans="2:16" x14ac:dyDescent="0.35">
      <c r="B12" t="s">
        <v>2581</v>
      </c>
      <c r="C12">
        <v>4</v>
      </c>
      <c r="D12" t="s">
        <v>2579</v>
      </c>
      <c r="E12" t="s">
        <v>2582</v>
      </c>
    </row>
  </sheetData>
  <autoFilter ref="B2:E12"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 Financial Data</vt:lpstr>
      <vt:lpstr>Dashboard</vt:lpstr>
      <vt:lpstr>PivotTables</vt:lpstr>
      <vt:lpstr>KPI Summary</vt:lpstr>
      <vt:lpstr>Data Quality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Shaheryar Khan</cp:lastModifiedBy>
  <dcterms:created xsi:type="dcterms:W3CDTF">2026-09-28T12:25:24Z</dcterms:created>
  <dcterms:modified xsi:type="dcterms:W3CDTF">2026-10-02T06:45:49Z</dcterms:modified>
</cp:coreProperties>
</file>